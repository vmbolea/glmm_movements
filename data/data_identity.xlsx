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irene\OneDrive\Escritorio\MÁSTER PRIMATOLOGÍA\PRÁCTICAS y TFM\TFM AULLADORES\PROYECTO TFM\EPICOLLET AULLADORES\"/>
    </mc:Choice>
  </mc:AlternateContent>
  <xr:revisionPtr revIDLastSave="0" documentId="13_ncr:1_{38622639-25EB-4DE6-9EA5-6A7B25856E31}" xr6:coauthVersionLast="47" xr6:coauthVersionMax="47" xr10:uidLastSave="{00000000-0000-0000-0000-000000000000}"/>
  <bookViews>
    <workbookView xWindow="-108" yWindow="-108" windowWidth="23256" windowHeight="12456" activeTab="2" xr2:uid="{00000000-000D-0000-FFFF-FFFF00000000}"/>
  </bookViews>
  <sheets>
    <sheet name="MO" sheetId="1" r:id="rId1"/>
    <sheet name="AVISTAJE" sheetId="2" r:id="rId2"/>
    <sheet name="DESPLAZAMIENTO" sheetId="4" r:id="rId3"/>
    <sheet name="FOC" sheetId="3" r:id="rId4"/>
    <sheet name="SEGFOC" sheetId="5" r:id="rId5"/>
    <sheet name="DIETA" sheetId="6" r:id="rId6"/>
    <sheet name="ADLIBITUM" sheetId="7" r:id="rId7"/>
    <sheet name="COMPOSICIN" sheetId="8" r:id="rId8"/>
    <sheet name="VOCALIZ" sheetId="9" r:id="rId9"/>
    <sheet name="INTERGRUP" sheetId="10" r:id="rId10"/>
  </sheets>
  <definedNames>
    <definedName name="_xlnm._FilterDatabase" localSheetId="2" hidden="1">DESPLAZAMIENTO!$A$1:$V$120</definedName>
  </definedNames>
  <calcPr calcId="191029"/>
</workbook>
</file>

<file path=xl/calcChain.xml><?xml version="1.0" encoding="utf-8"?>
<calcChain xmlns="http://schemas.openxmlformats.org/spreadsheetml/2006/main">
  <c r="AF3" i="2" l="1"/>
  <c r="AF4" i="2"/>
  <c r="AF5" i="2"/>
  <c r="AF6" i="2"/>
  <c r="AF7" i="2"/>
  <c r="AF8" i="2"/>
  <c r="AF9" i="2"/>
  <c r="AF10" i="2"/>
  <c r="AF11" i="2"/>
  <c r="AF12" i="2"/>
  <c r="AF13" i="2"/>
  <c r="AF14" i="2"/>
  <c r="AF15" i="2"/>
  <c r="AF16" i="2"/>
  <c r="AF17" i="2"/>
  <c r="AF18" i="2"/>
  <c r="AF19" i="2"/>
  <c r="AF20" i="2"/>
  <c r="AF21" i="2"/>
  <c r="AF22" i="2"/>
  <c r="AF23" i="2"/>
  <c r="AF24" i="2"/>
  <c r="AF2"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25" i="2"/>
  <c r="M2" i="1"/>
  <c r="Q2" i="1" s="1"/>
  <c r="P2" i="1"/>
  <c r="S2" i="1"/>
  <c r="R2"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3" i="1"/>
  <c r="M4" i="1"/>
  <c r="M5" i="1"/>
  <c r="M6" i="1"/>
  <c r="M7" i="1"/>
  <c r="M8" i="1"/>
  <c r="AF25" i="2" l="1"/>
  <c r="AC53" i="2"/>
  <c r="O2" i="1"/>
  <c r="N2" i="1"/>
  <c r="AC57" i="2" l="1"/>
</calcChain>
</file>

<file path=xl/sharedStrings.xml><?xml version="1.0" encoding="utf-8"?>
<sst xmlns="http://schemas.openxmlformats.org/spreadsheetml/2006/main" count="25091" uniqueCount="8012">
  <si>
    <t>ec5_uuid</t>
  </si>
  <si>
    <t>created_at</t>
  </si>
  <si>
    <t>uploaded_at</t>
  </si>
  <si>
    <t>created_by</t>
  </si>
  <si>
    <t>title</t>
  </si>
  <si>
    <t>2_Nombre_del_investi</t>
  </si>
  <si>
    <t>3_MO</t>
  </si>
  <si>
    <t>4_Fecha</t>
  </si>
  <si>
    <t>5_Hora_de_inicio</t>
  </si>
  <si>
    <t>6_Actividad_de_la_ma</t>
  </si>
  <si>
    <t>7_Actividad_de_la_ta</t>
  </si>
  <si>
    <t>8_Hora_de_cierre</t>
  </si>
  <si>
    <t>9_Observaciones</t>
  </si>
  <si>
    <t>4abc0d91-66dd-40e9-ab98-0e9e92e18485</t>
  </si>
  <si>
    <t>2024-10-10T11:48:36.000Z</t>
  </si>
  <si>
    <t>2024-10-11T20:03:57.000Z</t>
  </si>
  <si>
    <t>irene-tc@hotmail.com</t>
  </si>
  <si>
    <t>Irene calvo</t>
  </si>
  <si>
    <t>Bosque lider g2</t>
  </si>
  <si>
    <t>2493e538-280e-419c-a0ed-cc2ca1dd1c90</t>
  </si>
  <si>
    <t>2024-10-09T11:49:27.000Z</t>
  </si>
  <si>
    <t>2024-10-11T20:02:00.000Z</t>
  </si>
  <si>
    <t>Boque lider g2</t>
  </si>
  <si>
    <t>69beebe4-af6a-4cf2-9db8-303cf60b2755</t>
  </si>
  <si>
    <t>2024-10-08T12:04:45.000Z</t>
  </si>
  <si>
    <t>2024-10-09T00:47:28.000Z</t>
  </si>
  <si>
    <t>f6cb7cf1-72c1-4fcb-8842-a41e6cde50f2</t>
  </si>
  <si>
    <t>2024-10-07T11:46:44.000Z</t>
  </si>
  <si>
    <t>2024-10-09T00:29:09.000Z</t>
  </si>
  <si>
    <t>c8e40af4-a3b7-42ee-a59c-3c7f4188924b</t>
  </si>
  <si>
    <t>2024-10-07T11:46:01.000Z</t>
  </si>
  <si>
    <t>2024-10-09T00:28:49.000Z</t>
  </si>
  <si>
    <t>Limpieza y descanso</t>
  </si>
  <si>
    <t>39f3f0bc-ebbf-472a-a4ba-34710f747c6a</t>
  </si>
  <si>
    <t>2024-10-07T11:45:49.000Z</t>
  </si>
  <si>
    <t>2024-10-09T00:28:51.000Z</t>
  </si>
  <si>
    <t>vuelta reserva+mercado</t>
  </si>
  <si>
    <t>Vuelta Reserva + mercado</t>
  </si>
  <si>
    <t>cf3193b8-d98d-4730-bb0c-6b32c583229a</t>
  </si>
  <si>
    <t>2024-10-07T11:45:38.000Z</t>
  </si>
  <si>
    <t>2024-10-09T00:28:54.000Z</t>
  </si>
  <si>
    <t>Congreso tena 3 dia</t>
  </si>
  <si>
    <t>Tena-Quito</t>
  </si>
  <si>
    <t>388029da-3291-486d-957a-a8dc2d15a02a</t>
  </si>
  <si>
    <t>2024-10-07T11:45:28.000Z</t>
  </si>
  <si>
    <t>2024-10-09T00:28:57.000Z</t>
  </si>
  <si>
    <t>Congreso Tena 2 dia</t>
  </si>
  <si>
    <t>a9a9a548-512a-4dec-aca4-2fe10de9dbe1</t>
  </si>
  <si>
    <t>2024-10-07T11:45:17.000Z</t>
  </si>
  <si>
    <t>2024-10-09T00:28:59.000Z</t>
  </si>
  <si>
    <t>Congreso Tena 1 dia</t>
  </si>
  <si>
    <t>d5f6af46-cf97-47cc-bd7f-83ac8daf9151</t>
  </si>
  <si>
    <t>2024-10-07T11:45:07.000Z</t>
  </si>
  <si>
    <t>2024-10-09T00:29:01.000Z</t>
  </si>
  <si>
    <t>Viaje Reserva a Tena</t>
  </si>
  <si>
    <t>Viaje Quito Tena</t>
  </si>
  <si>
    <t>c85869a8-7460-40ca-aa9e-a49905d303b0</t>
  </si>
  <si>
    <t>2024-10-07T11:44:52.000Z</t>
  </si>
  <si>
    <t>2024-10-09T00:29:04.000Z</t>
  </si>
  <si>
    <t>Descanso periodo</t>
  </si>
  <si>
    <t>f68ea6d6-6872-48cc-8561-65dc26c2d7f2</t>
  </si>
  <si>
    <t>2024-10-07T11:44:30.000Z</t>
  </si>
  <si>
    <t>2024-10-09T00:29:07.000Z</t>
  </si>
  <si>
    <t>Lavadora corte luz</t>
  </si>
  <si>
    <t>68faf065-4519-41a1-be1f-ce063a72c2c1</t>
  </si>
  <si>
    <t>2024-09-28T11:55:54.000Z</t>
  </si>
  <si>
    <t>2024-10-09T00:31:10.000Z</t>
  </si>
  <si>
    <t>19f6a10c-9a80-42c9-9abc-ba15856dea47</t>
  </si>
  <si>
    <t>2024-09-27T11:57:38.000Z</t>
  </si>
  <si>
    <t>2024-10-09T00:31:15.000Z</t>
  </si>
  <si>
    <t>c44a79c1-f822-44b6-872d-c1eca623dbff</t>
  </si>
  <si>
    <t>2024-09-26T12:18:33.000Z</t>
  </si>
  <si>
    <t>2024-10-09T00:31:21.000Z</t>
  </si>
  <si>
    <t>Bosque loder g2</t>
  </si>
  <si>
    <t>Se me apago el movil 14:30</t>
  </si>
  <si>
    <t>03c78e4d-442e-4a8d-a478-4ad4df82b245</t>
  </si>
  <si>
    <t>2024-09-25T12:21:22.000Z</t>
  </si>
  <si>
    <t>2024-10-09T00:32:37.000Z</t>
  </si>
  <si>
    <t>Se me apago el movil 14:45</t>
  </si>
  <si>
    <t>171fb291-f651-49b3-8428-7d43c86df04d</t>
  </si>
  <si>
    <t>2024-09-24T12:26:59.000Z</t>
  </si>
  <si>
    <t>2024-10-09T00:34:11.000Z</t>
  </si>
  <si>
    <t>Se me apago el movio 16</t>
  </si>
  <si>
    <t>a184003a-1071-4705-aeb2-9695f54e42a0</t>
  </si>
  <si>
    <t>2024-09-23T12:32:55.000Z</t>
  </si>
  <si>
    <t>2024-10-09T00:28:24.000Z</t>
  </si>
  <si>
    <t>dc3062ef-a8a6-4948-ae77-d423f94582f9</t>
  </si>
  <si>
    <t>2024-09-23T12:32:22.000Z</t>
  </si>
  <si>
    <t>2024-10-09T00:28:22.000Z</t>
  </si>
  <si>
    <t>descanso</t>
  </si>
  <si>
    <t>8ce92f8f-d1fe-42b0-bbef-dba939413ae9</t>
  </si>
  <si>
    <t>2024-09-21T13:36:11.000Z</t>
  </si>
  <si>
    <t>2024-10-09T00:27:17.000Z</t>
  </si>
  <si>
    <t>botanico aulladores</t>
  </si>
  <si>
    <t>Limpieza casa</t>
  </si>
  <si>
    <t>a4ad187a-f2c5-40ae-bb1b-bf1ac190ac5f</t>
  </si>
  <si>
    <t>2024-09-21T13:34:10.000Z</t>
  </si>
  <si>
    <t>2024-10-09T00:27:14.000Z</t>
  </si>
  <si>
    <t>Cumpleaños casa</t>
  </si>
  <si>
    <t>c5ae51d1-c0e5-40fd-af2b-23559dca5df6</t>
  </si>
  <si>
    <t>2024-09-21T12:14:05.000Z</t>
  </si>
  <si>
    <t>2024-10-09T00:27:19.000Z</t>
  </si>
  <si>
    <t>91121cd3-1a5f-45c1-8bcc-5cda2c17be30</t>
  </si>
  <si>
    <t>2024-09-18T12:09:22.000Z</t>
  </si>
  <si>
    <t>2024-10-09T00:25:42.000Z</t>
  </si>
  <si>
    <t>8fbe36b7-abad-45d3-8e05-32585e426c97</t>
  </si>
  <si>
    <t>2024-09-17T12:59:58.000Z</t>
  </si>
  <si>
    <t>2024-10-09T00:24:53.000Z</t>
  </si>
  <si>
    <t>f8d81989-4bd3-4a62-a5a0-77002a2f0d6c</t>
  </si>
  <si>
    <t>2024-09-16T11:53:02.000Z</t>
  </si>
  <si>
    <t>2024-10-09T00:24:09.000Z</t>
  </si>
  <si>
    <t>70da9930-ff47-4d9d-a09d-e24ca1451553</t>
  </si>
  <si>
    <t>2024-09-16T11:52:17.000Z</t>
  </si>
  <si>
    <t>2024-10-09T00:24:07.000Z</t>
  </si>
  <si>
    <t>a781ef1e-d5a2-423e-970d-7164f88bb1ee</t>
  </si>
  <si>
    <t>2024-09-16T11:51:30.000Z</t>
  </si>
  <si>
    <t>2024-10-09T00:24:05.000Z</t>
  </si>
  <si>
    <t>Pueblo</t>
  </si>
  <si>
    <t>7d31a34b-d04e-42a5-8c6a-c424d946a539</t>
  </si>
  <si>
    <t>2024-09-16T11:50:41.000Z</t>
  </si>
  <si>
    <t>2024-10-09T00:24:01.000Z</t>
  </si>
  <si>
    <t>Trabajo Ordenador</t>
  </si>
  <si>
    <t>efbe9ff4-6d4d-4aef-8d48-14053b24e6c4</t>
  </si>
  <si>
    <t>2024-09-12T12:27:00.000Z</t>
  </si>
  <si>
    <t>2024-10-09T00:43:13.000Z</t>
  </si>
  <si>
    <t>G2 lider</t>
  </si>
  <si>
    <t>Se me apago el movil a las 12</t>
  </si>
  <si>
    <t>ccf661e3-5984-441a-8804-a0f8c150adaa</t>
  </si>
  <si>
    <t>2024-09-11T12:00:10.000Z</t>
  </si>
  <si>
    <t>2024-10-09T00:22:10.000Z</t>
  </si>
  <si>
    <t>66cf4a18-4cac-472d-bdda-9cb1d23b2524</t>
  </si>
  <si>
    <t>2024-09-10T12:08:17.000Z</t>
  </si>
  <si>
    <t>2024-10-09T00:19:37.000Z</t>
  </si>
  <si>
    <t>189c0db9-1c27-43e6-9549-b65cfb61bed7</t>
  </si>
  <si>
    <t>2024-09-09T13:02:52.000Z</t>
  </si>
  <si>
    <t>2024-10-09T00:17:38.000Z</t>
  </si>
  <si>
    <t>G2 cacao</t>
  </si>
  <si>
    <t>9e8060ec-290d-43c2-957a-1ecd7c06be39</t>
  </si>
  <si>
    <t>2024-09-09T13:01:52.000Z</t>
  </si>
  <si>
    <t>2024-10-09T00:17:36.000Z</t>
  </si>
  <si>
    <t>Limpieza</t>
  </si>
  <si>
    <t>8d2f54f9-ba5c-4650-8fa1-a0547a1cc2b4</t>
  </si>
  <si>
    <t>2024-09-09T13:01:16.000Z</t>
  </si>
  <si>
    <t>2024-10-09T00:17:34.000Z</t>
  </si>
  <si>
    <t>Mercado</t>
  </si>
  <si>
    <t>b85f4acb-c0ff-4ed5-8e40-98097cd368da</t>
  </si>
  <si>
    <t>2024-09-06T12:14:12.000Z</t>
  </si>
  <si>
    <t>2024-10-09T00:43:27.000Z</t>
  </si>
  <si>
    <t>Bosque lider 2</t>
  </si>
  <si>
    <t>b22d634f-2344-4d52-87cd-0367e90e6225</t>
  </si>
  <si>
    <t>2024-09-05T15:04:55.000Z</t>
  </si>
  <si>
    <t>2024-10-09T00:45:14.000Z</t>
  </si>
  <si>
    <t>Composiicion G2</t>
  </si>
  <si>
    <t>Composicion G2</t>
  </si>
  <si>
    <t>7f702fbb-542a-40c9-9aca-47f029a79352</t>
  </si>
  <si>
    <t>2024-09-03T11:59:36.000Z</t>
  </si>
  <si>
    <t>2024-10-09T00:45:25.000Z</t>
  </si>
  <si>
    <t>Reconocimiento G2</t>
  </si>
  <si>
    <t>789beab3-5c1a-4c22-9bcb-57eccb22ddac</t>
  </si>
  <si>
    <t>2024-09-02T15:01:47.000Z</t>
  </si>
  <si>
    <t>2024-10-09T00:47:14.000Z</t>
  </si>
  <si>
    <t>reconocimiento G2</t>
  </si>
  <si>
    <t>8cb8fe01-0fa2-440e-b77f-677b11fcba4f</t>
  </si>
  <si>
    <t>2024-09-02T15:01:11.000Z</t>
  </si>
  <si>
    <t>2024-10-09T00:11:59.000Z</t>
  </si>
  <si>
    <t>e242a473-4aaa-4aad-9990-abd234cd893e</t>
  </si>
  <si>
    <t>2024-08-31T11:58:48.000Z</t>
  </si>
  <si>
    <t>2024-10-09T00:16:20.000Z</t>
  </si>
  <si>
    <t>Bosque lider</t>
  </si>
  <si>
    <t>8bbbba2c-c32d-4210-be96-143c634db65c</t>
  </si>
  <si>
    <t>2024-08-30T12:41:50.000Z</t>
  </si>
  <si>
    <t>2024-10-09T00:13:24.000Z</t>
  </si>
  <si>
    <t>272425b3-dc31-462a-9bc4-4262efaf0e70</t>
  </si>
  <si>
    <t>2024-08-29T18:25:36.000Z</t>
  </si>
  <si>
    <t>2024-10-09T00:13:15.000Z</t>
  </si>
  <si>
    <t>da69f2f6-e791-4812-ac0d-a08ac6ff27ad</t>
  </si>
  <si>
    <t>2024-08-28T12:38:50.000Z</t>
  </si>
  <si>
    <t>2024-10-09T00:12:02.000Z</t>
  </si>
  <si>
    <t>d4dd88cf-495c-4f41-87a4-7fd7122843dd</t>
  </si>
  <si>
    <t>2024-08-27T21:14:24.000Z</t>
  </si>
  <si>
    <t>2024-10-09T00:09:04.000Z</t>
  </si>
  <si>
    <t>f095266c-b605-4961-ba8e-81f38c65d207</t>
  </si>
  <si>
    <t>2024-08-27T13:16:21.000Z</t>
  </si>
  <si>
    <t>2024-10-09T00:09:32.000Z</t>
  </si>
  <si>
    <t>fe767392-4143-4e94-a11f-5fbc3f9bfaa8</t>
  </si>
  <si>
    <t>2024-08-26T12:23:13.000Z</t>
  </si>
  <si>
    <t>2024-10-09T00:09:07.000Z</t>
  </si>
  <si>
    <t>666fffe9-a6fc-436c-a856-ee720dd079ab</t>
  </si>
  <si>
    <t>2024-08-24T13:07:29.000Z</t>
  </si>
  <si>
    <t>2024-10-09T00:09:25.000Z</t>
  </si>
  <si>
    <t>6f5c450d-8279-446e-b707-dc4efe44a5e9</t>
  </si>
  <si>
    <t>2024-08-23T11:42:27.000Z</t>
  </si>
  <si>
    <t>2024-10-09T00:07:24.000Z</t>
  </si>
  <si>
    <t>5c38eb33-98fa-4eb3-800a-9dbd920b0c9c</t>
  </si>
  <si>
    <t>2024-08-22T12:15:29.000Z</t>
  </si>
  <si>
    <t>2024-10-09T00:04:55.000Z</t>
  </si>
  <si>
    <t>d037fda8-471a-44a5-bf34-6ef229bcfe69</t>
  </si>
  <si>
    <t>2024-08-21T11:45:03.000Z</t>
  </si>
  <si>
    <t>2024-10-09T00:04:47.000Z</t>
  </si>
  <si>
    <t>Bosque lider busqueda 2</t>
  </si>
  <si>
    <t>bf092d8d-10e6-4614-b67d-487efcda430a</t>
  </si>
  <si>
    <t>2024-08-20T12:13:03.000Z</t>
  </si>
  <si>
    <t>2024-10-09T00:04:45.000Z</t>
  </si>
  <si>
    <t>Encontrar nuevo grupi</t>
  </si>
  <si>
    <t>Encontrar nuevo grupo</t>
  </si>
  <si>
    <t>e5012a25-cdf6-4893-bfe7-26b6b56074f8</t>
  </si>
  <si>
    <t>2024-08-19T23:09:09.000Z</t>
  </si>
  <si>
    <t>2024-08-20T00:27:58.000Z</t>
  </si>
  <si>
    <t>Casa Malestar</t>
  </si>
  <si>
    <t>0067b145-b030-4fc8-b143-e04359566474</t>
  </si>
  <si>
    <t>2024-08-19T23:07:50.000Z</t>
  </si>
  <si>
    <t>2024-08-20T00:27:56.000Z</t>
  </si>
  <si>
    <t>d63d12ec-322a-44a7-a942-13d9acc9fc3e</t>
  </si>
  <si>
    <t>2024-08-19T23:07:13.000Z</t>
  </si>
  <si>
    <t>2024-08-20T00:27:53.000Z</t>
  </si>
  <si>
    <t>cdf93f4b-7f13-4a88-856e-be84842e68b9</t>
  </si>
  <si>
    <t>2024-08-19T23:05:55.000Z</t>
  </si>
  <si>
    <t>2024-08-20T00:27:51.000Z</t>
  </si>
  <si>
    <t>Bosque Quinto</t>
  </si>
  <si>
    <t>b177b2bb-b233-47c4-9e87-5ee3ef4af387</t>
  </si>
  <si>
    <t>2024-08-19T23:01:48.000Z</t>
  </si>
  <si>
    <t>2024-08-20T00:27:48.000Z</t>
  </si>
  <si>
    <t>f4d5ca4c-5087-4b81-97ed-990878e9d461</t>
  </si>
  <si>
    <t>2024-08-14T12:11:39.000Z</t>
  </si>
  <si>
    <t>2024-08-20T00:28:11.000Z</t>
  </si>
  <si>
    <t>3ecbd134-55f5-4916-95f0-921e1fa73cf0</t>
  </si>
  <si>
    <t>2024-08-13T13:54:19.000Z</t>
  </si>
  <si>
    <t>2024-08-20T00:28:06.000Z</t>
  </si>
  <si>
    <t>7939c46f-f0bb-452e-8d9e-fe118dac2da6</t>
  </si>
  <si>
    <t>2024-08-12T11:43:27.000Z</t>
  </si>
  <si>
    <t>2024-08-20T00:28:04.000Z</t>
  </si>
  <si>
    <t>7ae0db02-c9df-4648-93de-0f9cf6956879</t>
  </si>
  <si>
    <t>2024-08-12T11:43:01.000Z</t>
  </si>
  <si>
    <t>2024-08-20T00:28:01.000Z</t>
  </si>
  <si>
    <t>fe02e462-a9ab-4c7e-9964-0bdc14831946</t>
  </si>
  <si>
    <t>2024-08-12T11:42:33.000Z</t>
  </si>
  <si>
    <t>2024-08-20T00:27:46.000Z</t>
  </si>
  <si>
    <t>Casa descanso</t>
  </si>
  <si>
    <t>bf06b293-64c4-4893-a77d-1128d993e846</t>
  </si>
  <si>
    <t>2024-08-12T11:38:54.000Z</t>
  </si>
  <si>
    <t>2024-08-20T00:30:54.000Z</t>
  </si>
  <si>
    <t>f01e93bf-7cf8-4324-a698-db23f793a672</t>
  </si>
  <si>
    <t>2024-08-08T12:45:14.000Z</t>
  </si>
  <si>
    <t>2024-08-20T00:30:52.000Z</t>
  </si>
  <si>
    <t>Bosqe lider</t>
  </si>
  <si>
    <t>c85a8937-e9c6-40a2-ad02-ff153313dea4</t>
  </si>
  <si>
    <t>2024-08-07T12:23:08.000Z</t>
  </si>
  <si>
    <t>2024-08-20T00:25:32.000Z</t>
  </si>
  <si>
    <t>16315bf4-dd64-4a08-ac19-ab0f7d905f45</t>
  </si>
  <si>
    <t>2024-08-06T13:24:20.000Z</t>
  </si>
  <si>
    <t>2024-08-20T00:26:56.000Z</t>
  </si>
  <si>
    <t>6692ff68-56a6-49c8-9e5e-ca2fae37c3f6</t>
  </si>
  <si>
    <t>2024-08-05T12:09:40.000Z</t>
  </si>
  <si>
    <t>2024-08-20T00:27:07.000Z</t>
  </si>
  <si>
    <t>b5bce0fb-2e91-4b9b-81a8-fe13f6597c51</t>
  </si>
  <si>
    <t>2024-08-05T12:08:48.000Z</t>
  </si>
  <si>
    <t>2024-08-20T00:28:17.000Z</t>
  </si>
  <si>
    <t>56b4ab10-1c81-4bfd-8fdc-8ce503a191ee</t>
  </si>
  <si>
    <t>2024-08-05T12:07:59.000Z</t>
  </si>
  <si>
    <t>2024-08-20T00:25:30.000Z</t>
  </si>
  <si>
    <t>Descanso+lavadora</t>
  </si>
  <si>
    <t>a4d02e39-d517-4c49-b322-1ccd85eec853</t>
  </si>
  <si>
    <t>2024-08-02T13:18:09.000Z</t>
  </si>
  <si>
    <t>2024-08-20T00:29:19.000Z</t>
  </si>
  <si>
    <t>9e209259-a1ab-4ffa-840a-838107d1154c</t>
  </si>
  <si>
    <t>2024-08-01T11:56:55.000Z</t>
  </si>
  <si>
    <t>2024-08-20T00:23:43.000Z</t>
  </si>
  <si>
    <t>3da96ce2-2c99-4afc-8ac2-e1263e879372</t>
  </si>
  <si>
    <t>2024-07-31T11:49:08.000Z</t>
  </si>
  <si>
    <t>2024-08-20T00:28:19.000Z</t>
  </si>
  <si>
    <t>dd53317b-f18b-4f16-84db-a917f2253150</t>
  </si>
  <si>
    <t>2024-07-30T12:18:32.000Z</t>
  </si>
  <si>
    <t>2024-08-20T00:23:11.000Z</t>
  </si>
  <si>
    <t>16d22f8f-0939-441d-a637-e6f5942bd7e6</t>
  </si>
  <si>
    <t>2024-07-29T12:20:45.000Z</t>
  </si>
  <si>
    <t>2024-07-30T00:45:20.000Z</t>
  </si>
  <si>
    <t>e2b8dee4-0ddc-4c61-8d9a-662d5ca977b8</t>
  </si>
  <si>
    <t>2024-07-29T12:20:16.000Z</t>
  </si>
  <si>
    <t>2024-07-30T00:45:18.000Z</t>
  </si>
  <si>
    <t>b5a2e91c-c281-4283-b1e0-933097759cbc</t>
  </si>
  <si>
    <t>2024-07-29T12:19:26.000Z</t>
  </si>
  <si>
    <t>2024-07-30T00:45:15.000Z</t>
  </si>
  <si>
    <t>Trabajo ordenador</t>
  </si>
  <si>
    <t>d8d0b9f8-4504-451b-b67b-3cc32063246e</t>
  </si>
  <si>
    <t>2024-07-26T12:06:59.000Z</t>
  </si>
  <si>
    <t>2024-07-30T00:44:58.000Z</t>
  </si>
  <si>
    <t>12a57edb-f913-4d31-be77-94e816f316d5</t>
  </si>
  <si>
    <t>2024-07-25T11:57:14.000Z</t>
  </si>
  <si>
    <t>2024-07-30T00:43:28.000Z</t>
  </si>
  <si>
    <t>733b6fd2-821a-43ef-be37-17691ed1c585</t>
  </si>
  <si>
    <t>2024-07-24T12:06:57.000Z</t>
  </si>
  <si>
    <t>2024-07-30T00:38:59.000Z</t>
  </si>
  <si>
    <t>39101a4f-d6b5-4c9f-83e2-674f5111c9f4</t>
  </si>
  <si>
    <t>2024-07-23T11:59:04.000Z</t>
  </si>
  <si>
    <t>2024-07-30T00:40:35.000Z</t>
  </si>
  <si>
    <t>a1358688-9773-46bd-8493-1d5ac34fc94e</t>
  </si>
  <si>
    <t>2024-07-22T12:07:36.000Z</t>
  </si>
  <si>
    <t>2024-07-30T00:37:54.000Z</t>
  </si>
  <si>
    <t>33a13f01-cef7-4aea-9917-3c1cc19d78f7</t>
  </si>
  <si>
    <t>2024-07-22T00:43:30.000Z</t>
  </si>
  <si>
    <t>2024-07-22T00:51:59.000Z</t>
  </si>
  <si>
    <t>a46a9480-ad43-4f5f-95cc-2ba9363d625a</t>
  </si>
  <si>
    <t>2024-07-20T12:24:10.000Z</t>
  </si>
  <si>
    <t>2024-07-22T00:51:54.000Z</t>
  </si>
  <si>
    <t>ddb9d66e-8d83-4eef-9b51-6ebaa3235dcd</t>
  </si>
  <si>
    <t>2024-07-19T11:59:43.000Z</t>
  </si>
  <si>
    <t>2024-07-22T00:51:41.000Z</t>
  </si>
  <si>
    <t>de66be7c-0822-43b1-8734-b350cc5195eb</t>
  </si>
  <si>
    <t>2024-07-19T11:59:17.000Z</t>
  </si>
  <si>
    <t>2024-07-22T00:51:38.000Z</t>
  </si>
  <si>
    <t>80856365-06b5-4e16-8d2b-519417d764b1</t>
  </si>
  <si>
    <t>2024-07-17T13:41:13.000Z</t>
  </si>
  <si>
    <t>2024-07-22T00:49:48.000Z</t>
  </si>
  <si>
    <t>458e1b84-77a9-431b-babe-132c4a008476</t>
  </si>
  <si>
    <t>2024-07-16T12:02:48.000Z</t>
  </si>
  <si>
    <t>2024-07-22T00:48:09.000Z</t>
  </si>
  <si>
    <t>9e643c9f-9e23-4452-85d3-533fa369b112</t>
  </si>
  <si>
    <t>2024-07-15T15:41:48.000Z</t>
  </si>
  <si>
    <t>2024-07-22T00:51:57.000Z</t>
  </si>
  <si>
    <t>aff13e03-f39d-40a9-bdb0-11421293a186</t>
  </si>
  <si>
    <t>2024-07-15T15:39:43.000Z</t>
  </si>
  <si>
    <t>2024-07-22T00:48:05.000Z</t>
  </si>
  <si>
    <t>5f9d75b1-304c-49e6-b03e-b3f3f3a40ec2</t>
  </si>
  <si>
    <t>2024-07-13T12:00:04.000Z</t>
  </si>
  <si>
    <t>2024-07-22T00:44:56.000Z</t>
  </si>
  <si>
    <t>09d8aa7d-1567-4fe5-b946-32a828f61cf2</t>
  </si>
  <si>
    <t>2024-07-12T12:30:36.000Z</t>
  </si>
  <si>
    <t>2024-07-22T00:45:53.000Z</t>
  </si>
  <si>
    <t>cd3cc50f-b08f-42aa-88ec-4a4f28602f3a</t>
  </si>
  <si>
    <t>2024-07-11T11:49:58.000Z</t>
  </si>
  <si>
    <t>2024-07-22T00:44:53.000Z</t>
  </si>
  <si>
    <t>f6b33e27-9e15-4826-a3b3-dcbbc7deb992</t>
  </si>
  <si>
    <t>2024-07-10T11:54:22.000Z</t>
  </si>
  <si>
    <t>2024-07-22T00:44:51.000Z</t>
  </si>
  <si>
    <t>8bddde9b-742f-45dd-b917-ddbd05852ac7</t>
  </si>
  <si>
    <t>2024-07-10T11:53:37.000Z</t>
  </si>
  <si>
    <t>2024-07-22T00:44:48.000Z</t>
  </si>
  <si>
    <t>ec5_parent_uuid</t>
  </si>
  <si>
    <t>11_Hora_inicial</t>
  </si>
  <si>
    <t>12_Nmero_avistaje</t>
  </si>
  <si>
    <t>13_Especie_avistada</t>
  </si>
  <si>
    <t>14_Otro</t>
  </si>
  <si>
    <t>15_Grupo_avistado</t>
  </si>
  <si>
    <t>16_Punto_GPS</t>
  </si>
  <si>
    <t>19_Comportamiento</t>
  </si>
  <si>
    <t>20_Cmo_finaliz_el_av</t>
  </si>
  <si>
    <t>21_Hora_fin</t>
  </si>
  <si>
    <t>22_Notas</t>
  </si>
  <si>
    <t>24_Adultos_Machos</t>
  </si>
  <si>
    <t>25_Adultas_Hembras</t>
  </si>
  <si>
    <t>26_Adultas_Hembras_c</t>
  </si>
  <si>
    <t>27_Adultos_indetermi</t>
  </si>
  <si>
    <t>28_Subadultos_Machos</t>
  </si>
  <si>
    <t>29_Subadultas_Hembra</t>
  </si>
  <si>
    <t>30_Subadultos_indete</t>
  </si>
  <si>
    <t>31_Juveniles_Machos</t>
  </si>
  <si>
    <t>32_Juveniles_Hembras</t>
  </si>
  <si>
    <t>33_Juveniles_Indeter</t>
  </si>
  <si>
    <t>34_Infantes_Machos</t>
  </si>
  <si>
    <t>35_Infantes_Hembras</t>
  </si>
  <si>
    <t>36_Infantes_Indeterm</t>
  </si>
  <si>
    <t>5a8f5583-8363-4d32-91ad-9148dab857db</t>
  </si>
  <si>
    <t>2024-10-10T15:06:42.000Z</t>
  </si>
  <si>
    <t>001 Alouatta palliata</t>
  </si>
  <si>
    <t>Alouatta palliata</t>
  </si>
  <si>
    <t>G2</t>
  </si>
  <si>
    <t>Vocalización</t>
  </si>
  <si>
    <t>Dejé el grupo</t>
  </si>
  <si>
    <t>03f64910-db55-42e5-93db-86a9b3ce42c7</t>
  </si>
  <si>
    <t>2024-10-09T12:27:01.000Z</t>
  </si>
  <si>
    <t>Descanso</t>
  </si>
  <si>
    <t>c16d9669-bfef-43b5-9b1e-283f04a2e7d7</t>
  </si>
  <si>
    <t>2024-10-08T12:23:03.000Z</t>
  </si>
  <si>
    <t>ac184463-f9ec-4c1e-87aa-2b7f1a9f6840</t>
  </si>
  <si>
    <t>2024-10-07T12:26:10.000Z</t>
  </si>
  <si>
    <t>Movimiento</t>
  </si>
  <si>
    <t>3a267362-375b-4b7c-b118-9b25b5d71a4b</t>
  </si>
  <si>
    <t>2024-09-28T12:51:23.000Z</t>
  </si>
  <si>
    <t>No se movieron</t>
  </si>
  <si>
    <t>d8f7c4fa-e472-43dd-bb7f-f85d29012175</t>
  </si>
  <si>
    <t>2024-09-27T19:24:28.000Z</t>
  </si>
  <si>
    <t>No se movieron y me costo encontrarlos</t>
  </si>
  <si>
    <t>6bad0735-7bf5-418c-9760-b842c55aa40d</t>
  </si>
  <si>
    <t>2024-09-26T12:48:57.000Z</t>
  </si>
  <si>
    <t>Se me apagago el movil a las 14:30, deje el grupo 16:30</t>
  </si>
  <si>
    <t>d2101777-8738-4c75-b542-7e8b9de5a54d</t>
  </si>
  <si>
    <t>2024-09-25T13:12:22.000Z</t>
  </si>
  <si>
    <t>Se apago el movil 14:45</t>
  </si>
  <si>
    <t>55f4fcb3-8e92-4f5b-b059-6b0fe9a1e9a6</t>
  </si>
  <si>
    <t>2024-09-24T12:28:32.000Z</t>
  </si>
  <si>
    <t>Se me apago el movil a las 16</t>
  </si>
  <si>
    <t>f4e87b15-51de-4d5e-a893-280dcc30fb56</t>
  </si>
  <si>
    <t>2024-09-23T13:15:35.000Z</t>
  </si>
  <si>
    <t>80a6bce5-80dd-4bdd-8194-d413362c1b35</t>
  </si>
  <si>
    <t>2024-09-21T13:59:23.000Z</t>
  </si>
  <si>
    <t>66ce88f0-5cf9-4b34-aaf7-a39d1e4427a4</t>
  </si>
  <si>
    <t>2024-09-18T12:25:33.000Z</t>
  </si>
  <si>
    <t>a2678377-50d6-4bc0-8e40-ed325ca40934</t>
  </si>
  <si>
    <t>2024-09-17T16:54:16.000Z</t>
  </si>
  <si>
    <t>842b64f9-c6f0-4727-8c05-3bfab2302743</t>
  </si>
  <si>
    <t>2024-09-16T14:50:16.000Z</t>
  </si>
  <si>
    <t>40130fd8-f9ff-4a39-92d9-e8dd1dab336c</t>
  </si>
  <si>
    <t>2024-09-12T12:28:13.000Z</t>
  </si>
  <si>
    <t>Alimentación</t>
  </si>
  <si>
    <t>76158938-1ecf-491a-92ca-e8dcdaafd209</t>
  </si>
  <si>
    <t>2024-09-11T12:27:34.000Z</t>
  </si>
  <si>
    <t>a3973fed-453b-4d99-9a35-fc86b3697f84</t>
  </si>
  <si>
    <t>2024-09-10T12:09:27.000Z</t>
  </si>
  <si>
    <t>e5ca36e7-2909-490d-b063-782e49032425</t>
  </si>
  <si>
    <t>2024-09-09T13:04:20.000Z</t>
  </si>
  <si>
    <t>995224ac-6441-48c5-8fff-fe3fd8ed5763</t>
  </si>
  <si>
    <t>2024-09-06T12:15:25.000Z</t>
  </si>
  <si>
    <t>A las 15 se me apago el movil</t>
  </si>
  <si>
    <t>c1ec88e7-712b-4354-b2e4-9f2e4fbe9dcb</t>
  </si>
  <si>
    <t>2024-09-05T15:16:21.000Z</t>
  </si>
  <si>
    <t>003 Alouatta palliata</t>
  </si>
  <si>
    <t>641994d4-cc40-4d4d-9be3-237bbead435d</t>
  </si>
  <si>
    <t>2024-09-05T15:13:50.000Z</t>
  </si>
  <si>
    <t>75fe71e6-6860-42b1-a80d-a9cc22ba09c7</t>
  </si>
  <si>
    <t>2024-09-03T12:43:21.000Z</t>
  </si>
  <si>
    <t>5cd37f4b-b8e4-4d68-961c-36e0b33a1178</t>
  </si>
  <si>
    <t>2024-09-02T15:02:53.000Z</t>
  </si>
  <si>
    <t>61238bc7-bb03-4003-85e8-da16a0814092</t>
  </si>
  <si>
    <t>2024-08-31T11:59:48.000Z</t>
  </si>
  <si>
    <t>9806090e-666d-452e-aeb5-aeb714edee7a</t>
  </si>
  <si>
    <t>2024-08-30T12:42:35.000Z</t>
  </si>
  <si>
    <t>4b92315f-8a8e-43e0-bdcf-f4dbad36fd8e</t>
  </si>
  <si>
    <t>2024-08-29T18:26:37.000Z</t>
  </si>
  <si>
    <t>382aeb11-5003-4e03-aedb-9eb06771a69b</t>
  </si>
  <si>
    <t>2024-08-28T12:39:39.000Z</t>
  </si>
  <si>
    <t>Perdí el grupo</t>
  </si>
  <si>
    <t>2cc63b34-9f89-4790-b119-d270ffef9d5e</t>
  </si>
  <si>
    <t>2024-08-27T13:18:47.000Z</t>
  </si>
  <si>
    <t>be641b7a-aa9e-448e-9cb7-2fadb8f53f1d</t>
  </si>
  <si>
    <t>2024-08-26T12:24:57.000Z</t>
  </si>
  <si>
    <t>aa2385d2-5834-4c88-bde6-52077f94f47a</t>
  </si>
  <si>
    <t>2024-08-24T13:08:21.000Z</t>
  </si>
  <si>
    <t>5a5fcbb0-09da-4650-84e6-ff9d6e9735cc</t>
  </si>
  <si>
    <t>2024-08-23T11:50:04.000Z</t>
  </si>
  <si>
    <t>9f70fa80-f377-46b3-a1c5-a335ffbb13f4</t>
  </si>
  <si>
    <t>2024-08-22T12:16:56.000Z</t>
  </si>
  <si>
    <t>af9acaf5-7f7a-471c-aeb5-5609fc28d57e</t>
  </si>
  <si>
    <t>2024-08-21T12:17:32.000Z</t>
  </si>
  <si>
    <t>c0e01d70-4b28-43fa-9a7d-76ca73115601</t>
  </si>
  <si>
    <t>2024-08-07T14:33:07.000Z</t>
  </si>
  <si>
    <t>6707a4ac-b392-4212-b471-3179fb9a7d74</t>
  </si>
  <si>
    <t>2024-08-06T13:35:39.000Z</t>
  </si>
  <si>
    <t>d1b126cb-cfa0-4e16-b6b3-e5a0772f7374</t>
  </si>
  <si>
    <t>2024-08-05T12:39:41.000Z</t>
  </si>
  <si>
    <t>256fa50e-ced6-47c3-95d4-0e351be338b3</t>
  </si>
  <si>
    <t>2024-08-02T13:19:33.000Z</t>
  </si>
  <si>
    <t>7e53f7e2-2154-4639-b238-df4d33d57743</t>
  </si>
  <si>
    <t>2024-08-01T13:29:23.000Z</t>
  </si>
  <si>
    <t>6fc7e4d7-6e99-4e0a-b91a-dc5b10e88c09</t>
  </si>
  <si>
    <t>2024-07-31T12:15:25.000Z</t>
  </si>
  <si>
    <t>1e460cb6-842b-4405-9a57-cb9b606ce862</t>
  </si>
  <si>
    <t>2024-07-30T12:19:48.000Z</t>
  </si>
  <si>
    <t>594094a0-45e1-4702-8f22-886148ec1ce9</t>
  </si>
  <si>
    <t>2024-07-29T12:40:23.000Z</t>
  </si>
  <si>
    <t>b15d8e38-fe08-41a8-99a2-bd8c907fc3d0</t>
  </si>
  <si>
    <t>2024-07-26T12:08:09.000Z</t>
  </si>
  <si>
    <t>293acf67-ad0f-4a30-976f-1803bf48e685</t>
  </si>
  <si>
    <t>2024-07-25T12:13:43.000Z</t>
  </si>
  <si>
    <t>218d3e27-6483-421e-8935-00fc731e7031</t>
  </si>
  <si>
    <t>2024-07-24T12:08:11.000Z</t>
  </si>
  <si>
    <t>bd3fe822-f5af-4966-b7a6-52b6c3beb6d7</t>
  </si>
  <si>
    <t>2024-07-23T12:07:38.000Z</t>
  </si>
  <si>
    <t>cbc08a7e-7950-45b8-b322-abc49180fd35</t>
  </si>
  <si>
    <t>2024-07-22T12:36:20.000Z</t>
  </si>
  <si>
    <t>48db28af-bf3c-4968-8b0a-11c3f07528fe</t>
  </si>
  <si>
    <t>2024-07-19T14:51:42.000Z</t>
  </si>
  <si>
    <t>901cbb97-9859-4e80-97cb-1c7579e412e5</t>
  </si>
  <si>
    <t>2024-07-17T13:44:47.000Z</t>
  </si>
  <si>
    <t>fd7fd18c-fc95-4f12-91fb-60738d8bec2e</t>
  </si>
  <si>
    <t>2024-07-16T13:11:29.000Z</t>
  </si>
  <si>
    <t>60c9e819-d23b-4d20-81f2-d39e9b5d21bc</t>
  </si>
  <si>
    <t>2024-07-13T13:55:22.000Z</t>
  </si>
  <si>
    <t>cc10a0a2-0813-4ee2-8f51-f7efc61861c0</t>
  </si>
  <si>
    <t>2024-07-12T14:15:41.000Z</t>
  </si>
  <si>
    <t>41_Cdigo_del_focal</t>
  </si>
  <si>
    <t>42_Individuo_focal</t>
  </si>
  <si>
    <t>43_Nombre_del_indivi</t>
  </si>
  <si>
    <t>44_Hora_inicio</t>
  </si>
  <si>
    <t>45_Clima</t>
  </si>
  <si>
    <t>46_Notas</t>
  </si>
  <si>
    <t>47_Seguimiento_focal</t>
  </si>
  <si>
    <t>76_All_Ocurrence</t>
  </si>
  <si>
    <t>87_Ad_Libitum</t>
  </si>
  <si>
    <t>102_Dieta</t>
  </si>
  <si>
    <t>118_Vocalizaciones</t>
  </si>
  <si>
    <t>127_Interacciones_in</t>
  </si>
  <si>
    <t>143_Composicin</t>
  </si>
  <si>
    <t>166_Hora_fin</t>
  </si>
  <si>
    <t>167_Cmo_finaliz</t>
  </si>
  <si>
    <t>cb935b2b-4958-483b-99b8-83b4bf74b985</t>
  </si>
  <si>
    <t>2024-10-10T17:28:51.000Z</t>
  </si>
  <si>
    <t>2024-10-11T20:04:39.000Z</t>
  </si>
  <si>
    <t>002 Bueno 14:30</t>
  </si>
  <si>
    <t>AM</t>
  </si>
  <si>
    <t>Bueno</t>
  </si>
  <si>
    <t>Cielo parcialmente nublado</t>
  </si>
  <si>
    <t>Dejé el focal</t>
  </si>
  <si>
    <t>029b8d35-8620-4250-90d1-283c97e1d457</t>
  </si>
  <si>
    <t>2024-10-10T15:23:53.000Z</t>
  </si>
  <si>
    <t>2024-10-11T20:04:00.000Z</t>
  </si>
  <si>
    <t>001 12:09</t>
  </si>
  <si>
    <t>*AFD</t>
  </si>
  <si>
    <t>Pocas nubes y claro</t>
  </si>
  <si>
    <t>82e32d7e-eff9-463d-8f13-f453497ac3eb</t>
  </si>
  <si>
    <t>2024-10-09T13:04:30.000Z</t>
  </si>
  <si>
    <t>2024-10-11T20:02:03.000Z</t>
  </si>
  <si>
    <t>001 Oso 17:06</t>
  </si>
  <si>
    <t>Oso</t>
  </si>
  <si>
    <t>4a32f599-a8d4-4ba4-9698-4d1083e82ce6</t>
  </si>
  <si>
    <t>2024-10-08T14:34:05.000Z</t>
  </si>
  <si>
    <t>2024-10-10T21:39:27.000Z</t>
  </si>
  <si>
    <t>001 Bueno 17:31</t>
  </si>
  <si>
    <t>a4610d5e-2888-43d7-9193-49902a5b8e2e</t>
  </si>
  <si>
    <t>2024-10-07T19:23:45.000Z</t>
  </si>
  <si>
    <t>2024-10-09T00:30:28.000Z</t>
  </si>
  <si>
    <t>003 Oso 16:20</t>
  </si>
  <si>
    <t>26817495-e93c-442a-a347-3d6ce49abf30</t>
  </si>
  <si>
    <t>2024-10-07T17:40:22.000Z</t>
  </si>
  <si>
    <t>2024-10-09T00:29:58.000Z</t>
  </si>
  <si>
    <t>002 Mama SAF 14:00</t>
  </si>
  <si>
    <t>AF (Cíclica)</t>
  </si>
  <si>
    <t>62f744f2-90fb-49a2-9946-a85504da07e0</t>
  </si>
  <si>
    <t>2024-10-07T14:55:08.000Z</t>
  </si>
  <si>
    <t>2024-10-09T00:29:13.000Z</t>
  </si>
  <si>
    <t>001 12:24</t>
  </si>
  <si>
    <t>c68ce40e-8122-4201-b166-33a5344bbf91</t>
  </si>
  <si>
    <t>2024-09-26T18:32:20.000Z</t>
  </si>
  <si>
    <t>2024-10-09T00:32:13.000Z</t>
  </si>
  <si>
    <t>002 16:21</t>
  </si>
  <si>
    <t>81fd20a7-e713-41bc-94b4-7117f09efeb9</t>
  </si>
  <si>
    <t>2024-09-26T15:34:40.000Z</t>
  </si>
  <si>
    <t>2024-10-09T00:31:24.000Z</t>
  </si>
  <si>
    <t>001 13:29</t>
  </si>
  <si>
    <t>Cielo nublado y oscuro</t>
  </si>
  <si>
    <t>fce30262-2f0c-4401-9622-64703196a57f</t>
  </si>
  <si>
    <t>2024-09-25T13:21:26.000Z</t>
  </si>
  <si>
    <t>2024-10-09T00:32:41.000Z</t>
  </si>
  <si>
    <t>001 16:30</t>
  </si>
  <si>
    <t>b49e8194-26e0-4fdd-9214-48ae2641ebe2</t>
  </si>
  <si>
    <t>2024-09-24T14:40:03.000Z</t>
  </si>
  <si>
    <t>2024-10-09T00:34:15.000Z</t>
  </si>
  <si>
    <t>AF (Lactante)</t>
  </si>
  <si>
    <t>bfd25446-ae0f-4dac-8e0e-944e38ae652b</t>
  </si>
  <si>
    <t>2024-09-23T15:45:33.000Z</t>
  </si>
  <si>
    <t>2024-10-09T00:28:28.000Z</t>
  </si>
  <si>
    <t>001 12:30</t>
  </si>
  <si>
    <t>Llovizna leve</t>
  </si>
  <si>
    <t>e4bd13f9-7790-48fd-85a6-b805fcf459b9</t>
  </si>
  <si>
    <t>2024-09-21T16:27:28.000Z</t>
  </si>
  <si>
    <t>2024-10-09T00:27:23.000Z</t>
  </si>
  <si>
    <t>001 16:32</t>
  </si>
  <si>
    <t>Muy soleado</t>
  </si>
  <si>
    <t>ba8a8afc-0e86-4f4d-b6ae-427c3434d8d9</t>
  </si>
  <si>
    <t>2024-09-18T14:36:21.000Z</t>
  </si>
  <si>
    <t>2024-10-09T00:25:45.000Z</t>
  </si>
  <si>
    <t>001 16:40</t>
  </si>
  <si>
    <t>79a15e61-9b27-4606-a694-48ecf55e2cc9</t>
  </si>
  <si>
    <t>2024-09-17T17:05:01.000Z</t>
  </si>
  <si>
    <t>2024-10-09T00:24:56.000Z</t>
  </si>
  <si>
    <t>001 15:50</t>
  </si>
  <si>
    <t>ec42854f-43cd-4374-9f20-6649a9c4d07e</t>
  </si>
  <si>
    <t>2024-09-16T18:40:16.000Z</t>
  </si>
  <si>
    <t>2024-10-09T00:24:13.000Z</t>
  </si>
  <si>
    <t>001 16:12</t>
  </si>
  <si>
    <t>c0559a0e-3bfa-448d-ba51-c0d897ba2805</t>
  </si>
  <si>
    <t>2024-09-12T14:33:53.000Z</t>
  </si>
  <si>
    <t>2024-10-09T00:43:18.000Z</t>
  </si>
  <si>
    <t>002 17:00</t>
  </si>
  <si>
    <t>889209ef-ecb6-42c2-9514-d7e94a2b493e</t>
  </si>
  <si>
    <t>2024-09-12T13:09:16.000Z</t>
  </si>
  <si>
    <t>2024-10-09T00:35:54.000Z</t>
  </si>
  <si>
    <t>001 08:30</t>
  </si>
  <si>
    <t>26cd6618-860b-4c13-b99f-852be042a1b8</t>
  </si>
  <si>
    <t>2024-09-11T15:29:58.000Z</t>
  </si>
  <si>
    <t>2024-10-09T00:22:14.000Z</t>
  </si>
  <si>
    <t>001 17:00</t>
  </si>
  <si>
    <t>7188e5d1-ce4f-4762-9ae0-b044b002ecf9</t>
  </si>
  <si>
    <t>2024-09-10T18:32:57.000Z</t>
  </si>
  <si>
    <t>2024-10-09T00:21:04.000Z</t>
  </si>
  <si>
    <t>002 17:28</t>
  </si>
  <si>
    <t>7dbf793e-e1b8-4c7c-b356-129f1c975091</t>
  </si>
  <si>
    <t>2024-09-10T13:28:33.000Z</t>
  </si>
  <si>
    <t>2024-10-09T00:19:42.000Z</t>
  </si>
  <si>
    <t>001 13:30</t>
  </si>
  <si>
    <t>2f6079c4-5b27-4fd8-a56c-1d80ea4f8e21</t>
  </si>
  <si>
    <t>2024-09-09T13:54:12.000Z</t>
  </si>
  <si>
    <t>2024-10-09T00:17:42.000Z</t>
  </si>
  <si>
    <t>ff4e3196-8595-456e-b685-21d04a512998</t>
  </si>
  <si>
    <t>2024-09-06T12:24:32.000Z</t>
  </si>
  <si>
    <t>2024-10-09T00:43:30.000Z</t>
  </si>
  <si>
    <t>001 17:05</t>
  </si>
  <si>
    <t>9d106d40-d4fb-4824-99fb-8e57229cfef2</t>
  </si>
  <si>
    <t>2024-09-03T12:44:28.000Z</t>
  </si>
  <si>
    <t>2024-10-09T00:45:29.000Z</t>
  </si>
  <si>
    <t>001 16:20</t>
  </si>
  <si>
    <t>a54a3cb9-727d-4484-8c81-a6c786e5f9e8</t>
  </si>
  <si>
    <t>2024-09-02T15:30:13.000Z</t>
  </si>
  <si>
    <t>2024-10-09T00:47:19.000Z</t>
  </si>
  <si>
    <t>001 Pruebas Nuevo grupo 16:00</t>
  </si>
  <si>
    <t>Pruebas Nuevo grupo</t>
  </si>
  <si>
    <t>ad72a27a-9b3b-493f-9702-184ba382dec4</t>
  </si>
  <si>
    <t>2024-08-31T12:06:22.000Z</t>
  </si>
  <si>
    <t>2024-10-09T00:16:23.000Z</t>
  </si>
  <si>
    <t>001 GRU 11:58</t>
  </si>
  <si>
    <t>GRU</t>
  </si>
  <si>
    <t>f2186e6e-45c5-4263-b840-b9537d05c36e</t>
  </si>
  <si>
    <t>2024-08-30T19:31:14.000Z</t>
  </si>
  <si>
    <t>2024-10-09T00:15:25.000Z</t>
  </si>
  <si>
    <t>002 Gandhi 17:40</t>
  </si>
  <si>
    <t>Gandhi</t>
  </si>
  <si>
    <t>3e94f0c3-289c-4bb7-b5db-744ae5d696a4</t>
  </si>
  <si>
    <t>2024-08-30T12:43:24.000Z</t>
  </si>
  <si>
    <t>2024-10-09T00:13:28.000Z</t>
  </si>
  <si>
    <t>001 GRU 14:07</t>
  </si>
  <si>
    <t>bf68c5e8-f66f-4dda-bdb0-580a5928c6f8</t>
  </si>
  <si>
    <t>2024-08-29T18:29:37.000Z</t>
  </si>
  <si>
    <t>2024-10-09T00:13:19.000Z</t>
  </si>
  <si>
    <t>001 GRU 17:10</t>
  </si>
  <si>
    <t>6f853b2a-d76b-4f01-b3db-5d741170bae0</t>
  </si>
  <si>
    <t>2024-08-28T12:41:24.000Z</t>
  </si>
  <si>
    <t>2024-10-09T00:12:06.000Z</t>
  </si>
  <si>
    <t>001 GRU 12:30</t>
  </si>
  <si>
    <t>Perdí el focal</t>
  </si>
  <si>
    <t>e83b53be-b067-4de6-af76-ca6cb5b2158e</t>
  </si>
  <si>
    <t>2024-08-27T13:26:36.000Z</t>
  </si>
  <si>
    <t>2024-10-09T00:09:37.000Z</t>
  </si>
  <si>
    <t>001 Alhambra 17:32</t>
  </si>
  <si>
    <t>Alhambra</t>
  </si>
  <si>
    <t>fc3a0345-af1f-4142-99ba-26f6bfa97657</t>
  </si>
  <si>
    <t>2024-08-26T13:02:21.000Z</t>
  </si>
  <si>
    <t>2024-10-09T00:09:11.000Z</t>
  </si>
  <si>
    <t>001 Felipe 08:32</t>
  </si>
  <si>
    <t>Felipe</t>
  </si>
  <si>
    <t>7a937216-2a7e-4182-b64d-ea4880d50645</t>
  </si>
  <si>
    <t>2024-08-24T17:55:09.000Z</t>
  </si>
  <si>
    <t>2024-10-09T00:51:56.000Z</t>
  </si>
  <si>
    <t>001 16:35</t>
  </si>
  <si>
    <t>75dbf557-a200-4d8f-8ab5-43754ff49768</t>
  </si>
  <si>
    <t>2024-08-24T12:27:32.000Z</t>
  </si>
  <si>
    <t>2024-10-09T00:08:36.000Z</t>
  </si>
  <si>
    <t>002 Momi 17:53</t>
  </si>
  <si>
    <t>Momi</t>
  </si>
  <si>
    <t>2635c5f8-77fe-4e45-b813-2046dfd9637c</t>
  </si>
  <si>
    <t>2024-08-23T17:35:41.000Z</t>
  </si>
  <si>
    <t>2024-10-09T00:07:28.000Z</t>
  </si>
  <si>
    <t>001 Gandhi 15:58</t>
  </si>
  <si>
    <t>5f930d83-9a2d-4ea5-91a4-1b6a3a865568</t>
  </si>
  <si>
    <t>2024-08-22T15:13:03.000Z</t>
  </si>
  <si>
    <t>2024-10-09T00:05:29.000Z</t>
  </si>
  <si>
    <t>002 Momia 17:54</t>
  </si>
  <si>
    <t>Momia</t>
  </si>
  <si>
    <t>4d961d83-c5ad-4a0a-96d8-d8321482914d</t>
  </si>
  <si>
    <t>2024-08-22T13:34:23.000Z</t>
  </si>
  <si>
    <t>2024-10-09T00:04:58.000Z</t>
  </si>
  <si>
    <t>001 Gandhi 10:05</t>
  </si>
  <si>
    <t>aba1c39b-2c36-422f-8b73-102c16bff1ea</t>
  </si>
  <si>
    <t>2024-08-07T15:22:05.000Z</t>
  </si>
  <si>
    <t>2024-08-20T00:25:37.000Z</t>
  </si>
  <si>
    <t>001 Patillas 17:15</t>
  </si>
  <si>
    <t>Patillas</t>
  </si>
  <si>
    <t>ee891516-5d0f-4f18-8957-2b2a9b8fcb3a</t>
  </si>
  <si>
    <t>2024-08-06T13:36:46.000Z</t>
  </si>
  <si>
    <t>2024-08-20T00:27:00.000Z</t>
  </si>
  <si>
    <t>001 Gandhi 13:49</t>
  </si>
  <si>
    <t>6a2cafd6-ffd0-4ca2-91d3-a260ebb05f43</t>
  </si>
  <si>
    <t>2024-08-05T14:46:12.000Z</t>
  </si>
  <si>
    <t>2024-08-20T00:27:10.000Z</t>
  </si>
  <si>
    <t>001 11:00</t>
  </si>
  <si>
    <t>60acceb3-9d30-49a2-b344-e15b5bcecd6b</t>
  </si>
  <si>
    <t>2024-08-02T13:22:51.000Z</t>
  </si>
  <si>
    <t>2024-08-20T00:29:23.000Z</t>
  </si>
  <si>
    <t>001 Gandhi 15:28</t>
  </si>
  <si>
    <t>93847a25-d5ca-49c3-918a-6a2dec37637b</t>
  </si>
  <si>
    <t>2024-08-01T13:42:19.000Z</t>
  </si>
  <si>
    <t>2024-08-20T00:23:47.000Z</t>
  </si>
  <si>
    <t>001 Ambar 17:31</t>
  </si>
  <si>
    <t>JUVENIL</t>
  </si>
  <si>
    <t>Ambar</t>
  </si>
  <si>
    <t>e4d81969-031b-4982-b298-72439317bb77</t>
  </si>
  <si>
    <t>2024-07-31T12:15:45.000Z</t>
  </si>
  <si>
    <t>2024-08-20T00:28:23.000Z</t>
  </si>
  <si>
    <t>001 15:00</t>
  </si>
  <si>
    <t>ee6e5ee3-d930-4207-bf99-354fd0820b36</t>
  </si>
  <si>
    <t>2024-07-30T22:07:44.000Z</t>
  </si>
  <si>
    <t>2024-08-20T00:18:49.000Z</t>
  </si>
  <si>
    <t>003 Gandhi 17:47</t>
  </si>
  <si>
    <t>d8ea6782-c9b4-4718-9a43-aad4e7f30ece</t>
  </si>
  <si>
    <t>2024-07-30T17:41:16.000Z</t>
  </si>
  <si>
    <t>2024-08-20T00:23:15.000Z</t>
  </si>
  <si>
    <t>002 Felipe 16:32</t>
  </si>
  <si>
    <t>a22f465e-69f9-4a4f-acb3-5a51d06b7f59</t>
  </si>
  <si>
    <t>2024-07-30T12:20:24.000Z</t>
  </si>
  <si>
    <t>2024-08-20T00:12:25.000Z</t>
  </si>
  <si>
    <t>001 Patillas 11:58</t>
  </si>
  <si>
    <t>d129fa6a-bb4a-44be-9f1c-8d1bdb66b4cb</t>
  </si>
  <si>
    <t>2024-07-29T12:46:12.000Z</t>
  </si>
  <si>
    <t>2024-07-30T00:45:24.000Z</t>
  </si>
  <si>
    <t>001 17:37</t>
  </si>
  <si>
    <t>3a2cae6e-24b6-4a54-8143-b3b918a19628</t>
  </si>
  <si>
    <t>2024-07-26T19:43:28.000Z</t>
  </si>
  <si>
    <t>2024-07-30T00:45:09.000Z</t>
  </si>
  <si>
    <t>002 16:58</t>
  </si>
  <si>
    <t>f998405f-022e-4a0b-b0a7-dc72d9643d15</t>
  </si>
  <si>
    <t>2024-07-26T12:19:35.000Z</t>
  </si>
  <si>
    <t>2024-07-30T00:45:02.000Z</t>
  </si>
  <si>
    <t>001 11:28</t>
  </si>
  <si>
    <t>868f1d88-4889-424c-bee4-5d51d45b038e</t>
  </si>
  <si>
    <t>2024-07-25T21:40:28.000Z</t>
  </si>
  <si>
    <t>2024-07-30T00:44:50.000Z</t>
  </si>
  <si>
    <t>002 Ojer 17:49</t>
  </si>
  <si>
    <t>Ojer</t>
  </si>
  <si>
    <t>37d39ef8-c110-4f04-b527-5bd81730c188</t>
  </si>
  <si>
    <t>2024-07-25T12:15:50.000Z</t>
  </si>
  <si>
    <t>2024-07-30T00:43:33.000Z</t>
  </si>
  <si>
    <t>001 Ambar 15:59</t>
  </si>
  <si>
    <t>a5891e05-4bec-42f8-9935-ac45604105d6</t>
  </si>
  <si>
    <t>2024-07-24T13:53:18.000Z</t>
  </si>
  <si>
    <t>2024-07-30T00:39:22.000Z</t>
  </si>
  <si>
    <t>003 Felipe 18:24</t>
  </si>
  <si>
    <t>7b62806e-5b25-4373-85e3-202ec9d5ac12</t>
  </si>
  <si>
    <t>2024-07-24T12:39:07.000Z</t>
  </si>
  <si>
    <t>2024-07-30T00:39:03.000Z</t>
  </si>
  <si>
    <t>002 Ambar 08:44</t>
  </si>
  <si>
    <t>8c1a9a1b-39a9-4f65-8c7c-eede278e7b1c</t>
  </si>
  <si>
    <t>2024-07-24T12:38:16.000Z</t>
  </si>
  <si>
    <t>2024-07-30T00:39:18.000Z</t>
  </si>
  <si>
    <t>001 Gandhi 07:37</t>
  </si>
  <si>
    <t>22046d89-6265-437a-897c-e5f08d079901</t>
  </si>
  <si>
    <t>2024-07-23T12:20:09.000Z</t>
  </si>
  <si>
    <t>2024-07-30T00:40:38.000Z</t>
  </si>
  <si>
    <t>001 Mama amarilla 18:27</t>
  </si>
  <si>
    <t>b35c3bae-8378-4706-957b-06bf1770c138</t>
  </si>
  <si>
    <t>2024-07-22T19:29:55.000Z</t>
  </si>
  <si>
    <t>2024-08-20T00:18:04.000Z</t>
  </si>
  <si>
    <t>003 16:20</t>
  </si>
  <si>
    <t>b0a07c05-1e6e-48b6-9364-7524a5205aa5</t>
  </si>
  <si>
    <t>2024-07-22T18:24:13.000Z</t>
  </si>
  <si>
    <t>2024-07-30T00:38:44.000Z</t>
  </si>
  <si>
    <t>002 Barba felipe 14:25</t>
  </si>
  <si>
    <t>Barba felipe</t>
  </si>
  <si>
    <t>8af8bbcd-21d4-49c9-8017-90732f27f08b</t>
  </si>
  <si>
    <t>2024-07-22T14:19:22.000Z</t>
  </si>
  <si>
    <t>2024-07-30T00:37:58.000Z</t>
  </si>
  <si>
    <t>001 12:49</t>
  </si>
  <si>
    <t>8195bcaa-7d3b-4d63-b07c-747a606d4b89</t>
  </si>
  <si>
    <t>2024-07-19T15:49:11.000Z</t>
  </si>
  <si>
    <t>2024-07-22T00:51:45.000Z</t>
  </si>
  <si>
    <t>SAF</t>
  </si>
  <si>
    <t>0c2af734-7cfe-495d-9e3f-2b4e711c9133</t>
  </si>
  <si>
    <t>2024-07-17T20:37:12.000Z</t>
  </si>
  <si>
    <t>2024-07-22T00:51:14.000Z</t>
  </si>
  <si>
    <t>002 17:11</t>
  </si>
  <si>
    <t>2d1a1a63-1e48-48cb-a0d2-f74462d5319f</t>
  </si>
  <si>
    <t>2024-07-17T14:16:22.000Z</t>
  </si>
  <si>
    <t>2024-07-22T00:49:52.000Z</t>
  </si>
  <si>
    <t>001 15:23</t>
  </si>
  <si>
    <t>3baf9cbd-b083-4562-8730-1e0c875b1217</t>
  </si>
  <si>
    <t>2024-07-16T21:03:22.000Z</t>
  </si>
  <si>
    <t>2024-07-22T00:49:35.000Z</t>
  </si>
  <si>
    <t>003 17:55</t>
  </si>
  <si>
    <t>1c74f4bb-c7de-4ad5-8ff5-8210522c7010</t>
  </si>
  <si>
    <t>2024-07-16T19:51:25.000Z</t>
  </si>
  <si>
    <t>2024-07-22T00:48:13.000Z</t>
  </si>
  <si>
    <t>002 15:46</t>
  </si>
  <si>
    <t>7b7e5f2d-b431-4bba-81eb-46a3c319f8c4</t>
  </si>
  <si>
    <t>2024-07-16T13:18:07.000Z</t>
  </si>
  <si>
    <t>2024-07-22T00:48:26.000Z</t>
  </si>
  <si>
    <t>001 14:21</t>
  </si>
  <si>
    <t>db431b20-2475-47f2-b33c-8387328ff898</t>
  </si>
  <si>
    <t>2024-07-13T15:47:42.000Z</t>
  </si>
  <si>
    <t>2024-07-22T00:45:26.000Z</t>
  </si>
  <si>
    <t>AFD</t>
  </si>
  <si>
    <t>3b3764ee-4401-454e-906e-49a83041e4ca</t>
  </si>
  <si>
    <t>2024-07-13T15:27:14.000Z</t>
  </si>
  <si>
    <t>2024-07-22T00:45:17.000Z</t>
  </si>
  <si>
    <t>f921013f-cf1a-47c8-9e0e-aef194a465d2</t>
  </si>
  <si>
    <t>2024-07-13T14:26:24.000Z</t>
  </si>
  <si>
    <t>2024-08-20T00:17:58.000Z</t>
  </si>
  <si>
    <t>fddb1bdf-efde-4a31-924e-a1f4be641abb</t>
  </si>
  <si>
    <t>2024-07-12T20:16:02.000Z</t>
  </si>
  <si>
    <t>2024-07-22T00:47:15.000Z</t>
  </si>
  <si>
    <t>002 17:07</t>
  </si>
  <si>
    <t>6cc55ce3-47fc-44e2-afb8-e39f2ccf85bc</t>
  </si>
  <si>
    <t>2024-07-12T14:20:43.000Z</t>
  </si>
  <si>
    <t>2024-07-22T00:45:57.000Z</t>
  </si>
  <si>
    <t>001 14:22</t>
  </si>
  <si>
    <t>ec5_branch_owner_uuid</t>
  </si>
  <si>
    <t>ec5_branch_uuid</t>
  </si>
  <si>
    <t>77_Hora_de_inicio</t>
  </si>
  <si>
    <t>79_Seguidor_1</t>
  </si>
  <si>
    <t>80_Seguidor_2</t>
  </si>
  <si>
    <t>81_Seguidor_3</t>
  </si>
  <si>
    <t>26a0766c-46a1-40f7-b8ce-8e3248308674</t>
  </si>
  <si>
    <t>2024-10-10T17:28:45.000Z</t>
  </si>
  <si>
    <t>2024-10-11T20:04:56.000Z</t>
  </si>
  <si>
    <t>AFC</t>
  </si>
  <si>
    <t>Vocalización externa</t>
  </si>
  <si>
    <t>Árbol de descanso</t>
  </si>
  <si>
    <t>Ruido de caida de arbol</t>
  </si>
  <si>
    <t>9c5467f6-cda4-4cd9-badb-4f95d944487d</t>
  </si>
  <si>
    <t>2024-10-10T15:23:44.000Z</t>
  </si>
  <si>
    <t>2024-10-11T20:04:29.000Z</t>
  </si>
  <si>
    <t xml:space="preserve">Árbol de alimentación </t>
  </si>
  <si>
    <t>a9763d91-e106-4493-8ace-53bcdf27acc9</t>
  </si>
  <si>
    <t>2024-10-09T21:38:03.000Z</t>
  </si>
  <si>
    <t>2024-10-11T20:03:38.000Z</t>
  </si>
  <si>
    <t>46546329-74e3-4777-a262-24f1260c80d8</t>
  </si>
  <si>
    <t>2024-10-09T13:04:27.000Z</t>
  </si>
  <si>
    <t>2024-10-11T20:02:28.000Z</t>
  </si>
  <si>
    <t>cf7a6a69-da16-4a3d-a6ba-e70011568a54</t>
  </si>
  <si>
    <t>2024-10-08T20:37:52.000Z</t>
  </si>
  <si>
    <t>2024-10-09T00:49:34.000Z</t>
  </si>
  <si>
    <t>5f580741-5b95-4d3c-84a2-f07bab0e8e95</t>
  </si>
  <si>
    <t>2024-10-08T14:33:59.000Z</t>
  </si>
  <si>
    <t>2024-10-09T00:47:57.000Z</t>
  </si>
  <si>
    <t>Presencia observador</t>
  </si>
  <si>
    <t>da66fd3b-4225-4037-ba64-56d0585222a8</t>
  </si>
  <si>
    <t>2024-10-07T19:23:42.000Z</t>
  </si>
  <si>
    <t>2024-10-09T00:30:40.000Z</t>
  </si>
  <si>
    <t>bad88408-2abf-4204-ad3d-c39c8b81c7a3</t>
  </si>
  <si>
    <t>2024-10-07T17:39:17.000Z</t>
  </si>
  <si>
    <t>2024-10-09T00:30:13.000Z</t>
  </si>
  <si>
    <t>9ec3ce20-ee43-4784-9d23-7a8b7d218ff6</t>
  </si>
  <si>
    <t>2024-10-07T14:54:53.000Z</t>
  </si>
  <si>
    <t>2024-10-09T00:29:34.000Z</t>
  </si>
  <si>
    <t>81c3b135-5231-4004-b4cb-f273e723b9da</t>
  </si>
  <si>
    <t>2024-09-26T18:32:14.000Z</t>
  </si>
  <si>
    <t>2024-10-09T00:32:29.000Z</t>
  </si>
  <si>
    <t>1870cb88-47e2-4ab1-8e02-60223995bb61</t>
  </si>
  <si>
    <t>2024-09-26T15:34:36.000Z</t>
  </si>
  <si>
    <t>2024-10-09T00:31:40.000Z</t>
  </si>
  <si>
    <t>9d121c3e-449d-4a24-af4f-29815b840e81</t>
  </si>
  <si>
    <t>2024-09-25T18:34:52.000Z</t>
  </si>
  <si>
    <t>2024-10-09T00:34:00.000Z</t>
  </si>
  <si>
    <t>1a1ad9f9-7ca9-4260-9f48-c29b57981ac8</t>
  </si>
  <si>
    <t>2024-09-25T13:20:08.000Z</t>
  </si>
  <si>
    <t>2024-10-09T00:32:53.000Z</t>
  </si>
  <si>
    <t>AFL</t>
  </si>
  <si>
    <t>af86920d-3325-4875-97d5-8cad578f87df</t>
  </si>
  <si>
    <t>2024-09-24T15:41:51.000Z</t>
  </si>
  <si>
    <t>2024-10-09T00:34:50.000Z</t>
  </si>
  <si>
    <t>3a5021ac-98bd-4282-a711-fb8f53ae2a83</t>
  </si>
  <si>
    <t>2024-09-24T14:39:49.000Z</t>
  </si>
  <si>
    <t>2024-10-09T00:34:37.000Z</t>
  </si>
  <si>
    <t>62f36097-beb5-4be3-a1b0-61948a461ec9</t>
  </si>
  <si>
    <t>2024-09-23T15:50:36.000Z</t>
  </si>
  <si>
    <t>2024-10-09T00:28:30.000Z</t>
  </si>
  <si>
    <t>f57b6d87-7e49-4c39-aeaa-d801a83f1f31</t>
  </si>
  <si>
    <t>2024-09-21T16:26:43.000Z</t>
  </si>
  <si>
    <t>2024-10-09T00:27:25.000Z</t>
  </si>
  <si>
    <t>Presencia Ateles</t>
  </si>
  <si>
    <t>961eefd7-58cc-4015-af2c-50a5ed373590</t>
  </si>
  <si>
    <t>2024-09-18T19:09:58.000Z</t>
  </si>
  <si>
    <t>2024-10-09T00:26:51.000Z</t>
  </si>
  <si>
    <t>7e9c2e76-999a-46a3-add2-6830f6bbf597</t>
  </si>
  <si>
    <t>2024-09-18T14:36:11.000Z</t>
  </si>
  <si>
    <t>2024-10-09T00:26:01.000Z</t>
  </si>
  <si>
    <t>9d8f3398-df2d-4b88-976d-6939c527d202</t>
  </si>
  <si>
    <t>2024-09-17T17:04:36.000Z</t>
  </si>
  <si>
    <t>2024-10-09T00:25:13.000Z</t>
  </si>
  <si>
    <t>e1cb65e7-9e95-4eca-b4c2-324ff1706660</t>
  </si>
  <si>
    <t>2024-09-16T20:22:58.000Z</t>
  </si>
  <si>
    <t>2024-10-09T00:24:38.000Z</t>
  </si>
  <si>
    <t>bec56375-5f01-456c-a63b-12b075986cf5</t>
  </si>
  <si>
    <t>2024-09-16T18:38:18.000Z</t>
  </si>
  <si>
    <t>2024-10-09T00:24:17.000Z</t>
  </si>
  <si>
    <t>b918dd84-9cf1-4328-82bb-10dead214b8c</t>
  </si>
  <si>
    <t>2024-09-12T15:16:12.000Z</t>
  </si>
  <si>
    <t>2024-10-09T00:43:22.000Z</t>
  </si>
  <si>
    <t>fbc3b180-3917-469c-9fc2-291ac82d0ad5</t>
  </si>
  <si>
    <t>2024-09-12T14:31:03.000Z</t>
  </si>
  <si>
    <t>2024-10-09T00:36:43.000Z</t>
  </si>
  <si>
    <t>74a7e8b1-4493-4f6e-b4cb-229dfef1adba</t>
  </si>
  <si>
    <t>2024-09-12T13:08:14.000Z</t>
  </si>
  <si>
    <t>2024-10-09T00:36:08.000Z</t>
  </si>
  <si>
    <t>d306d35e-335f-4b1a-a694-fb13b255b3af</t>
  </si>
  <si>
    <t>2024-09-11T18:35:20.000Z</t>
  </si>
  <si>
    <t>2024-10-09T00:23:17.000Z</t>
  </si>
  <si>
    <t>957313aa-274d-4f58-a35f-9a86c096a789</t>
  </si>
  <si>
    <t>2024-09-11T15:21:16.000Z</t>
  </si>
  <si>
    <t>2024-10-09T00:22:21.000Z</t>
  </si>
  <si>
    <t>e84d4d8e-c5c9-452c-8784-1221894e44b0</t>
  </si>
  <si>
    <t>2024-09-10T18:32:49.000Z</t>
  </si>
  <si>
    <t>2024-10-09T00:21:42.000Z</t>
  </si>
  <si>
    <t>e37477f4-58b8-4ff7-8921-4f6a57ea9058</t>
  </si>
  <si>
    <t>2024-09-10T13:27:47.000Z</t>
  </si>
  <si>
    <t>2024-10-09T00:19:59.000Z</t>
  </si>
  <si>
    <t>eb4ad427-33bc-4656-ae98-7104d0acc884</t>
  </si>
  <si>
    <t>2024-09-09T22:18:25.000Z</t>
  </si>
  <si>
    <t>2024-10-09T00:19:12.000Z</t>
  </si>
  <si>
    <t>958882eb-3a16-4621-8eeb-e8d027756eca</t>
  </si>
  <si>
    <t>2024-09-09T17:54:40.000Z</t>
  </si>
  <si>
    <t>2024-10-09T00:18:31.000Z</t>
  </si>
  <si>
    <t>ff4288dd-1adc-4851-83b6-63631dfe261f</t>
  </si>
  <si>
    <t>2024-09-09T13:53:35.000Z</t>
  </si>
  <si>
    <t>2024-10-09T00:17:43.000Z</t>
  </si>
  <si>
    <t>670e9fbf-7502-4dcb-bff3-6a46ad98bf37</t>
  </si>
  <si>
    <t>2024-09-06T18:45:59.000Z</t>
  </si>
  <si>
    <t>2024-10-09T00:45:11.000Z</t>
  </si>
  <si>
    <t>dc031b29-97bb-4825-aa40-be20f5fd31e7</t>
  </si>
  <si>
    <t>2024-09-06T12:41:40.000Z</t>
  </si>
  <si>
    <t>2024-10-09T00:43:41.000Z</t>
  </si>
  <si>
    <t>498b8682-4dfd-44ae-872e-5d83c4d36f63</t>
  </si>
  <si>
    <t>2024-09-03T19:53:55.000Z</t>
  </si>
  <si>
    <t>2024-10-09T00:46:40.000Z</t>
  </si>
  <si>
    <t>6c7ee79c-8c40-4508-9331-3ad0830517d8</t>
  </si>
  <si>
    <t>2024-09-03T12:44:23.000Z</t>
  </si>
  <si>
    <t>2024-10-09T00:46:03.000Z</t>
  </si>
  <si>
    <t>fcae36d1-4ae9-4954-96b3-ca274788d4f9</t>
  </si>
  <si>
    <t>2024-08-31T12:06:19.000Z</t>
  </si>
  <si>
    <t>2024-10-09T00:16:56.000Z</t>
  </si>
  <si>
    <t>22acec17-5e54-468d-81c0-112e577380e4</t>
  </si>
  <si>
    <t>2024-08-30T19:29:08.000Z</t>
  </si>
  <si>
    <t>2024-10-09T00:15:36.000Z</t>
  </si>
  <si>
    <t>77f13930-91dc-47ef-886e-ad4d78e18d1c</t>
  </si>
  <si>
    <t>2024-08-30T16:19:18.000Z</t>
  </si>
  <si>
    <t>2024-10-09T00:14:47.000Z</t>
  </si>
  <si>
    <t>f6239509-d837-4491-a29a-9f4a03066cf8</t>
  </si>
  <si>
    <t>2024-08-30T12:43:19.000Z</t>
  </si>
  <si>
    <t>2024-10-09T00:13:32.000Z</t>
  </si>
  <si>
    <t>ba601d7b-ad16-4d54-b9b0-0e2a85ec879d</t>
  </si>
  <si>
    <t>2024-08-29T18:29:23.000Z</t>
  </si>
  <si>
    <t>2024-10-09T00:13:21.000Z</t>
  </si>
  <si>
    <t>a191842e-be1d-4db1-bb48-f0fcb63358e2</t>
  </si>
  <si>
    <t>2024-08-28T14:12:20.000Z</t>
  </si>
  <si>
    <t>2024-10-09T00:12:38.000Z</t>
  </si>
  <si>
    <t>fd470fcf-92d9-4ec2-b4cf-922ca8d4cb95</t>
  </si>
  <si>
    <t>2024-08-27T16:24:54.000Z</t>
  </si>
  <si>
    <t>2024-10-09T00:10:47.000Z</t>
  </si>
  <si>
    <t>cd4d355c-696e-441b-a533-0e186d9bbd94</t>
  </si>
  <si>
    <t>2024-08-27T13:26:28.000Z</t>
  </si>
  <si>
    <t>2024-10-09T00:10:20.000Z</t>
  </si>
  <si>
    <t>31f9fcb5-a13f-4f6f-a231-fb7b5be5b2f5</t>
  </si>
  <si>
    <t>2024-08-26T12:56:22.000Z</t>
  </si>
  <si>
    <t>2024-10-09T00:09:21.000Z</t>
  </si>
  <si>
    <t>548afb91-e470-4d1b-9197-9ebf41889c85</t>
  </si>
  <si>
    <t>2024-08-24T20:01:10.000Z</t>
  </si>
  <si>
    <t>2024-10-09T00:53:00.000Z</t>
  </si>
  <si>
    <t>362afad5-5f6a-4189-90df-afda5cefeb27</t>
  </si>
  <si>
    <t>2024-08-24T18:21:22.000Z</t>
  </si>
  <si>
    <t>2024-10-09T00:52:28.000Z</t>
  </si>
  <si>
    <t>91b14383-ec33-4f5c-90f5-ae0f18de5966</t>
  </si>
  <si>
    <t>2024-08-24T12:34:37.000Z</t>
  </si>
  <si>
    <t>2024-10-09T00:08:39.000Z</t>
  </si>
  <si>
    <t>Caucho</t>
  </si>
  <si>
    <t>93aa68b1-0c84-44ca-8791-eb6d20168c56</t>
  </si>
  <si>
    <t>2024-08-23T17:26:44.000Z</t>
  </si>
  <si>
    <t>2024-10-09T00:08:01.000Z</t>
  </si>
  <si>
    <t>27a8c063-1986-46d0-94be-f666eb943a14</t>
  </si>
  <si>
    <t>2024-08-22T21:07:40.000Z</t>
  </si>
  <si>
    <t>2024-10-09T00:06:54.000Z</t>
  </si>
  <si>
    <t>356caa31-ce1f-496d-bc2f-530da680119d</t>
  </si>
  <si>
    <t>2024-08-22T20:49:36.000Z</t>
  </si>
  <si>
    <t>2024-10-09T00:06:46.000Z</t>
  </si>
  <si>
    <t>ea4966bc-db83-42d0-b2e0-c8b5724147f4</t>
  </si>
  <si>
    <t>2024-08-22T17:44:13.000Z</t>
  </si>
  <si>
    <t>2024-10-09T00:06:13.000Z</t>
  </si>
  <si>
    <t>65fbc0a3-79bf-4053-b073-dbbc88e0f1cf</t>
  </si>
  <si>
    <t>2024-08-22T15:11:45.000Z</t>
  </si>
  <si>
    <t>2024-10-09T00:05:33.000Z</t>
  </si>
  <si>
    <t>Clavellin</t>
  </si>
  <si>
    <t>db1a3356-2457-41b3-81a8-f63325524029</t>
  </si>
  <si>
    <t>2024-08-22T13:34:19.000Z</t>
  </si>
  <si>
    <t>2024-10-09T00:05:04.000Z</t>
  </si>
  <si>
    <t>1c185f35-b44e-4220-b808-eec3965a7ea4</t>
  </si>
  <si>
    <t>2024-08-07T15:25:25.000Z</t>
  </si>
  <si>
    <t>2024-08-20T00:25:54.000Z</t>
  </si>
  <si>
    <t>95706ee3-062f-4235-88ec-0867ee45af89</t>
  </si>
  <si>
    <t>2024-08-06T13:36:38.000Z</t>
  </si>
  <si>
    <t>2024-08-20T00:27:01.000Z</t>
  </si>
  <si>
    <t>fd7d57c8-7535-4b5f-bdca-d0571f740fa8</t>
  </si>
  <si>
    <t>2024-08-02T17:20:41.000Z</t>
  </si>
  <si>
    <t>2024-08-20T00:30:11.000Z</t>
  </si>
  <si>
    <t>40872ef7-2c8c-4baf-8716-facca8bf0171</t>
  </si>
  <si>
    <t>2024-08-01T20:24:53.000Z</t>
  </si>
  <si>
    <t>2024-08-20T00:25:09.000Z</t>
  </si>
  <si>
    <t>3dc27ad5-d8c1-45ca-b641-0befc8004f91</t>
  </si>
  <si>
    <t>2024-08-01T17:24:26.000Z</t>
  </si>
  <si>
    <t>2024-08-20T00:24:31.000Z</t>
  </si>
  <si>
    <t>65df6a46-ca46-4f5e-b749-229167fc59ea</t>
  </si>
  <si>
    <t>2024-08-01T16:25:09.000Z</t>
  </si>
  <si>
    <t>2024-08-20T00:24:16.000Z</t>
  </si>
  <si>
    <t>af5b6945-5469-46f3-a11c-11b05120d227</t>
  </si>
  <si>
    <t>2024-07-31T13:35:47.000Z</t>
  </si>
  <si>
    <t>2024-08-20T00:28:26.000Z</t>
  </si>
  <si>
    <t>284c6ab0-a9e0-4fb1-8d5f-352fb8830c97</t>
  </si>
  <si>
    <t>2024-07-30T22:07:30.000Z</t>
  </si>
  <si>
    <t>2024-08-20T00:12:44.000Z</t>
  </si>
  <si>
    <t>Se fisiona el grupo (4 AF, 3J, 2AM) /( AM, 2J, 4AF)</t>
  </si>
  <si>
    <t>b039cc9d-02eb-4932-9709-5b145408a094</t>
  </si>
  <si>
    <t>2024-07-30T18:40:17.000Z</t>
  </si>
  <si>
    <t>2024-08-20T00:20:44.000Z</t>
  </si>
  <si>
    <t>305f34ac-1e7b-4f80-867a-5a2a4b2bc494</t>
  </si>
  <si>
    <t>2024-07-30T17:44:42.000Z</t>
  </si>
  <si>
    <t>2024-08-20T00:20:42.000Z</t>
  </si>
  <si>
    <t>9770dd66-b8f3-47c1-abf8-e63ddc970f4b</t>
  </si>
  <si>
    <t>2024-07-30T17:37:00.000Z</t>
  </si>
  <si>
    <t>2024-08-20T00:18:54.000Z</t>
  </si>
  <si>
    <t>5f42b867-67f2-4867-aba1-a4ea2a7e9917</t>
  </si>
  <si>
    <t>2024-07-30T16:38:13.000Z</t>
  </si>
  <si>
    <t>2024-08-20T00:12:40.000Z</t>
  </si>
  <si>
    <t>2c1f160c-1053-413f-9218-e6ca0215aec4</t>
  </si>
  <si>
    <t>2024-07-30T14:41:07.000Z</t>
  </si>
  <si>
    <t>2024-08-20T00:12:35.000Z</t>
  </si>
  <si>
    <t>30cc34e5-eab9-4d63-9609-967c55ee9600</t>
  </si>
  <si>
    <t>2024-07-30T14:21:21.000Z</t>
  </si>
  <si>
    <t>2024-08-20T00:12:31.000Z</t>
  </si>
  <si>
    <t>cb23dfe9-d40d-4536-ad42-db1eefb13e26</t>
  </si>
  <si>
    <t>2024-07-30T12:20:19.000Z</t>
  </si>
  <si>
    <t>2024-08-20T00:12:29.000Z</t>
  </si>
  <si>
    <t>6eacb7ed-bb3f-4404-a4ba-27709f721821</t>
  </si>
  <si>
    <t>2024-07-29T21:15:49.000Z</t>
  </si>
  <si>
    <t>2024-07-30T00:45:54.000Z</t>
  </si>
  <si>
    <t>09b34bb2-7c8a-4683-8b97-d40e95c06603</t>
  </si>
  <si>
    <t>2024-07-29T20:08:53.000Z</t>
  </si>
  <si>
    <t>2024-07-30T00:45:46.000Z</t>
  </si>
  <si>
    <t>ec44af27-471a-4aa4-8d17-c3353a695e19</t>
  </si>
  <si>
    <t>2024-07-29T19:23:45.000Z</t>
  </si>
  <si>
    <t>2024-07-30T00:45:42.000Z</t>
  </si>
  <si>
    <t>708ba1b4-d191-4712-b8f0-4511a998f2b4</t>
  </si>
  <si>
    <t>2024-07-29T17:41:26.000Z</t>
  </si>
  <si>
    <t>2024-07-30T00:45:31.000Z</t>
  </si>
  <si>
    <t>fc5f3495-0707-4995-93a5-d66f0b515e86</t>
  </si>
  <si>
    <t>2024-07-29T12:45:52.000Z</t>
  </si>
  <si>
    <t>2024-07-30T00:45:29.000Z</t>
  </si>
  <si>
    <t>d7171747-29cf-4053-9a98-28561234019b</t>
  </si>
  <si>
    <t>2024-07-26T19:38:30.000Z</t>
  </si>
  <si>
    <t>2024-07-30T00:45:12.000Z</t>
  </si>
  <si>
    <t>42ff649c-fdd3-45a4-a166-2121f2e3f71c</t>
  </si>
  <si>
    <t>2024-07-26T15:33:19.000Z</t>
  </si>
  <si>
    <t>2024-07-30T00:45:07.000Z</t>
  </si>
  <si>
    <t>5f9e8402-c5cf-4155-a521-167b83176511</t>
  </si>
  <si>
    <t>2024-07-26T13:09:19.000Z</t>
  </si>
  <si>
    <t>2024-07-30T00:45:06.000Z</t>
  </si>
  <si>
    <t>70248087-b7de-414d-9220-fb3731403ea5</t>
  </si>
  <si>
    <t>2024-07-25T21:38:21.000Z</t>
  </si>
  <si>
    <t>2024-07-30T00:44:51.000Z</t>
  </si>
  <si>
    <t>0abbd24e-9467-403c-9e8a-e77225a1e627</t>
  </si>
  <si>
    <t>2024-07-25T18:46:38.000Z</t>
  </si>
  <si>
    <t>2024-07-30T00:44:26.000Z</t>
  </si>
  <si>
    <t>727bdb19-9faa-48f7-b338-85fcaf84827e</t>
  </si>
  <si>
    <t>2024-07-25T14:56:42.000Z</t>
  </si>
  <si>
    <t>2024-07-30T00:44:19.000Z</t>
  </si>
  <si>
    <t>8ebb18ec-d303-4d9d-8447-099cfde02918</t>
  </si>
  <si>
    <t>2024-07-25T13:45:55.000Z</t>
  </si>
  <si>
    <t>2024-07-30T00:43:56.000Z</t>
  </si>
  <si>
    <t>3c6d3bc9-f0f6-4120-93e0-ff6d6fd711db</t>
  </si>
  <si>
    <t>2024-07-24T23:19:04.000Z</t>
  </si>
  <si>
    <t>2024-07-30T00:40:31.000Z</t>
  </si>
  <si>
    <t>3064eedb-dd62-429e-a5ea-79a289fa61f9</t>
  </si>
  <si>
    <t>2024-07-24T19:39:22.000Z</t>
  </si>
  <si>
    <t>2024-07-30T00:40:11.000Z</t>
  </si>
  <si>
    <t>ccee55ff-6b14-4648-b200-318a35bf3f3c</t>
  </si>
  <si>
    <t>2024-07-24T16:00:20.000Z</t>
  </si>
  <si>
    <t>2024-07-30T00:39:43.000Z</t>
  </si>
  <si>
    <t>250d29a3-525c-4e26-9f1b-ff831e95e91f</t>
  </si>
  <si>
    <t>2024-07-24T14:27:12.000Z</t>
  </si>
  <si>
    <t>2024-07-30T00:39:38.000Z</t>
  </si>
  <si>
    <t>47e7c1f6-b6f1-4dcc-9cf9-eedc6091d0e3</t>
  </si>
  <si>
    <t>2024-07-24T13:45:29.000Z</t>
  </si>
  <si>
    <t>2024-07-30T00:39:29.000Z</t>
  </si>
  <si>
    <t>70efd5c6-7b05-47fd-9e39-6e886a4a2428</t>
  </si>
  <si>
    <t>2024-07-24T12:39:03.000Z</t>
  </si>
  <si>
    <t>2024-07-30T00:39:05.000Z</t>
  </si>
  <si>
    <t>5b3ebffc-3e1a-41f5-a81c-c520c0570ea0</t>
  </si>
  <si>
    <t>2024-07-24T12:33:30.000Z</t>
  </si>
  <si>
    <t>2024-07-30T00:39:20.000Z</t>
  </si>
  <si>
    <t>1d9da02c-0784-47ee-8c23-096ec43dcb22</t>
  </si>
  <si>
    <t>2024-07-23T21:36:35.000Z</t>
  </si>
  <si>
    <t>2024-07-30T00:42:54.000Z</t>
  </si>
  <si>
    <t>d6bce2d9-747f-4201-8c96-b9372564a42f</t>
  </si>
  <si>
    <t>2024-07-23T19:41:45.000Z</t>
  </si>
  <si>
    <t>2024-07-30T00:42:33.000Z</t>
  </si>
  <si>
    <t>db7522b4-ff47-4690-8b93-f2778de2b21b</t>
  </si>
  <si>
    <t>2024-07-23T15:14:24.000Z</t>
  </si>
  <si>
    <t>2024-07-30T00:41:29.000Z</t>
  </si>
  <si>
    <t>0f667b12-6088-4782-81e6-885d8e65bfc5</t>
  </si>
  <si>
    <t>2024-07-23T13:29:25.000Z</t>
  </si>
  <si>
    <t>2024-07-30T00:40:51.000Z</t>
  </si>
  <si>
    <t>da1a9690-64b6-4d72-a003-5e49261f65e4</t>
  </si>
  <si>
    <t>2024-07-23T12:20:00.000Z</t>
  </si>
  <si>
    <t>2024-07-30T00:40:43.000Z</t>
  </si>
  <si>
    <t>090b60f8-82cb-405f-9f46-bae136793be1</t>
  </si>
  <si>
    <t>2024-07-22T20:29:50.000Z</t>
  </si>
  <si>
    <t>2024-08-20T00:18:42.000Z</t>
  </si>
  <si>
    <t>bb1cd0f0-c852-42df-a1bc-2664b87522e4</t>
  </si>
  <si>
    <t>2024-07-22T19:27:43.000Z</t>
  </si>
  <si>
    <t>2024-08-20T00:18:18.000Z</t>
  </si>
  <si>
    <t>Juvenil molesta a madre y ella inicia desplazamiento</t>
  </si>
  <si>
    <t>dede4569-4b5f-48da-9671-07154ab99c14</t>
  </si>
  <si>
    <t>2024-07-22T18:09:22.000Z</t>
  </si>
  <si>
    <t>2024-07-30T00:38:56.000Z</t>
  </si>
  <si>
    <t>9d14e564-2886-406b-9f4f-8950376a55de</t>
  </si>
  <si>
    <t>2024-07-22T17:29:49.000Z</t>
  </si>
  <si>
    <t>2024-07-30T00:38:40.000Z</t>
  </si>
  <si>
    <t>Juvenil</t>
  </si>
  <si>
    <t>b6742f2e-b635-49d9-b60b-311d8460d95b</t>
  </si>
  <si>
    <t>2024-07-22T14:08:29.000Z</t>
  </si>
  <si>
    <t>2024-07-30T00:38:01.000Z</t>
  </si>
  <si>
    <t>3f491367-aee1-4e26-ada8-5fb483c39c37</t>
  </si>
  <si>
    <t>2024-07-19T17:01:39.000Z</t>
  </si>
  <si>
    <t>2024-07-22T00:51:52.000Z</t>
  </si>
  <si>
    <t>3315e823-7bfe-4d53-86e2-5869d927e1c3</t>
  </si>
  <si>
    <t>2024-07-19T15:46:40.000Z</t>
  </si>
  <si>
    <t>2024-07-22T00:51:48.000Z</t>
  </si>
  <si>
    <t>1a31da33-125d-4b91-a55e-2bef804928a1</t>
  </si>
  <si>
    <t>2024-07-17T20:23:32.000Z</t>
  </si>
  <si>
    <t>2024-07-22T00:51:19.000Z</t>
  </si>
  <si>
    <t>a26085bb-bacb-47b4-af42-f0000b243948</t>
  </si>
  <si>
    <t>2024-07-17T16:22:52.000Z</t>
  </si>
  <si>
    <t>2024-07-22T00:50:28.000Z</t>
  </si>
  <si>
    <t>c6dcb685-8fa3-4c1f-8f26-61c8bd44c4d1</t>
  </si>
  <si>
    <t>2024-07-17T16:07:13.000Z</t>
  </si>
  <si>
    <t>2024-07-22T00:50:20.000Z</t>
  </si>
  <si>
    <t>5ed9a789-49b6-4637-803c-977f1def09cf</t>
  </si>
  <si>
    <t>2024-07-16T21:00:09.000Z</t>
  </si>
  <si>
    <t>2024-07-22T00:49:39.000Z</t>
  </si>
  <si>
    <t>615673af-2bfd-4c4f-bc21-5b0be28de563</t>
  </si>
  <si>
    <t>2024-07-16T20:17:22.000Z</t>
  </si>
  <si>
    <t>2024-07-22T00:48:17.000Z</t>
  </si>
  <si>
    <t>3e133d25-7dae-4312-bf02-ed9835a4b0b0</t>
  </si>
  <si>
    <t>2024-07-16T19:10:38.000Z</t>
  </si>
  <si>
    <t>2024-07-22T00:49:32.000Z</t>
  </si>
  <si>
    <t>8aff24db-e38d-48b5-97c6-ed3be4be2f0c</t>
  </si>
  <si>
    <t>2024-07-16T18:14:59.000Z</t>
  </si>
  <si>
    <t>2024-07-22T00:49:31.000Z</t>
  </si>
  <si>
    <t>3dfd306d-20a1-48f3-8c9d-f24ec9ccde5c</t>
  </si>
  <si>
    <t>2024-07-16T14:42:05.000Z</t>
  </si>
  <si>
    <t>2024-07-22T00:48:45.000Z</t>
  </si>
  <si>
    <t>2458bd3e-f73f-48a5-b66a-1bacc9b66078</t>
  </si>
  <si>
    <t>2024-07-16T13:49:21.000Z</t>
  </si>
  <si>
    <t>2024-07-22T00:48:48.000Z</t>
  </si>
  <si>
    <t>8e4ca8ea-c426-4d70-a716-e30095f04200</t>
  </si>
  <si>
    <t>2024-07-16T13:21:21.000Z</t>
  </si>
  <si>
    <t>2024-07-22T00:48:27.000Z</t>
  </si>
  <si>
    <t>8d2f9aad-24c3-463d-924b-163a28248463</t>
  </si>
  <si>
    <t>2024-07-13T15:47:36.000Z</t>
  </si>
  <si>
    <t>2024-07-22T00:45:27.000Z</t>
  </si>
  <si>
    <t>9afea14f-4bab-422b-9d49-06ff531d2bc3</t>
  </si>
  <si>
    <t>2024-07-13T15:26:25.000Z</t>
  </si>
  <si>
    <t>2024-07-22T00:45:19.000Z</t>
  </si>
  <si>
    <t>Presencia otra especie</t>
  </si>
  <si>
    <t>85f8e174-d000-4bb2-935e-2b55c29fcee7</t>
  </si>
  <si>
    <t>2024-07-13T15:15:57.000Z</t>
  </si>
  <si>
    <t>2024-08-20T00:17:59.000Z</t>
  </si>
  <si>
    <t>747a1121-c25b-4734-a8e6-f45efc6d4296</t>
  </si>
  <si>
    <t>2024-07-13T14:19:04.000Z</t>
  </si>
  <si>
    <t>2024-07-22T00:45:04.000Z</t>
  </si>
  <si>
    <t>813f774e-66dd-45e7-ac8d-1b2ce227aec9</t>
  </si>
  <si>
    <t>2024-07-12T21:51:27.000Z</t>
  </si>
  <si>
    <t>2024-07-22T00:47:59.000Z</t>
  </si>
  <si>
    <t>ca6bd538-d900-42d8-9b5b-da878f12c0c2</t>
  </si>
  <si>
    <t>2024-07-12T21:34:23.000Z</t>
  </si>
  <si>
    <t>2024-07-22T00:47:50.000Z</t>
  </si>
  <si>
    <t>304f20e8-7aee-41cf-bfb5-dbe769dbd66f</t>
  </si>
  <si>
    <t>2024-07-12T20:43:06.000Z</t>
  </si>
  <si>
    <t>2024-07-22T00:47:35.000Z</t>
  </si>
  <si>
    <t>34683cf9-835d-4bef-8fcc-3a845d7f2661</t>
  </si>
  <si>
    <t>2024-07-12T19:48:12.000Z</t>
  </si>
  <si>
    <t>2024-07-22T00:47:20.000Z</t>
  </si>
  <si>
    <t>AM Y AF han esperado a AFD es la ultima</t>
  </si>
  <si>
    <t>380ba432-a0f0-49c6-b87b-fd35f56c676a</t>
  </si>
  <si>
    <t>2024-07-12T15:45:11.000Z</t>
  </si>
  <si>
    <t>2024-07-22T00:46:16.000Z</t>
  </si>
  <si>
    <t>49_Hora</t>
  </si>
  <si>
    <t>50_Fuera_de_vista</t>
  </si>
  <si>
    <t>51_Estrato</t>
  </si>
  <si>
    <t>52_Dependiente</t>
  </si>
  <si>
    <t>53_Movimiento</t>
  </si>
  <si>
    <t>54_Descanso</t>
  </si>
  <si>
    <t>55_Alimentacin</t>
  </si>
  <si>
    <t>56_Social</t>
  </si>
  <si>
    <t>57_Individuo</t>
  </si>
  <si>
    <t>58_Individuo_actor__</t>
  </si>
  <si>
    <t>59_Otros</t>
  </si>
  <si>
    <t>60_Vocalizaciones</t>
  </si>
  <si>
    <t>61_Otro_animal_prese</t>
  </si>
  <si>
    <t>62_Distancia</t>
  </si>
  <si>
    <t>63_Grupo_Alouatta</t>
  </si>
  <si>
    <t>64_Estructura_Ateles</t>
  </si>
  <si>
    <t>65_Composicin_Ateles</t>
  </si>
  <si>
    <t>66_Individuo_cercano</t>
  </si>
  <si>
    <t>67_Distancia_del_ind</t>
  </si>
  <si>
    <t>68_Comportamiento_de</t>
  </si>
  <si>
    <t>69_Notas</t>
  </si>
  <si>
    <t>70_Individuo_cercano</t>
  </si>
  <si>
    <t>71_Distancia_del_ind</t>
  </si>
  <si>
    <t>72_Comportamiento_de</t>
  </si>
  <si>
    <t>73_Individuo_cercano</t>
  </si>
  <si>
    <t>74_Distancia_del_ind</t>
  </si>
  <si>
    <t>75_Comportamiento_de</t>
  </si>
  <si>
    <t>4d7e459e-8703-4991-b898-68914c43dc49</t>
  </si>
  <si>
    <t>2024-10-10T19:00:36.000Z</t>
  </si>
  <si>
    <t>2024-10-11T20:05:08.000Z</t>
  </si>
  <si>
    <t>14:00 Alto</t>
  </si>
  <si>
    <t>No</t>
  </si>
  <si>
    <t>Alto</t>
  </si>
  <si>
    <t>Pasivo</t>
  </si>
  <si>
    <t>Descanso pasivo</t>
  </si>
  <si>
    <t>52e30973-8f28-4f4f-b6a4-5138f74ddd59</t>
  </si>
  <si>
    <t>2024-10-10T18:54:22.000Z</t>
  </si>
  <si>
    <t>2024-10-11T20:05:07.000Z</t>
  </si>
  <si>
    <t>13:50 Alto</t>
  </si>
  <si>
    <t>b9f07979-3573-4ebb-b393-8c3280806841</t>
  </si>
  <si>
    <t>2024-10-10T18:42:25.000Z</t>
  </si>
  <si>
    <t>2024-10-11T20:05:01.000Z</t>
  </si>
  <si>
    <t>13:40 Alto</t>
  </si>
  <si>
    <t>68287bd6-5b10-408f-9d57-ba34d1ebf066</t>
  </si>
  <si>
    <t>2024-10-10T18:42:09.000Z</t>
  </si>
  <si>
    <t>2024-10-11T20:05:00.000Z</t>
  </si>
  <si>
    <t>13:30 Alto</t>
  </si>
  <si>
    <t>Hojas nuevas</t>
  </si>
  <si>
    <t>Al. Hojas nuevas</t>
  </si>
  <si>
    <t>9ca00503-9bb3-4bfe-9e57-369d2d761992</t>
  </si>
  <si>
    <t>2024-10-10T18:23:34.000Z</t>
  </si>
  <si>
    <t>2024-10-11T20:04:55.000Z</t>
  </si>
  <si>
    <t>13:20 Alto</t>
  </si>
  <si>
    <t>Vigilante</t>
  </si>
  <si>
    <t>M!</t>
  </si>
  <si>
    <t>Ateles fusciceps</t>
  </si>
  <si>
    <t>Más de 10 metros</t>
  </si>
  <si>
    <t>Grupos de 2 a 5 individuos</t>
  </si>
  <si>
    <t>Ambos sexos</t>
  </si>
  <si>
    <t>Descanso vigilante</t>
  </si>
  <si>
    <t>72a08ead-1f23-49e1-953b-4a6bf81b3ba4</t>
  </si>
  <si>
    <t>2024-10-10T18:22:56.000Z</t>
  </si>
  <si>
    <t>2024-10-11T20:04:54.000Z</t>
  </si>
  <si>
    <t>13:10 Alto</t>
  </si>
  <si>
    <t>4f28ed75-47b0-4e30-b1f0-11788499e9b8</t>
  </si>
  <si>
    <t>2024-10-10T18:01:18.000Z</t>
  </si>
  <si>
    <t>2024-10-11T20:04:50.000Z</t>
  </si>
  <si>
    <t>13:00 Alto</t>
  </si>
  <si>
    <t>9dbc7925-ead1-4fc8-af4d-7604ce8e1b0d</t>
  </si>
  <si>
    <t>2024-10-10T17:50:55.000Z</t>
  </si>
  <si>
    <t>2024-10-11T20:04:49.000Z</t>
  </si>
  <si>
    <t>12:50 Alto</t>
  </si>
  <si>
    <t>dfc31417-b966-48f3-8ba2-15ed2a15fc43</t>
  </si>
  <si>
    <t>2024-10-10T17:50:27.000Z</t>
  </si>
  <si>
    <t>2024-10-11T20:04:48.000Z</t>
  </si>
  <si>
    <t>12:40 Alto</t>
  </si>
  <si>
    <t>Al. Hojas maduras</t>
  </si>
  <si>
    <t>65a4eedc-5837-4fb4-bb37-d8bcc3d52daa</t>
  </si>
  <si>
    <t>2024-10-10T17:48:39.000Z</t>
  </si>
  <si>
    <t>2024-10-11T20:04:44.000Z</t>
  </si>
  <si>
    <t>12:30 Alto</t>
  </si>
  <si>
    <t>Desplazamiento</t>
  </si>
  <si>
    <t>4d97e8e0-8377-4b09-ac48-553b59d57b0b</t>
  </si>
  <si>
    <t>2024-10-10T17:14:38.000Z</t>
  </si>
  <si>
    <t>2024-10-11T20:04:35.000Z</t>
  </si>
  <si>
    <t>12:10 Alto</t>
  </si>
  <si>
    <t>Vista alrededor</t>
  </si>
  <si>
    <t>2290f15d-9039-4435-8003-cdca6abcf86e</t>
  </si>
  <si>
    <t>2024-10-10T17:00:22.000Z</t>
  </si>
  <si>
    <t>2024-10-11T20:04:27.000Z</t>
  </si>
  <si>
    <t>12:00 Alto</t>
  </si>
  <si>
    <t>Hojas maduras - Hojas nuevas</t>
  </si>
  <si>
    <t>A. Hojas nuevas-maduras</t>
  </si>
  <si>
    <t>7f2c0ab2-578e-453d-8cc6-65d3172eff28</t>
  </si>
  <si>
    <t>2024-10-10T16:59:43.000Z</t>
  </si>
  <si>
    <t>2024-10-11T20:04:25.000Z</t>
  </si>
  <si>
    <t>11:50 Alto</t>
  </si>
  <si>
    <t>Movimiento desplazamiento</t>
  </si>
  <si>
    <t>7f689e64-1e2f-48ef-998a-40c525f733e1</t>
  </si>
  <si>
    <t>2024-10-10T16:58:52.000Z</t>
  </si>
  <si>
    <t>2024-10-11T20:04:24.000Z</t>
  </si>
  <si>
    <t>11:40 Alto</t>
  </si>
  <si>
    <t>0efd2f92-0d75-4af6-8bfa-ed319f684f48</t>
  </si>
  <si>
    <t>2024-10-10T16:32:35.000Z</t>
  </si>
  <si>
    <t>2024-10-11T20:04:21.000Z</t>
  </si>
  <si>
    <t>11:30 Alto</t>
  </si>
  <si>
    <t>16f5e654-97d5-4683-801d-c6da1961a89c</t>
  </si>
  <si>
    <t>2024-10-10T16:27:17.000Z</t>
  </si>
  <si>
    <t>2024-10-11T20:04:19.000Z</t>
  </si>
  <si>
    <t>11:20 Alto</t>
  </si>
  <si>
    <t>caaa53c6-9a2b-4c96-920b-16f18d81d012</t>
  </si>
  <si>
    <t>2024-10-10T16:18:24.000Z</t>
  </si>
  <si>
    <t>2024-10-11T20:04:17.000Z</t>
  </si>
  <si>
    <t>11:10 Alto</t>
  </si>
  <si>
    <t>Estacionario</t>
  </si>
  <si>
    <t>762373dc-3498-4f50-952e-0631f0165625</t>
  </si>
  <si>
    <t>2024-10-10T16:03:14.000Z</t>
  </si>
  <si>
    <t>2024-10-11T20:04:10.000Z</t>
  </si>
  <si>
    <t>11:00 Alto</t>
  </si>
  <si>
    <t>745d547d-e066-4021-ab09-db6bcdd39bfb</t>
  </si>
  <si>
    <t>2024-10-10T15:51:16.000Z</t>
  </si>
  <si>
    <t>2024-10-11T20:04:08.000Z</t>
  </si>
  <si>
    <t>10:50 Alto</t>
  </si>
  <si>
    <t>Hojas maduras</t>
  </si>
  <si>
    <t>450fea37-ca33-4204-852e-5801d318e660</t>
  </si>
  <si>
    <t>2024-10-10T15:49:26.000Z</t>
  </si>
  <si>
    <t>2024-10-11T20:04:06.000Z</t>
  </si>
  <si>
    <t>10:40 Alto</t>
  </si>
  <si>
    <t>be90d55b-a35d-4bd1-999a-09fdd4ba5cf7</t>
  </si>
  <si>
    <t>2024-10-10T15:37:18.000Z</t>
  </si>
  <si>
    <t>2024-10-11T20:04:02.000Z</t>
  </si>
  <si>
    <t>10:30 Alto</t>
  </si>
  <si>
    <t>1369317d-7dac-4c92-a6ab-7bc0c670fc09</t>
  </si>
  <si>
    <t>2024-10-09T22:04:49.000Z</t>
  </si>
  <si>
    <t>2024-10-11T20:03:52.000Z</t>
  </si>
  <si>
    <t>17:00 Alto</t>
  </si>
  <si>
    <t>679b15ad-a9c9-41b9-acaa-30b9bad98cc1</t>
  </si>
  <si>
    <t>2024-10-09T21:49:15.000Z</t>
  </si>
  <si>
    <t>2024-10-11T20:03:47.000Z</t>
  </si>
  <si>
    <t>16:50 Alto</t>
  </si>
  <si>
    <t>Hojas nuevas - Hojas maduras</t>
  </si>
  <si>
    <t>c5c6191a-5436-46ae-9e77-770b640f4cad</t>
  </si>
  <si>
    <t>2024-10-09T21:48:31.000Z</t>
  </si>
  <si>
    <t>2024-10-11T20:03:46.000Z</t>
  </si>
  <si>
    <t>16:40 Alto</t>
  </si>
  <si>
    <t>b70c4308-8d4f-4684-8ea6-cd05fbb0070f</t>
  </si>
  <si>
    <t>2024-10-09T21:46:05.000Z</t>
  </si>
  <si>
    <t>2024-10-11T20:03:44.000Z</t>
  </si>
  <si>
    <t>16:30 Alto</t>
  </si>
  <si>
    <t>cea5073f-bca5-4d4a-a83f-a4caf487aedf</t>
  </si>
  <si>
    <t>2024-10-09T21:41:26.000Z</t>
  </si>
  <si>
    <t>2024-10-11T20:03:42.000Z</t>
  </si>
  <si>
    <t>16:20 Alto</t>
  </si>
  <si>
    <t>f6fa784c-6e30-4f6c-bb57-a640a5691380</t>
  </si>
  <si>
    <t>2024-10-09T21:40:37.000Z</t>
  </si>
  <si>
    <t>2024-10-11T20:03:41.000Z</t>
  </si>
  <si>
    <t>16:10 Alto</t>
  </si>
  <si>
    <t>7a67934f-6564-4838-904a-f5a409bbf68a</t>
  </si>
  <si>
    <t>2024-10-09T21:39:50.000Z</t>
  </si>
  <si>
    <t>2024-10-11T20:03:40.000Z</t>
  </si>
  <si>
    <t>16:00 Alto</t>
  </si>
  <si>
    <t>b95357dc-81ad-4a6e-bc03-1f7f91f86391</t>
  </si>
  <si>
    <t>2024-10-09T20:51:59.000Z</t>
  </si>
  <si>
    <t>2024-10-11T20:03:36.000Z</t>
  </si>
  <si>
    <t>15:50 Alto</t>
  </si>
  <si>
    <t>Frutos - hojas</t>
  </si>
  <si>
    <t>d616cead-617b-48ec-917f-e94718be64eb</t>
  </si>
  <si>
    <t>2024-10-09T20:51:49.000Z</t>
  </si>
  <si>
    <t>2024-10-11T20:03:35.000Z</t>
  </si>
  <si>
    <t>15:40 Alto</t>
  </si>
  <si>
    <t>4ab5011e-2f3d-4168-9938-afc58ba37d61</t>
  </si>
  <si>
    <t>2024-10-09T20:51:30.000Z</t>
  </si>
  <si>
    <t>2024-10-11T20:03:34.000Z</t>
  </si>
  <si>
    <t>15:30 Alto</t>
  </si>
  <si>
    <t>cbfeb66c-0b4f-4e82-bd56-6aca7c971f0f</t>
  </si>
  <si>
    <t>2024-10-09T20:51:18.000Z</t>
  </si>
  <si>
    <t>2024-10-11T20:03:32.000Z</t>
  </si>
  <si>
    <t>15:20 Alto</t>
  </si>
  <si>
    <t>5ab1755c-70de-4603-bd0e-0eee6357836a</t>
  </si>
  <si>
    <t>2024-10-09T20:15:52.000Z</t>
  </si>
  <si>
    <t>2024-10-11T20:03:29.000Z</t>
  </si>
  <si>
    <t>15:10 Alto</t>
  </si>
  <si>
    <t>af84d3ce-ebd0-491f-b598-88fd8665f135</t>
  </si>
  <si>
    <t>2024-10-09T20:15:32.000Z</t>
  </si>
  <si>
    <t>2024-10-11T20:03:27.000Z</t>
  </si>
  <si>
    <t>15:00 Alto</t>
  </si>
  <si>
    <t>983cdc90-72d7-44d2-9dbf-a82d2e71cfb6</t>
  </si>
  <si>
    <t>2024-10-09T20:15:10.000Z</t>
  </si>
  <si>
    <t>2024-10-11T20:03:26.000Z</t>
  </si>
  <si>
    <t>14:40 Alto</t>
  </si>
  <si>
    <t>a5a701c3-4db4-4416-96cb-dec8105238d9</t>
  </si>
  <si>
    <t>2024-10-09T20:14:53.000Z</t>
  </si>
  <si>
    <t>2024-10-11T20:03:24.000Z</t>
  </si>
  <si>
    <t>14:30 Alto</t>
  </si>
  <si>
    <t>Dormido</t>
  </si>
  <si>
    <t>b5b0e398-c31c-4c37-9f0d-52004c825216</t>
  </si>
  <si>
    <t>2024-10-09T20:14:40.000Z</t>
  </si>
  <si>
    <t>2024-10-11T20:03:23.000Z</t>
  </si>
  <si>
    <t>14:20 Alto</t>
  </si>
  <si>
    <t>29388373-ad8a-4585-bc43-091759a83d27</t>
  </si>
  <si>
    <t>2024-10-09T20:14:28.000Z</t>
  </si>
  <si>
    <t>2024-10-11T20:03:21.000Z</t>
  </si>
  <si>
    <t>14:10 Alto</t>
  </si>
  <si>
    <t>c961f736-2561-4e4f-8695-1696f6cebae3</t>
  </si>
  <si>
    <t>2024-10-09T20:14:15.000Z</t>
  </si>
  <si>
    <t>2024-10-11T20:03:20.000Z</t>
  </si>
  <si>
    <t>9648fb78-79a0-4b9b-be41-d4c5029986c4</t>
  </si>
  <si>
    <t>2024-10-09T20:13:55.000Z</t>
  </si>
  <si>
    <t>2024-10-11T20:03:18.000Z</t>
  </si>
  <si>
    <t>0becf2fe-dfd9-41b1-99d7-4e593196ba1e</t>
  </si>
  <si>
    <t>2024-10-09T20:13:41.000Z</t>
  </si>
  <si>
    <t>2024-10-11T20:03:17.000Z</t>
  </si>
  <si>
    <t>059c9509-4ba3-4440-b1d0-cc939ded8b99</t>
  </si>
  <si>
    <t>2024-10-09T20:13:27.000Z</t>
  </si>
  <si>
    <t>2024-10-11T20:03:15.000Z</t>
  </si>
  <si>
    <t>87644de2-dd2b-46a0-898e-7b0f54379a89</t>
  </si>
  <si>
    <t>2024-10-09T20:13:14.000Z</t>
  </si>
  <si>
    <t>2024-10-11T20:03:14.000Z</t>
  </si>
  <si>
    <t>3d89c4dd-11a4-4b8c-8e59-cbfe055f58c7</t>
  </si>
  <si>
    <t>2024-10-09T20:13:02.000Z</t>
  </si>
  <si>
    <t>2024-10-11T20:03:12.000Z</t>
  </si>
  <si>
    <t>3388cf25-a21e-4249-bc71-0ce110a48576</t>
  </si>
  <si>
    <t>2024-10-09T20:12:46.000Z</t>
  </si>
  <si>
    <t>2024-10-11T20:03:10.000Z</t>
  </si>
  <si>
    <t>9f35775a-205e-46c0-b8dc-170f7b850b33</t>
  </si>
  <si>
    <t>2024-10-09T17:52:33.000Z</t>
  </si>
  <si>
    <t>2024-10-11T20:03:08.000Z</t>
  </si>
  <si>
    <t>Descanso dormido</t>
  </si>
  <si>
    <t>7503a6ec-bdb5-4155-83b4-2fcda9ea867c</t>
  </si>
  <si>
    <t>2024-10-09T17:52:12.000Z</t>
  </si>
  <si>
    <t>2024-10-11T20:03:06.000Z</t>
  </si>
  <si>
    <t>48956651-cdca-4d3c-84e0-6062be909fde</t>
  </si>
  <si>
    <t>2024-10-09T17:51:21.000Z</t>
  </si>
  <si>
    <t>2024-10-11T20:03:04.000Z</t>
  </si>
  <si>
    <t>c44cf4ef-a425-441e-a5ab-2cef53ac0ad2</t>
  </si>
  <si>
    <t>2024-10-09T17:50:49.000Z</t>
  </si>
  <si>
    <t>2024-10-11T20:03:03.000Z</t>
  </si>
  <si>
    <t>12:20 Alto</t>
  </si>
  <si>
    <t>abe7e254-e143-475a-b1cd-d7c7327468e8</t>
  </si>
  <si>
    <t>2024-10-09T17:50:23.000Z</t>
  </si>
  <si>
    <t>2024-10-11T20:03:01.000Z</t>
  </si>
  <si>
    <t>49a7423d-cc83-41d8-84e2-ea47eac51266</t>
  </si>
  <si>
    <t>2024-10-09T17:50:00.000Z</t>
  </si>
  <si>
    <t>2024-10-11T20:02:59.000Z</t>
  </si>
  <si>
    <t>2ae4829a-2bec-4976-85dc-45f084a93bdb</t>
  </si>
  <si>
    <t>2024-10-09T17:49:33.000Z</t>
  </si>
  <si>
    <t>2024-10-11T20:02:58.000Z</t>
  </si>
  <si>
    <t>e27d5848-1ec6-4776-bf3e-ed71b111e507</t>
  </si>
  <si>
    <t>2024-10-09T16:46:56.000Z</t>
  </si>
  <si>
    <t>2024-10-11T20:02:53.000Z</t>
  </si>
  <si>
    <t>e8da66ce-ee49-42e8-a725-5fc0dd37d0e4</t>
  </si>
  <si>
    <t>2024-10-09T16:46:34.000Z</t>
  </si>
  <si>
    <t>2024-10-11T20:02:52.000Z</t>
  </si>
  <si>
    <t>5aceb0f7-c16c-48a7-b32a-225f4cc83e32</t>
  </si>
  <si>
    <t>2024-10-09T16:46:12.000Z</t>
  </si>
  <si>
    <t>2024-10-11T20:02:50.000Z</t>
  </si>
  <si>
    <t>0b017e78-5d7a-4778-a1a7-925055bf119f</t>
  </si>
  <si>
    <t>2024-10-09T16:45:47.000Z</t>
  </si>
  <si>
    <t>2024-10-11T20:02:49.000Z</t>
  </si>
  <si>
    <t>6138ddb3-8809-4aaa-bfc5-b534b9075cfc</t>
  </si>
  <si>
    <t>2024-10-09T16:45:26.000Z</t>
  </si>
  <si>
    <t>2024-10-11T20:02:47.000Z</t>
  </si>
  <si>
    <t>af304384-9f81-4056-9eb5-7702d2e61d17</t>
  </si>
  <si>
    <t>2024-10-09T16:44:58.000Z</t>
  </si>
  <si>
    <t>2024-10-11T20:02:45.000Z</t>
  </si>
  <si>
    <t>6f5b1ca0-6356-4d2a-b19c-1c707dbb3283</t>
  </si>
  <si>
    <t>2024-10-09T16:44:38.000Z</t>
  </si>
  <si>
    <t>2024-10-11T20:02:44.000Z</t>
  </si>
  <si>
    <t>705d82d4-38b5-48ed-bae1-7d98faecb8cc</t>
  </si>
  <si>
    <t>2024-10-09T16:44:17.000Z</t>
  </si>
  <si>
    <t>2024-10-11T20:02:43.000Z</t>
  </si>
  <si>
    <t>a08f5bf5-421c-4268-92e6-2dcfe2c17aa0</t>
  </si>
  <si>
    <t>2024-10-09T15:21:24.000Z</t>
  </si>
  <si>
    <t>2024-10-11T20:02:40.000Z</t>
  </si>
  <si>
    <t>10:20 Alto</t>
  </si>
  <si>
    <t>cdb99c4f-c36a-4692-831a-18b98004b93c</t>
  </si>
  <si>
    <t>2024-10-09T15:20:56.000Z</t>
  </si>
  <si>
    <t>2024-10-11T20:02:39.000Z</t>
  </si>
  <si>
    <t>10:10 Alto</t>
  </si>
  <si>
    <t>db64d91c-2b22-4417-a753-bf5ed12f8ecc</t>
  </si>
  <si>
    <t>2024-10-09T15:06:19.000Z</t>
  </si>
  <si>
    <t>2024-10-11T20:02:38.000Z</t>
  </si>
  <si>
    <t>10:00 Alto</t>
  </si>
  <si>
    <t>b084e8d9-7c1a-47d5-a9e3-ee9076912025</t>
  </si>
  <si>
    <t>2024-10-09T15:05:12.000Z</t>
  </si>
  <si>
    <t>2024-10-11T20:02:36.000Z</t>
  </si>
  <si>
    <t>09:50 Alto</t>
  </si>
  <si>
    <t>dfd3e6ca-c482-4afc-b395-0058f8e74f2c</t>
  </si>
  <si>
    <t>2024-10-09T15:03:58.000Z</t>
  </si>
  <si>
    <t>2024-10-11T20:02:34.000Z</t>
  </si>
  <si>
    <t>09:40 Alto</t>
  </si>
  <si>
    <t>008bca06-794e-4fe1-933e-261a284aeba4</t>
  </si>
  <si>
    <t>2024-10-09T15:01:51.000Z</t>
  </si>
  <si>
    <t>2024-10-11T20:02:33.000Z</t>
  </si>
  <si>
    <t>09:30 Alto</t>
  </si>
  <si>
    <t>Flores</t>
  </si>
  <si>
    <t>Al. Flores</t>
  </si>
  <si>
    <t>871c62af-fc98-45c1-be78-24953005cd14</t>
  </si>
  <si>
    <t>2024-10-09T14:27:21.000Z</t>
  </si>
  <si>
    <t>2024-10-11T20:02:24.000Z</t>
  </si>
  <si>
    <t>09:20 Alto</t>
  </si>
  <si>
    <t>d8c87191-ff70-4408-bbb8-60e3fdd07b8b</t>
  </si>
  <si>
    <t>2024-10-09T14:27:11.000Z</t>
  </si>
  <si>
    <t>2024-10-11T20:02:22.000Z</t>
  </si>
  <si>
    <t>09:10 Alto</t>
  </si>
  <si>
    <t>dfa274e6-e80c-415c-9461-cf3f06b85d87</t>
  </si>
  <si>
    <t>2024-10-09T14:26:58.000Z</t>
  </si>
  <si>
    <t>2024-10-11T20:02:21.000Z</t>
  </si>
  <si>
    <t>09:00 Alto</t>
  </si>
  <si>
    <t>Hojas - peciolo</t>
  </si>
  <si>
    <t>9197409d-65a4-4a2d-9022-797c4a7172d6</t>
  </si>
  <si>
    <t>2024-10-09T13:56:38.000Z</t>
  </si>
  <si>
    <t>2024-10-11T20:02:16.000Z</t>
  </si>
  <si>
    <t>08:50 Alto</t>
  </si>
  <si>
    <t>adb3ec1a-dc56-48e5-bc64-692b72497b1a</t>
  </si>
  <si>
    <t>2024-10-09T13:42:59.000Z</t>
  </si>
  <si>
    <t>2024-10-11T20:02:13.000Z</t>
  </si>
  <si>
    <t>08:40 Alto</t>
  </si>
  <si>
    <t>28850ffc-ed97-45e9-bf26-7a80c76690fb</t>
  </si>
  <si>
    <t>2024-10-09T13:41:47.000Z</t>
  </si>
  <si>
    <t>2024-10-11T20:02:12.000Z</t>
  </si>
  <si>
    <t>08:30 Alto</t>
  </si>
  <si>
    <t>Descanso colgante</t>
  </si>
  <si>
    <t>69e2b737-6965-42f0-82ea-03ba8c441ec4</t>
  </si>
  <si>
    <t>2024-10-09T13:21:27.000Z</t>
  </si>
  <si>
    <t>2024-10-11T20:02:09.000Z</t>
  </si>
  <si>
    <t>08:20 Alto</t>
  </si>
  <si>
    <t>Descanso vista alrededor</t>
  </si>
  <si>
    <t>191d6561-f544-4808-a107-fe2f2f1c9446</t>
  </si>
  <si>
    <t>2024-10-09T13:20:03.000Z</t>
  </si>
  <si>
    <t>2024-10-11T20:02:08.000Z</t>
  </si>
  <si>
    <t>08:10 Alto</t>
  </si>
  <si>
    <t>Fruto inmaduro</t>
  </si>
  <si>
    <t>Al. Fruto inmaduro</t>
  </si>
  <si>
    <t>a79fdb77-819f-4bb5-aba2-136443f65f4a</t>
  </si>
  <si>
    <t>2024-10-08T22:30:55.000Z</t>
  </si>
  <si>
    <t>2024-10-09T00:49:38.000Z</t>
  </si>
  <si>
    <t>17:30 Alto</t>
  </si>
  <si>
    <t>443843cf-87c6-473d-94c5-89f165af78d4</t>
  </si>
  <si>
    <t>2024-10-08T22:22:55.000Z</t>
  </si>
  <si>
    <t>2024-10-09T00:49:31.000Z</t>
  </si>
  <si>
    <t>17:20 Alto</t>
  </si>
  <si>
    <t>f23c7ead-18ec-4741-a13d-3c15d9e40bc2</t>
  </si>
  <si>
    <t>2024-10-08T22:16:48.000Z</t>
  </si>
  <si>
    <t>2024-10-09T00:49:29.000Z</t>
  </si>
  <si>
    <t>17:10 Alto</t>
  </si>
  <si>
    <t>6aaa0a52-42f6-4887-9ae0-d7d602264ef9</t>
  </si>
  <si>
    <t>2024-10-08T22:00:09.000Z</t>
  </si>
  <si>
    <t>2024-10-09T00:49:27.000Z</t>
  </si>
  <si>
    <t>74a569a2-228e-4de6-9ff4-5efe7fab3024</t>
  </si>
  <si>
    <t>2024-10-08T21:59:52.000Z</t>
  </si>
  <si>
    <t>2024-10-09T00:49:24.000Z</t>
  </si>
  <si>
    <t>b9b3fd9c-8029-4005-80cd-f085b257ddb1</t>
  </si>
  <si>
    <t>2024-10-08T21:59:39.000Z</t>
  </si>
  <si>
    <t>2024-10-09T00:49:22.000Z</t>
  </si>
  <si>
    <t>195a0681-63f7-4b47-9fe9-ebb2d6624d83</t>
  </si>
  <si>
    <t>2024-10-08T21:59:24.000Z</t>
  </si>
  <si>
    <t>2024-10-09T00:49:21.000Z</t>
  </si>
  <si>
    <t>d21a3567-5d18-45d0-aceb-849d166905a0</t>
  </si>
  <si>
    <t>2024-10-08T21:32:24.000Z</t>
  </si>
  <si>
    <t>2024-10-09T00:49:17.000Z</t>
  </si>
  <si>
    <t>9b26f956-cba8-4a31-a3bd-78c9e62a06a3</t>
  </si>
  <si>
    <t>2024-10-08T21:31:26.000Z</t>
  </si>
  <si>
    <t>2024-10-09T00:49:16.000Z</t>
  </si>
  <si>
    <t>7479255b-c25b-44fc-ade3-951fc948ce87</t>
  </si>
  <si>
    <t>2024-10-08T21:05:52.000Z</t>
  </si>
  <si>
    <t>2024-10-09T00:49:14.000Z</t>
  </si>
  <si>
    <t>Inicio de alarma</t>
  </si>
  <si>
    <t>fcfd9034-88f1-4751-b981-be62ff1054c3</t>
  </si>
  <si>
    <t>2024-10-08T21:05:04.000Z</t>
  </si>
  <si>
    <t>2024-10-09T00:49:13.000Z</t>
  </si>
  <si>
    <t>2cdf062c-76d8-4de8-87f1-d7b99e3c1df6</t>
  </si>
  <si>
    <t>2024-10-08T21:04:37.000Z</t>
  </si>
  <si>
    <t>2024-10-09T00:49:10.000Z</t>
  </si>
  <si>
    <t>b52e6f35-34af-4aaa-9651-7fe468cad91e</t>
  </si>
  <si>
    <t>2024-10-08T20:33:44.000Z</t>
  </si>
  <si>
    <t>2024-10-09T00:49:06.000Z</t>
  </si>
  <si>
    <t>e3f2213a-3ff7-4395-b497-48db874abb25</t>
  </si>
  <si>
    <t>2024-10-08T20:33:14.000Z</t>
  </si>
  <si>
    <t>2024-10-09T00:49:04.000Z</t>
  </si>
  <si>
    <t>3031e972-1937-4a6d-a058-1d86bf0ee13e</t>
  </si>
  <si>
    <t>2024-10-08T20:32:12.000Z</t>
  </si>
  <si>
    <t>2024-10-09T00:49:00.000Z</t>
  </si>
  <si>
    <t>2d3ccb52-0c70-477c-acc3-42a760c0ebb6</t>
  </si>
  <si>
    <t>2024-10-08T20:31:48.000Z</t>
  </si>
  <si>
    <t>2024-10-09T00:49:02.000Z</t>
  </si>
  <si>
    <t>7925a6a8-2126-4a7b-8676-64abcaf0d1b5</t>
  </si>
  <si>
    <t>2024-10-08T20:31:32.000Z</t>
  </si>
  <si>
    <t>2024-10-09T00:48:59.000Z</t>
  </si>
  <si>
    <t>14:50 Alto</t>
  </si>
  <si>
    <t>ce6ebe8a-a62c-4aa6-81e8-25923cbbc702</t>
  </si>
  <si>
    <t>2024-10-08T20:25:27.000Z</t>
  </si>
  <si>
    <t>2024-10-09T00:48:56.000Z</t>
  </si>
  <si>
    <t>50e9de75-8ac0-4576-a55c-2fc7e52eeb48</t>
  </si>
  <si>
    <t>2024-10-08T19:35:26.000Z</t>
  </si>
  <si>
    <t>2024-10-09T00:48:53.000Z</t>
  </si>
  <si>
    <t>5305938d-ff8c-47f6-93d2-5c13ff95a283</t>
  </si>
  <si>
    <t>2024-10-08T19:33:57.000Z</t>
  </si>
  <si>
    <t>2024-10-09T00:48:52.000Z</t>
  </si>
  <si>
    <t>0006fee6-e26d-4f98-ba3c-8571133b840f</t>
  </si>
  <si>
    <t>2024-10-08T19:16:21.000Z</t>
  </si>
  <si>
    <t>2024-10-09T00:48:46.000Z</t>
  </si>
  <si>
    <t>0f6a8c4f-9bb8-4a3d-9663-2182b3043ea1</t>
  </si>
  <si>
    <t>2024-10-08T19:15:03.000Z</t>
  </si>
  <si>
    <t>2024-10-09T00:48:42.000Z</t>
  </si>
  <si>
    <t>5a5bfdbd-2021-44e1-a743-9c5dee7f5d3c</t>
  </si>
  <si>
    <t>2024-10-08T18:52:29.000Z</t>
  </si>
  <si>
    <t>2024-10-09T00:48:39.000Z</t>
  </si>
  <si>
    <t>0fc21d27-dfe0-48e5-a0fc-eeab5285dc38</t>
  </si>
  <si>
    <t>2024-10-08T18:51:42.000Z</t>
  </si>
  <si>
    <t>2024-10-09T00:48:38.000Z</t>
  </si>
  <si>
    <t>2e1546bb-b3b8-45f7-8453-6bb61e50a204</t>
  </si>
  <si>
    <t>2024-10-08T18:51:13.000Z</t>
  </si>
  <si>
    <t>2024-10-09T00:48:34.000Z</t>
  </si>
  <si>
    <t>a5ce9389-f002-4cf9-8dac-bc1461ae487f</t>
  </si>
  <si>
    <t>2024-10-08T18:22:01.000Z</t>
  </si>
  <si>
    <t>2024-10-09T00:48:31.000Z</t>
  </si>
  <si>
    <t>5ccd954b-ff53-437d-9f8b-78bc16fe1ba2</t>
  </si>
  <si>
    <t>2024-10-08T18:21:26.000Z</t>
  </si>
  <si>
    <t>2024-10-09T00:48:29.000Z</t>
  </si>
  <si>
    <t>7a69e374-d535-4d64-8fcc-347c7fec47f8</t>
  </si>
  <si>
    <t>2024-10-08T18:20:59.000Z</t>
  </si>
  <si>
    <t>2024-10-09T00:48:25.000Z</t>
  </si>
  <si>
    <t>02b62d4b-c36b-45e0-a51a-ca725d4a0872</t>
  </si>
  <si>
    <t>2024-10-08T17:51:41.000Z</t>
  </si>
  <si>
    <t>2024-10-09T00:48:24.000Z</t>
  </si>
  <si>
    <t>Vocalización Inicio de Alarma</t>
  </si>
  <si>
    <t>Sonido guatusa</t>
  </si>
  <si>
    <t>5e509721-9fbf-4daa-aebe-5dbd381f94a7</t>
  </si>
  <si>
    <t>2024-10-08T17:49:18.000Z</t>
  </si>
  <si>
    <t>2024-10-09T00:48:21.000Z</t>
  </si>
  <si>
    <t>245ec1e7-5500-4ca5-9b4f-7f402ee01c7d</t>
  </si>
  <si>
    <t>2024-10-08T17:48:35.000Z</t>
  </si>
  <si>
    <t>2024-10-09T00:48:18.000Z</t>
  </si>
  <si>
    <t>7d4bc7aa-79ea-463d-a936-a65ea097e6e0</t>
  </si>
  <si>
    <t>2024-10-08T17:46:23.000Z</t>
  </si>
  <si>
    <t>2024-10-09T00:48:17.000Z</t>
  </si>
  <si>
    <t>bafe3e97-9391-4228-b9d2-5f91a3855a2d</t>
  </si>
  <si>
    <t>2024-10-08T17:10:44.000Z</t>
  </si>
  <si>
    <t>2024-10-09T00:48:15.000Z</t>
  </si>
  <si>
    <t>ee39896e-f7e2-4000-89c0-325c8b7006d8</t>
  </si>
  <si>
    <t>2024-10-08T17:07:20.000Z</t>
  </si>
  <si>
    <t>2024-10-09T00:48:11.000Z</t>
  </si>
  <si>
    <t>5e59c9ae-8a23-4b07-8e3f-d833579af2fb</t>
  </si>
  <si>
    <t>2024-10-08T17:06:48.000Z</t>
  </si>
  <si>
    <t>2024-10-09T00:48:10.000Z</t>
  </si>
  <si>
    <t>16debea1-f2a6-45af-a159-8b9c9c8ac31c</t>
  </si>
  <si>
    <t>2024-10-08T16:48:10.000Z</t>
  </si>
  <si>
    <t>2024-10-09T00:48:08.000Z</t>
  </si>
  <si>
    <t>SAM</t>
  </si>
  <si>
    <t>1434a025-d4f8-4bd4-bdc0-5891f99da74c</t>
  </si>
  <si>
    <t>2024-10-08T16:47:39.000Z</t>
  </si>
  <si>
    <t>2024-10-09T00:48:05.000Z</t>
  </si>
  <si>
    <t>aa15a474-32ec-49b5-8de5-211e43f9ac11</t>
  </si>
  <si>
    <t>2024-10-08T16:46:59.000Z</t>
  </si>
  <si>
    <t>2024-10-09T00:48:03.000Z</t>
  </si>
  <si>
    <t>50476858-4389-4f49-9ad8-2d1cd72736b8</t>
  </si>
  <si>
    <t>2024-10-08T16:46:03.000Z</t>
  </si>
  <si>
    <t>2024-10-09T00:48:02.000Z</t>
  </si>
  <si>
    <t>13ba1c00-c62e-42fd-94c3-dbfdfa8ec760</t>
  </si>
  <si>
    <t>2024-10-08T16:40:08.000Z</t>
  </si>
  <si>
    <t>2024-10-09T00:47:56.000Z</t>
  </si>
  <si>
    <t>24fb3c7d-42d1-4f11-b94d-43a41f12e7ff</t>
  </si>
  <si>
    <t>2024-10-08T16:39:53.000Z</t>
  </si>
  <si>
    <t>2024-10-09T00:47:55.000Z</t>
  </si>
  <si>
    <t>62769634-606b-4cdb-8099-b1bd76e942b0</t>
  </si>
  <si>
    <t>2024-10-08T16:39:16.000Z</t>
  </si>
  <si>
    <t>2024-10-09T00:47:53.000Z</t>
  </si>
  <si>
    <t>58f2625b-b300-4884-81f3-79175b12bf02</t>
  </si>
  <si>
    <t>2024-10-08T16:38:50.000Z</t>
  </si>
  <si>
    <t>2024-10-09T00:47:50.000Z</t>
  </si>
  <si>
    <t>Fruto maduro</t>
  </si>
  <si>
    <t>684de875-24dc-4ea4-ab21-cdbbb8cc396b</t>
  </si>
  <si>
    <t>2024-10-08T16:32:34.000Z</t>
  </si>
  <si>
    <t>2024-10-09T00:47:46.000Z</t>
  </si>
  <si>
    <t>94e254b6-ff32-4eef-93c8-1414f224c1c4</t>
  </si>
  <si>
    <t>2024-10-08T16:29:52.000Z</t>
  </si>
  <si>
    <t>2024-10-09T00:47:43.000Z</t>
  </si>
  <si>
    <t>29103ff4-1533-4ae2-80a9-4cf5c57c3440</t>
  </si>
  <si>
    <t>2024-10-08T15:04:21.000Z</t>
  </si>
  <si>
    <t>2024-10-09T00:47:36.000Z</t>
  </si>
  <si>
    <t>0ffb2cbf-c644-42b4-957a-5d9ae382aaf9</t>
  </si>
  <si>
    <t>2024-10-08T15:03:21.000Z</t>
  </si>
  <si>
    <t>2024-10-09T00:47:35.000Z</t>
  </si>
  <si>
    <t>35c072f7-f35f-4723-93ca-375a90a6f5c1</t>
  </si>
  <si>
    <t>2024-10-07T21:19:44.000Z</t>
  </si>
  <si>
    <t>2024-10-09T00:31:06.000Z</t>
  </si>
  <si>
    <t>baf1e289-f089-48cd-8d34-0848902fb79c</t>
  </si>
  <si>
    <t>2024-10-07T21:19:33.000Z</t>
  </si>
  <si>
    <t>2024-10-09T00:31:03.000Z</t>
  </si>
  <si>
    <t>e322370b-79cc-4ccd-bb5d-735a9f28fee3</t>
  </si>
  <si>
    <t>2024-10-07T21:19:16.000Z</t>
  </si>
  <si>
    <t>2024-10-09T00:31:02.000Z</t>
  </si>
  <si>
    <t>2de91628-5198-4493-86ed-536222394eaf</t>
  </si>
  <si>
    <t>2024-10-07T20:58:17.000Z</t>
  </si>
  <si>
    <t>2024-10-09T00:30:55.000Z</t>
  </si>
  <si>
    <t>12dc7e6a-5466-4cf1-8540-53ff4b333856</t>
  </si>
  <si>
    <t>2024-10-07T20:57:55.000Z</t>
  </si>
  <si>
    <t>2024-10-09T00:30:54.000Z</t>
  </si>
  <si>
    <t>Si</t>
  </si>
  <si>
    <t>32a3086e-602a-4a73-a676-29b665a5fb90</t>
  </si>
  <si>
    <t>2024-10-07T20:56:48.000Z</t>
  </si>
  <si>
    <t>2024-10-09T00:30:52.000Z</t>
  </si>
  <si>
    <t>7f9a2e92-7d65-4f6b-acfb-2116d2241201</t>
  </si>
  <si>
    <t>2024-10-07T20:21:26.000Z</t>
  </si>
  <si>
    <t>2024-10-09T00:30:50.000Z</t>
  </si>
  <si>
    <t>Alarma</t>
  </si>
  <si>
    <t>De 2 a 10 metros</t>
  </si>
  <si>
    <t>Indeterminado</t>
  </si>
  <si>
    <t>8730ba0f-4618-45a7-bfd9-4b5714b0aca9</t>
  </si>
  <si>
    <t>2024-10-07T20:14:34.000Z</t>
  </si>
  <si>
    <t>2024-10-09T00:30:46.000Z</t>
  </si>
  <si>
    <t>Territorial</t>
  </si>
  <si>
    <t>e8f6ffee-de73-44ca-834e-eb7e128cbdeb</t>
  </si>
  <si>
    <t>2024-10-07T20:13:55.000Z</t>
  </si>
  <si>
    <t>2024-10-09T00:30:43.000Z</t>
  </si>
  <si>
    <t>65c8caa8-3542-4e11-91e3-6a77a1110b12</t>
  </si>
  <si>
    <t>2024-10-07T20:12:43.000Z</t>
  </si>
  <si>
    <t>2024-10-09T00:30:42.000Z</t>
  </si>
  <si>
    <t>49d6d03e-ff09-43f5-83de-da29af19b7df</t>
  </si>
  <si>
    <t>2024-10-07T19:39:53.000Z</t>
  </si>
  <si>
    <t>2024-10-09T00:30:36.000Z</t>
  </si>
  <si>
    <t>9585ce27-61bc-4153-9c33-a8c437ce7d3c</t>
  </si>
  <si>
    <t>2024-10-07T19:33:00.000Z</t>
  </si>
  <si>
    <t>2024-10-09T00:30:33.000Z</t>
  </si>
  <si>
    <t>425964fe-ce1c-436a-b8d7-965880a71c20</t>
  </si>
  <si>
    <t>2024-10-07T19:32:49.000Z</t>
  </si>
  <si>
    <t>2024-10-09T00:30:32.000Z</t>
  </si>
  <si>
    <t>b3365835-1e72-4b80-be85-b483a23c5996</t>
  </si>
  <si>
    <t>2024-10-07T19:32:38.000Z</t>
  </si>
  <si>
    <t>2024-10-09T00:30:30.000Z</t>
  </si>
  <si>
    <t>b25f3ef0-556f-4fa3-83fc-9a78d121ed5e</t>
  </si>
  <si>
    <t>2024-10-07T18:56:25.000Z</t>
  </si>
  <si>
    <t>2024-10-09T00:30:23.000Z</t>
  </si>
  <si>
    <t>Mismo árbol</t>
  </si>
  <si>
    <t>Vocalización Territorial</t>
  </si>
  <si>
    <t>2129ca0b-88d3-4931-b0eb-d5029ef4965a</t>
  </si>
  <si>
    <t>2024-10-07T18:55:35.000Z</t>
  </si>
  <si>
    <t>2024-10-09T00:30:21.000Z</t>
  </si>
  <si>
    <t>8f4cf242-f41c-4948-94fe-6b695d55b021</t>
  </si>
  <si>
    <t>2024-10-07T18:54:37.000Z</t>
  </si>
  <si>
    <t>2024-10-09T00:30:20.000Z</t>
  </si>
  <si>
    <t>d65dd035-dfd1-4f3e-8c47-ca6231b40984</t>
  </si>
  <si>
    <t>2024-10-07T18:53:48.000Z</t>
  </si>
  <si>
    <t>2024-10-09T00:30:18.000Z</t>
  </si>
  <si>
    <t>727e8d90-9626-4ef1-a8e3-faf18ce20101</t>
  </si>
  <si>
    <t>2024-10-07T18:52:49.000Z</t>
  </si>
  <si>
    <t>2024-10-09T00:30:16.000Z</t>
  </si>
  <si>
    <t>Vocalización M!</t>
  </si>
  <si>
    <t>6902f8f3-5586-41da-a9ca-0357f28880ff</t>
  </si>
  <si>
    <t>2024-10-07T18:50:28.000Z</t>
  </si>
  <si>
    <t>2024-10-09T00:30:14.000Z</t>
  </si>
  <si>
    <t>cc3b86ce-fef2-4abf-b70f-ea080a89b8f0</t>
  </si>
  <si>
    <t>2024-10-07T17:51:10.000Z</t>
  </si>
  <si>
    <t>2024-10-09T00:30:03.000Z</t>
  </si>
  <si>
    <t>4c4b422a-4775-4a84-96c7-e02d0603006a</t>
  </si>
  <si>
    <t>2024-10-07T17:40:17.000Z</t>
  </si>
  <si>
    <t>2024-10-09T00:29:59.000Z</t>
  </si>
  <si>
    <t>73c5a90c-3972-4c12-9d43-e88dc72cfeb6</t>
  </si>
  <si>
    <t>2024-10-07T17:37:34.000Z</t>
  </si>
  <si>
    <t>2024-10-09T00:29:55.000Z</t>
  </si>
  <si>
    <t>On</t>
  </si>
  <si>
    <t>1cff2612-cc50-4f2c-8a3f-3b23ce398929</t>
  </si>
  <si>
    <t>2024-10-07T17:15:50.000Z</t>
  </si>
  <si>
    <t>2024-10-09T00:29:52.000Z</t>
  </si>
  <si>
    <t>e9b81ce4-e0ec-42e4-a2ea-34d135a94398</t>
  </si>
  <si>
    <t>2024-10-07T17:06:21.000Z</t>
  </si>
  <si>
    <t>2024-10-09T00:29:47.000Z</t>
  </si>
  <si>
    <t>c9f0da7f-e9cd-4273-bc81-5af04ddb2c6a</t>
  </si>
  <si>
    <t>2024-10-07T17:06:00.000Z</t>
  </si>
  <si>
    <t>2024-10-09T00:29:46.000Z</t>
  </si>
  <si>
    <t>616f69cc-913c-48cd-9158-d978e4c03b6f</t>
  </si>
  <si>
    <t>2024-10-07T16:44:27.000Z</t>
  </si>
  <si>
    <t>2024-10-09T00:29:42.000Z</t>
  </si>
  <si>
    <t>0a3ed767-ea6a-43b1-abdc-9d11e3292e95</t>
  </si>
  <si>
    <t>2024-10-07T16:43:51.000Z</t>
  </si>
  <si>
    <t>2024-10-09T00:29:41.000Z</t>
  </si>
  <si>
    <t>8427eb6d-7494-4420-9312-47e88ac4b719</t>
  </si>
  <si>
    <t>2024-10-07T16:43:25.000Z</t>
  </si>
  <si>
    <t>2024-10-09T00:29:39.000Z</t>
  </si>
  <si>
    <t>9ffffe7c-8786-436f-a4b8-0d720893a39d</t>
  </si>
  <si>
    <t>2024-10-07T16:10:14.000Z</t>
  </si>
  <si>
    <t>2024-10-09T00:29:38.000Z</t>
  </si>
  <si>
    <t>Off</t>
  </si>
  <si>
    <t>d0b2c02f-4571-4f8e-ab46-c0e0a154ed00</t>
  </si>
  <si>
    <t>2024-10-07T16:09:56.000Z</t>
  </si>
  <si>
    <t>2024-10-09T00:29:35.000Z</t>
  </si>
  <si>
    <t>b988ce29-fa89-489f-a943-cd659d92cf38</t>
  </si>
  <si>
    <t>2024-10-07T15:56:49.000Z</t>
  </si>
  <si>
    <t>2024-10-09T00:29:29.000Z</t>
  </si>
  <si>
    <t>59a0bf78-c018-466b-9ede-94c65ddf4546</t>
  </si>
  <si>
    <t>2024-10-07T15:55:22.000Z</t>
  </si>
  <si>
    <t>2024-10-09T00:29:27.000Z</t>
  </si>
  <si>
    <t>540df6fb-acf7-4b35-9382-9efd9f18c873</t>
  </si>
  <si>
    <t>2024-10-07T15:30:56.000Z</t>
  </si>
  <si>
    <t>2024-10-09T00:29:24.000Z</t>
  </si>
  <si>
    <t>a9f6dac8-3eb8-49b9-bd42-fe4a5227cfe5</t>
  </si>
  <si>
    <t>2024-10-07T15:27:37.000Z</t>
  </si>
  <si>
    <t>2024-10-09T00:29:22.000Z</t>
  </si>
  <si>
    <t>40828c9a-04ff-4f86-8a17-2504ed84b423</t>
  </si>
  <si>
    <t>2024-10-07T15:13:40.000Z</t>
  </si>
  <si>
    <t>2024-10-09T00:29:18.000Z</t>
  </si>
  <si>
    <t>886120ee-6772-4c13-a1b3-9f42bad1e468</t>
  </si>
  <si>
    <t>2024-10-07T15:01:43.000Z</t>
  </si>
  <si>
    <t>2024-10-09T00:29:15.000Z</t>
  </si>
  <si>
    <t>cd559377-486f-4ac9-b46e-c791d6178399</t>
  </si>
  <si>
    <t>2024-09-26T19:37:24.000Z</t>
  </si>
  <si>
    <t>2024-10-09T00:32:33.000Z</t>
  </si>
  <si>
    <t>98bcebec-53ed-4a9e-9bf9-7571c551cb24</t>
  </si>
  <si>
    <t>2024-09-26T19:36:50.000Z</t>
  </si>
  <si>
    <t>2024-10-09T00:32:32.000Z</t>
  </si>
  <si>
    <t>4e9e2073-c0f6-47e2-945e-e29bba095475</t>
  </si>
  <si>
    <t>2024-09-26T19:36:26.000Z</t>
  </si>
  <si>
    <t>2024-10-09T00:32:31.000Z</t>
  </si>
  <si>
    <t>701d217f-1361-48fb-a87c-f5d1f956a301</t>
  </si>
  <si>
    <t>2024-09-26T18:59:48.000Z</t>
  </si>
  <si>
    <t>2024-10-09T00:32:20.000Z</t>
  </si>
  <si>
    <t>668039d1-2388-483f-a6b8-3dd3f424fcac</t>
  </si>
  <si>
    <t>2024-09-26T18:55:47.000Z</t>
  </si>
  <si>
    <t>2024-10-09T00:32:18.000Z</t>
  </si>
  <si>
    <t>d0fdab5d-6065-4e10-8e37-6b70972a85dd</t>
  </si>
  <si>
    <t>2024-09-26T18:53:33.000Z</t>
  </si>
  <si>
    <t>2024-10-09T00:32:17.000Z</t>
  </si>
  <si>
    <t>48da5fab-0dfa-4663-9928-f898437f183c</t>
  </si>
  <si>
    <t>2024-09-26T18:31:18.000Z</t>
  </si>
  <si>
    <t>2024-10-09T00:32:11.000Z</t>
  </si>
  <si>
    <t>3cb00835-7643-4e72-ae93-f3d92f07beb0</t>
  </si>
  <si>
    <t>2024-09-26T18:30:31.000Z</t>
  </si>
  <si>
    <t>2024-10-09T00:32:10.000Z</t>
  </si>
  <si>
    <t>9d7a21e8-f008-46a5-b4db-f9cdce8a5fce</t>
  </si>
  <si>
    <t>2024-09-26T18:29:49.000Z</t>
  </si>
  <si>
    <t>2024-10-09T00:32:07.000Z</t>
  </si>
  <si>
    <t>b411b4ee-b5eb-4a35-985c-f8c428a25a1c</t>
  </si>
  <si>
    <t>2024-09-26T17:53:12.000Z</t>
  </si>
  <si>
    <t>2024-10-09T00:32:04.000Z</t>
  </si>
  <si>
    <t>13979c8c-3713-4585-82b7-3125fab4b4bc</t>
  </si>
  <si>
    <t>2024-09-26T17:52:30.000Z</t>
  </si>
  <si>
    <t>2024-10-09T00:32:01.000Z</t>
  </si>
  <si>
    <t>2dd75bb9-0729-4567-bb01-1fa6edebef61</t>
  </si>
  <si>
    <t>2024-09-26T17:51:46.000Z</t>
  </si>
  <si>
    <t>2024-10-09T00:31:59.000Z</t>
  </si>
  <si>
    <t>4e099b0a-6f28-45a0-974c-bc959a47cd16</t>
  </si>
  <si>
    <t>2024-09-26T17:51:06.000Z</t>
  </si>
  <si>
    <t>2024-10-09T00:31:58.000Z</t>
  </si>
  <si>
    <t>b2b5dc8c-d42c-458e-9610-3657a39fef8f</t>
  </si>
  <si>
    <t>2024-09-26T17:16:23.000Z</t>
  </si>
  <si>
    <t>2024-10-09T00:31:54.000Z</t>
  </si>
  <si>
    <t>f8551d09-3c0e-423b-b7f2-84fbc8aaeeba</t>
  </si>
  <si>
    <t>2024-09-26T17:15:47.000Z</t>
  </si>
  <si>
    <t>2024-10-09T00:31:52.000Z</t>
  </si>
  <si>
    <t>68972c12-1070-4040-968c-599bbceb3200</t>
  </si>
  <si>
    <t>2024-09-26T16:53:43.000Z</t>
  </si>
  <si>
    <t>2024-10-09T00:31:49.000Z</t>
  </si>
  <si>
    <t>Defecar</t>
  </si>
  <si>
    <t>91ab696a-5f0c-426a-aea7-ced98a073370</t>
  </si>
  <si>
    <t>2024-09-26T16:41:26.000Z</t>
  </si>
  <si>
    <t>2024-10-09T00:31:47.000Z</t>
  </si>
  <si>
    <t>461098a7-8403-4142-88b5-85c932730d59</t>
  </si>
  <si>
    <t>2024-09-26T16:40:17.000Z</t>
  </si>
  <si>
    <t>2024-10-09T00:31:44.000Z</t>
  </si>
  <si>
    <t>68d1dd58-ca03-4703-95dd-1528977f552d</t>
  </si>
  <si>
    <t>2024-09-26T16:22:05.000Z</t>
  </si>
  <si>
    <t>2024-10-09T00:31:39.000Z</t>
  </si>
  <si>
    <t>8ef894ad-d548-4677-b72c-e833f177f388</t>
  </si>
  <si>
    <t>2024-09-26T16:21:20.000Z</t>
  </si>
  <si>
    <t>2024-10-09T00:31:37.000Z</t>
  </si>
  <si>
    <t>fb7e3148-941d-4221-8420-7fd8d65213f1</t>
  </si>
  <si>
    <t>2024-09-26T16:00:30.000Z</t>
  </si>
  <si>
    <t>2024-10-09T00:31:33.000Z</t>
  </si>
  <si>
    <t>01f174f2-10c7-4e4a-a9ca-eb4cbfb7689d</t>
  </si>
  <si>
    <t>2024-09-26T15:54:57.000Z</t>
  </si>
  <si>
    <t>2024-10-09T00:31:30.000Z</t>
  </si>
  <si>
    <t>d22b3a9e-2efe-4e19-b2a8-17cd41faacc3</t>
  </si>
  <si>
    <t>2024-09-26T15:54:40.000Z</t>
  </si>
  <si>
    <t>2024-10-09T00:31:29.000Z</t>
  </si>
  <si>
    <t>fdf7cc20-cc24-42d9-a1aa-a201fa2fb618</t>
  </si>
  <si>
    <t>2024-09-25T19:41:54.000Z</t>
  </si>
  <si>
    <t>2024-10-09T00:34:06.000Z</t>
  </si>
  <si>
    <t>4023a3c7-28e4-45df-880f-4305ad945e1f</t>
  </si>
  <si>
    <t>2024-09-25T19:41:41.000Z</t>
  </si>
  <si>
    <t>2024-10-09T00:34:04.000Z</t>
  </si>
  <si>
    <t>4576ef46-25b8-4395-9fe6-2ca593c9f5a8</t>
  </si>
  <si>
    <t>2024-09-25T19:41:16.000Z</t>
  </si>
  <si>
    <t>2024-10-09T00:34:03.000Z</t>
  </si>
  <si>
    <t>27abcd34-e9e3-4276-9d66-d032e57565c1</t>
  </si>
  <si>
    <t>2024-09-25T19:10:22.000Z</t>
  </si>
  <si>
    <t>2024-10-09T00:33:57.000Z</t>
  </si>
  <si>
    <t>09618152-520f-498b-9d4f-155bfec380bf</t>
  </si>
  <si>
    <t>2024-09-25T19:03:32.000Z</t>
  </si>
  <si>
    <t>2024-10-09T00:33:56.000Z</t>
  </si>
  <si>
    <t>d98ee332-bfc6-415f-bb66-4d044f6ee0ff</t>
  </si>
  <si>
    <t>2024-09-25T18:57:59.000Z</t>
  </si>
  <si>
    <t>2024-10-09T00:33:52.000Z</t>
  </si>
  <si>
    <t>Social en contacto</t>
  </si>
  <si>
    <t>6980d1ed-5a84-4553-9919-a4f08eb7d877</t>
  </si>
  <si>
    <t>2024-09-25T18:40:16.000Z</t>
  </si>
  <si>
    <t>2024-10-09T00:33:49.000Z</t>
  </si>
  <si>
    <t>6dddeeb2-951c-4903-9ced-6dcdc4627a00</t>
  </si>
  <si>
    <t>2024-09-25T18:38:19.000Z</t>
  </si>
  <si>
    <t>2024-10-09T00:33:45.000Z</t>
  </si>
  <si>
    <t>Carga al infante</t>
  </si>
  <si>
    <t>e14a7fc7-dc0e-4a64-95cb-2937ed22b248</t>
  </si>
  <si>
    <t>2024-09-25T18:37:11.000Z</t>
  </si>
  <si>
    <t>2024-10-09T00:33:43.000Z</t>
  </si>
  <si>
    <t>75f28848-139f-4fc4-ab0d-c1e65374cc3f</t>
  </si>
  <si>
    <t>2024-09-25T18:36:25.000Z</t>
  </si>
  <si>
    <t>2024-10-09T00:33:41.000Z</t>
  </si>
  <si>
    <t>5098fcf2-cc12-4644-bef2-9ffdf1895d67</t>
  </si>
  <si>
    <t>2024-09-25T18:04:36.000Z</t>
  </si>
  <si>
    <t>2024-10-09T00:33:38.000Z</t>
  </si>
  <si>
    <t>fc2daff2-74f7-4cd7-b43e-399a84d5031c</t>
  </si>
  <si>
    <t>2024-09-25T18:03:56.000Z</t>
  </si>
  <si>
    <t>2024-10-09T00:33:36.000Z</t>
  </si>
  <si>
    <t>cf4abbb6-3a09-4ff4-ae3a-718e0eb8f1b5</t>
  </si>
  <si>
    <t>2024-09-25T18:03:22.000Z</t>
  </si>
  <si>
    <t>2024-10-09T00:33:35.000Z</t>
  </si>
  <si>
    <t>690cfa99-068f-4ff5-bd9b-2fcee05fd314</t>
  </si>
  <si>
    <t>2024-09-25T18:02:48.000Z</t>
  </si>
  <si>
    <t>2024-10-09T00:33:33.000Z</t>
  </si>
  <si>
    <t>cd3a3379-4b1e-4d28-9aa6-fbeb0307c5be</t>
  </si>
  <si>
    <t>2024-09-25T18:02:20.000Z</t>
  </si>
  <si>
    <t>2024-10-09T00:33:31.000Z</t>
  </si>
  <si>
    <t>ea11a403-efef-463d-ae7a-156812cf493f</t>
  </si>
  <si>
    <t>2024-09-25T17:10:48.000Z</t>
  </si>
  <si>
    <t>2024-10-09T00:33:30.000Z</t>
  </si>
  <si>
    <t>6db56cf1-3dd3-451e-9976-47fd1b71eb33</t>
  </si>
  <si>
    <t>2024-09-25T17:10:19.000Z</t>
  </si>
  <si>
    <t>2024-10-09T00:33:29.000Z</t>
  </si>
  <si>
    <t>8731cccd-9b05-4368-a530-338c3e8d2181</t>
  </si>
  <si>
    <t>2024-09-25T17:09:52.000Z</t>
  </si>
  <si>
    <t>2024-10-09T00:33:27.000Z</t>
  </si>
  <si>
    <t>fb158393-4fc2-45c4-9a8d-6b101ddd53c0</t>
  </si>
  <si>
    <t>2024-09-25T16:41:06.000Z</t>
  </si>
  <si>
    <t>2024-10-09T00:33:25.000Z</t>
  </si>
  <si>
    <t>584260a1-c20f-48aa-8eac-887c25bfe102</t>
  </si>
  <si>
    <t>2024-09-25T16:40:35.000Z</t>
  </si>
  <si>
    <t>2024-10-09T00:33:24.000Z</t>
  </si>
  <si>
    <t>5db64554-e2ef-4bc0-8873-9b374bbef64e</t>
  </si>
  <si>
    <t>2024-09-25T16:25:05.000Z</t>
  </si>
  <si>
    <t>2024-10-09T00:33:20.000Z</t>
  </si>
  <si>
    <t>7fa67503-8ad1-4b5b-83ea-86f86a42faaf</t>
  </si>
  <si>
    <t>2024-09-25T16:24:35.000Z</t>
  </si>
  <si>
    <t>2024-10-09T00:33:19.000Z</t>
  </si>
  <si>
    <t>4dc1ffd9-3c94-48f2-8d35-5ff21f8134fb</t>
  </si>
  <si>
    <t>2024-09-25T16:23:25.000Z</t>
  </si>
  <si>
    <t>2024-10-09T00:33:17.000Z</t>
  </si>
  <si>
    <t>d50d62dc-27a7-4158-b9c3-ad4cfcfcb21b</t>
  </si>
  <si>
    <t>2024-09-25T16:22:53.000Z</t>
  </si>
  <si>
    <t>2024-10-09T00:33:16.000Z</t>
  </si>
  <si>
    <t>27bc296e-a60d-4313-901b-f86d1f53addf</t>
  </si>
  <si>
    <t>2024-09-25T16:22:25.000Z</t>
  </si>
  <si>
    <t>2024-10-09T00:33:14.000Z</t>
  </si>
  <si>
    <t>892a2851-c31d-4247-bbc7-cfa9ee2e799c</t>
  </si>
  <si>
    <t>2024-09-25T16:21:51.000Z</t>
  </si>
  <si>
    <t>2024-10-09T00:33:12.000Z</t>
  </si>
  <si>
    <t>9f1f65e6-fcbb-429e-b7d2-f0c72442b9e5</t>
  </si>
  <si>
    <t>2024-09-25T15:24:54.000Z</t>
  </si>
  <si>
    <t>2024-10-09T00:33:11.000Z</t>
  </si>
  <si>
    <t>7133d855-6c6f-451f-97ae-32d69ff3fe52</t>
  </si>
  <si>
    <t>2024-09-25T15:24:18.000Z</t>
  </si>
  <si>
    <t>2024-10-09T00:33:10.000Z</t>
  </si>
  <si>
    <t>cb939f6c-1aaa-43a0-b590-1e8ee41fae15</t>
  </si>
  <si>
    <t>2024-09-25T15:23:48.000Z</t>
  </si>
  <si>
    <t>2024-10-09T00:33:08.000Z</t>
  </si>
  <si>
    <t>6cf61616-8891-4ace-bed8-4b18a5b4e209</t>
  </si>
  <si>
    <t>2024-09-25T15:22:00.000Z</t>
  </si>
  <si>
    <t>2024-10-09T00:33:06.000Z</t>
  </si>
  <si>
    <t>b20a4569-c6bc-457a-b0ec-1131234b0033</t>
  </si>
  <si>
    <t>2024-09-25T15:21:36.000Z</t>
  </si>
  <si>
    <t>2024-10-09T00:33:04.000Z</t>
  </si>
  <si>
    <t>4b0b1d47-8aca-4d65-bfc0-b0c1092de23c</t>
  </si>
  <si>
    <t>2024-09-25T14:30:28.000Z</t>
  </si>
  <si>
    <t>2024-10-09T00:32:58.000Z</t>
  </si>
  <si>
    <t>1d0c23bc-3032-4a00-b697-32d553cf6338</t>
  </si>
  <si>
    <t>2024-09-25T14:30:00.000Z</t>
  </si>
  <si>
    <t>2024-10-09T00:32:57.000Z</t>
  </si>
  <si>
    <t>068b1570-115c-467f-acb0-c00a9b432b01</t>
  </si>
  <si>
    <t>2024-09-25T14:29:14.000Z</t>
  </si>
  <si>
    <t>2024-10-09T00:32:54.000Z</t>
  </si>
  <si>
    <t>742827cc-860c-40d5-af45-d8a730a54ed7</t>
  </si>
  <si>
    <t>2024-09-25T14:02:35.000Z</t>
  </si>
  <si>
    <t>2024-10-09T00:32:51.000Z</t>
  </si>
  <si>
    <t>5f0181cd-59be-414d-99d0-7fc5294006a3</t>
  </si>
  <si>
    <t>2024-09-25T13:58:00.000Z</t>
  </si>
  <si>
    <t>2024-10-09T00:32:46.000Z</t>
  </si>
  <si>
    <t>0d8a2afb-f044-4d08-b735-63f112a9a6f4</t>
  </si>
  <si>
    <t>2024-09-25T13:57:18.000Z</t>
  </si>
  <si>
    <t>2024-10-09T00:32:47.000Z</t>
  </si>
  <si>
    <t>502415e2-dd49-4453-abe3-6d5449e8ae58</t>
  </si>
  <si>
    <t>2024-09-25T13:56:48.000Z</t>
  </si>
  <si>
    <t>2024-10-09T00:32:45.000Z</t>
  </si>
  <si>
    <t>d79d1c0f-8b81-4fc1-aee6-2cd4fef21790</t>
  </si>
  <si>
    <t>2024-09-25T13:21:23.000Z</t>
  </si>
  <si>
    <t>2024-10-09T00:32:43.000Z</t>
  </si>
  <si>
    <t>b2a4acc4-d4cc-4f57-860b-fc4168a96dcf</t>
  </si>
  <si>
    <t>2024-09-24T20:34:08.000Z</t>
  </si>
  <si>
    <t>2024-10-09T00:35:47.000Z</t>
  </si>
  <si>
    <t>1218d317-e7a8-45ef-aecb-aa694021d7b1</t>
  </si>
  <si>
    <t>2024-09-24T20:32:42.000Z</t>
  </si>
  <si>
    <t>2024-10-09T00:35:45.000Z</t>
  </si>
  <si>
    <t>00306dc0-5737-43c5-bc27-ca1b603558f8</t>
  </si>
  <si>
    <t>2024-09-24T20:32:21.000Z</t>
  </si>
  <si>
    <t>2024-10-09T00:35:43.000Z</t>
  </si>
  <si>
    <t>40360104-29cb-4d58-9cb1-7e78525447b1</t>
  </si>
  <si>
    <t>2024-09-24T20:32:01.000Z</t>
  </si>
  <si>
    <t>2024-10-09T00:35:42.000Z</t>
  </si>
  <si>
    <t>f590ac22-a90d-45a1-b6a5-bbe4f4373c28</t>
  </si>
  <si>
    <t>2024-09-24T20:31:30.000Z</t>
  </si>
  <si>
    <t>2024-10-09T00:35:40.000Z</t>
  </si>
  <si>
    <t>8617efcc-934f-45d7-bde9-6bdc62890d89</t>
  </si>
  <si>
    <t>2024-09-24T20:31:08.000Z</t>
  </si>
  <si>
    <t>2024-10-09T00:35:39.000Z</t>
  </si>
  <si>
    <t>b80779bb-72e7-4c6d-a646-c3adf3e1ff73</t>
  </si>
  <si>
    <t>2024-09-24T20:30:31.000Z</t>
  </si>
  <si>
    <t>2024-10-09T00:35:36.000Z</t>
  </si>
  <si>
    <t>b6b0d89f-3654-4544-9541-4be3a68cd0e2</t>
  </si>
  <si>
    <t>2024-09-24T20:30:08.000Z</t>
  </si>
  <si>
    <t>2024-10-09T00:35:35.000Z</t>
  </si>
  <si>
    <t>4212ecf9-1f29-4289-a4d4-bf0eba83beea</t>
  </si>
  <si>
    <t>2024-09-24T20:29:42.000Z</t>
  </si>
  <si>
    <t>2024-10-09T00:35:33.000Z</t>
  </si>
  <si>
    <t>48da4582-94c8-4f28-ba8f-8c04fae28f89</t>
  </si>
  <si>
    <t>2024-09-24T20:29:09.000Z</t>
  </si>
  <si>
    <t>2024-10-09T00:35:32.000Z</t>
  </si>
  <si>
    <t>50636cfe-4093-4b29-9a6e-9b1f2a564c65</t>
  </si>
  <si>
    <t>2024-09-24T20:28:49.000Z</t>
  </si>
  <si>
    <t>2024-10-09T00:35:28.000Z</t>
  </si>
  <si>
    <t>22b1c131-f92b-41dd-9296-45fb56c1edb7</t>
  </si>
  <si>
    <t>2024-09-24T18:47:55.000Z</t>
  </si>
  <si>
    <t>2024-10-09T00:35:26.000Z</t>
  </si>
  <si>
    <t>b0456782-2d61-4597-8d4a-621036c40b3c</t>
  </si>
  <si>
    <t>2024-09-24T18:47:35.000Z</t>
  </si>
  <si>
    <t>2024-10-09T00:35:22.000Z</t>
  </si>
  <si>
    <t>51428a22-602e-46b8-a2a5-7ea91c64a68c</t>
  </si>
  <si>
    <t>2024-09-24T18:47:15.000Z</t>
  </si>
  <si>
    <t>2024-10-09T00:35:20.000Z</t>
  </si>
  <si>
    <t>0ab26a45-d4e4-4f33-b08d-f9018fdab205</t>
  </si>
  <si>
    <t>2024-09-24T18:46:54.000Z</t>
  </si>
  <si>
    <t>2024-10-09T00:35:18.000Z</t>
  </si>
  <si>
    <t>af7f6473-ca86-4a15-b201-a4d068aabc15</t>
  </si>
  <si>
    <t>2024-09-24T18:46:32.000Z</t>
  </si>
  <si>
    <t>2024-10-09T00:35:16.000Z</t>
  </si>
  <si>
    <t>fdadaa26-b2f3-433d-96cc-695dc19dd1de</t>
  </si>
  <si>
    <t>2024-09-24T18:46:11.000Z</t>
  </si>
  <si>
    <t>2024-10-09T00:35:15.000Z</t>
  </si>
  <si>
    <t>58e4d3f4-e346-4247-897c-1947b47363aa</t>
  </si>
  <si>
    <t>2024-09-24T18:45:44.000Z</t>
  </si>
  <si>
    <t>2024-10-09T00:35:13.000Z</t>
  </si>
  <si>
    <t>b8deb63b-760b-4b8b-bbca-70423906ebca</t>
  </si>
  <si>
    <t>2024-09-24T18:45:25.000Z</t>
  </si>
  <si>
    <t>2024-10-09T00:35:12.000Z</t>
  </si>
  <si>
    <t>6be93c46-d925-4deb-a7ca-febffb43afa6</t>
  </si>
  <si>
    <t>2024-09-24T18:44:57.000Z</t>
  </si>
  <si>
    <t>2024-10-09T00:35:09.000Z</t>
  </si>
  <si>
    <t>29f5c33e-ba48-4b81-b164-ea2981bc07a1</t>
  </si>
  <si>
    <t>2024-09-24T18:44:33.000Z</t>
  </si>
  <si>
    <t>2024-10-09T00:35:08.000Z</t>
  </si>
  <si>
    <t>e523b748-af08-4655-95af-4ad692462784</t>
  </si>
  <si>
    <t>2024-09-24T18:44:02.000Z</t>
  </si>
  <si>
    <t>2024-10-09T00:35:06.000Z</t>
  </si>
  <si>
    <t>7c5b2778-6c74-448b-b4c1-be827497045e</t>
  </si>
  <si>
    <t>2024-09-24T16:50:39.000Z</t>
  </si>
  <si>
    <t>2024-10-09T00:35:02.000Z</t>
  </si>
  <si>
    <t>fb3894bd-bf5a-4551-ae53-9d4ccaff3688</t>
  </si>
  <si>
    <t>2024-09-24T16:49:38.000Z</t>
  </si>
  <si>
    <t>2024-10-09T00:34:58.000Z</t>
  </si>
  <si>
    <t>90971810-fe54-43a6-a8ab-f441a666e5b7</t>
  </si>
  <si>
    <t>2024-09-24T16:49:10.000Z</t>
  </si>
  <si>
    <t>2024-10-09T00:35:00.000Z</t>
  </si>
  <si>
    <t>2e0ae023-0e71-4076-a6b6-67c01624524b</t>
  </si>
  <si>
    <t>2024-09-24T16:20:29.000Z</t>
  </si>
  <si>
    <t>2024-10-09T00:34:55.000Z</t>
  </si>
  <si>
    <t>4dfe5939-fb15-4daf-982d-f45588ec1040</t>
  </si>
  <si>
    <t>2024-09-24T16:18:27.000Z</t>
  </si>
  <si>
    <t>2024-10-09T00:34:53.000Z</t>
  </si>
  <si>
    <t>bb765e38-a62c-4edb-8d58-5d4f7a3e4e47</t>
  </si>
  <si>
    <t>2024-09-24T16:03:21.000Z</t>
  </si>
  <si>
    <t>2024-10-09T00:34:47.000Z</t>
  </si>
  <si>
    <t>Al. Fruto maduro</t>
  </si>
  <si>
    <t>a2be3e33-a659-425a-b45b-a1a43ae7fef1</t>
  </si>
  <si>
    <t>2024-09-24T16:02:45.000Z</t>
  </si>
  <si>
    <t>2024-10-09T00:34:46.000Z</t>
  </si>
  <si>
    <t>01ba95fc-88fb-4200-98c4-d732c77248c3</t>
  </si>
  <si>
    <t>2024-09-24T16:01:39.000Z</t>
  </si>
  <si>
    <t>2024-10-09T00:34:42.000Z</t>
  </si>
  <si>
    <t>0d075247-a3d6-45d5-8285-705b0877f0cf</t>
  </si>
  <si>
    <t>2024-09-24T15:35:12.000Z</t>
  </si>
  <si>
    <t>2024-10-09T00:34:36.000Z</t>
  </si>
  <si>
    <t>66a3aade-57ba-41ce-a956-ed4fb139cece</t>
  </si>
  <si>
    <t>2024-09-24T15:22:30.000Z</t>
  </si>
  <si>
    <t>2024-10-09T00:34:29.000Z</t>
  </si>
  <si>
    <t>df4e8329-c771-4997-9788-9ead890ad8e6</t>
  </si>
  <si>
    <t>2024-09-24T15:15:13.000Z</t>
  </si>
  <si>
    <t>2024-10-09T00:34:26.000Z</t>
  </si>
  <si>
    <t>c7de7238-ab54-4023-a57f-a24f29c3a9c2</t>
  </si>
  <si>
    <t>2024-09-24T15:14:19.000Z</t>
  </si>
  <si>
    <t>2024-10-09T00:34:23.000Z</t>
  </si>
  <si>
    <t>c23e15c5-a6af-4a7f-99ef-560879f8fc95</t>
  </si>
  <si>
    <t>2024-09-24T15:11:38.000Z</t>
  </si>
  <si>
    <t>2024-10-09T00:34:21.000Z</t>
  </si>
  <si>
    <t>3bd1322c-7862-406b-937d-7a7b3329a3f9</t>
  </si>
  <si>
    <t>2024-09-24T15:08:58.000Z</t>
  </si>
  <si>
    <t>2024-10-09T00:34:20.000Z</t>
  </si>
  <si>
    <t>9dfbe1f2-32eb-4861-a317-540d7d7bb524</t>
  </si>
  <si>
    <t>2024-09-23T17:30:40.000Z</t>
  </si>
  <si>
    <t>2024-10-09T00:28:46.000Z</t>
  </si>
  <si>
    <t>c95f3e7b-2f96-4026-945e-4f2516fd447a</t>
  </si>
  <si>
    <t>2024-09-23T17:29:55.000Z</t>
  </si>
  <si>
    <t>2024-10-09T00:28:45.000Z</t>
  </si>
  <si>
    <t>2479f7e9-0662-4def-8de9-6235cd8bdc60</t>
  </si>
  <si>
    <t>2024-09-23T17:27:38.000Z</t>
  </si>
  <si>
    <t>2024-10-09T00:28:43.000Z</t>
  </si>
  <si>
    <t>ccee8364-eb77-49ff-871c-a3c6f31a15d7</t>
  </si>
  <si>
    <t>2024-09-23T17:27:08.000Z</t>
  </si>
  <si>
    <t>2024-10-09T00:28:42.000Z</t>
  </si>
  <si>
    <t>13572e54-f028-49fd-a0d8-4069e43bf169</t>
  </si>
  <si>
    <t>2024-09-23T17:25:38.000Z</t>
  </si>
  <si>
    <t>2024-10-09T00:28:40.000Z</t>
  </si>
  <si>
    <t>Social juego</t>
  </si>
  <si>
    <t>ff9b4b90-8f8b-4578-bd5b-92e696a4bf2b</t>
  </si>
  <si>
    <t>2024-09-23T17:23:29.000Z</t>
  </si>
  <si>
    <t>2024-10-09T00:28:38.000Z</t>
  </si>
  <si>
    <t>d3d539b8-a904-43a0-bbf1-131a396158d3</t>
  </si>
  <si>
    <t>2024-09-23T17:23:15.000Z</t>
  </si>
  <si>
    <t>2024-10-09T00:28:36.000Z</t>
  </si>
  <si>
    <t>65e4f36c-2815-42ba-a24f-79296d51f7fe</t>
  </si>
  <si>
    <t>2024-09-23T17:22:35.000Z</t>
  </si>
  <si>
    <t>2024-10-09T00:28:35.000Z</t>
  </si>
  <si>
    <t>cef4cee2-d194-44b7-8b8a-3b1de14abc40</t>
  </si>
  <si>
    <t>2024-09-23T17:21:45.000Z</t>
  </si>
  <si>
    <t>2024-10-09T00:28:32.000Z</t>
  </si>
  <si>
    <t>f1ee66b7-bc7f-49a9-8e46-519ee1c66c0e</t>
  </si>
  <si>
    <t>2024-09-23T17:20:50.000Z</t>
  </si>
  <si>
    <t>2024-10-09T00:28:31.000Z</t>
  </si>
  <si>
    <t>f35230ea-64ce-4c4f-93dd-469d96d5d9f8</t>
  </si>
  <si>
    <t>2024-09-21T21:35:06.000Z</t>
  </si>
  <si>
    <t>2024-10-09T00:28:19.000Z</t>
  </si>
  <si>
    <t>d0f303a8-b2e9-4431-a0c8-6d155f342a24</t>
  </si>
  <si>
    <t>2024-09-21T21:24:24.000Z</t>
  </si>
  <si>
    <t>2024-10-09T00:28:17.000Z</t>
  </si>
  <si>
    <t>5f2fde0b-29dc-47a2-b628-f8d921c2c829</t>
  </si>
  <si>
    <t>2024-09-21T21:11:15.000Z</t>
  </si>
  <si>
    <t>2024-10-09T00:28:16.000Z</t>
  </si>
  <si>
    <t>bcce205c-5c14-43cc-9595-eec2f21affc8</t>
  </si>
  <si>
    <t>2024-09-21T21:10:47.000Z</t>
  </si>
  <si>
    <t>2024-10-09T00:28:15.000Z</t>
  </si>
  <si>
    <t>b616f4bd-bf06-41c7-bcd2-90459de124b9</t>
  </si>
  <si>
    <t>2024-09-21T21:09:48.000Z</t>
  </si>
  <si>
    <t>2024-10-09T00:28:12.000Z</t>
  </si>
  <si>
    <t>ba1e8f85-1b3e-4189-84c3-db4633e46f61</t>
  </si>
  <si>
    <t>2024-09-21T20:45:24.000Z</t>
  </si>
  <si>
    <t>2024-10-09T00:28:11.000Z</t>
  </si>
  <si>
    <t>Grupos de 6 o más individuos</t>
  </si>
  <si>
    <t>b49fd693-f489-47e9-ac8b-abaac5c82c92</t>
  </si>
  <si>
    <t>2024-09-21T20:44:42.000Z</t>
  </si>
  <si>
    <t>2024-10-09T00:28:09.000Z</t>
  </si>
  <si>
    <t>63c47d10-ec8e-4885-8c7e-2a31b247fe69</t>
  </si>
  <si>
    <t>2024-09-21T20:44:06.000Z</t>
  </si>
  <si>
    <t>2024-10-09T00:28:08.000Z</t>
  </si>
  <si>
    <t>8d62264e-e89d-44fe-9dce-d3b0c43adc0f</t>
  </si>
  <si>
    <t>2024-09-21T20:43:36.000Z</t>
  </si>
  <si>
    <t>2024-10-09T00:28:06.000Z</t>
  </si>
  <si>
    <t>e5887efc-5806-4c18-9c30-08458c9fa8a6</t>
  </si>
  <si>
    <t>2024-09-21T20:42:15.000Z</t>
  </si>
  <si>
    <t>2024-10-09T00:28:04.000Z</t>
  </si>
  <si>
    <t>c9f60d8a-de84-46eb-ab85-e21e07b4361f</t>
  </si>
  <si>
    <t>2024-09-21T20:40:19.000Z</t>
  </si>
  <si>
    <t>2024-10-09T00:28:02.000Z</t>
  </si>
  <si>
    <t>9e490751-0f1c-40c7-ba55-6909db2cc55d</t>
  </si>
  <si>
    <t>2024-09-21T19:44:42.000Z</t>
  </si>
  <si>
    <t>2024-10-09T00:28:01.000Z</t>
  </si>
  <si>
    <t>4b9dca2d-c212-4d82-9079-60114488a4db</t>
  </si>
  <si>
    <t>2024-09-21T19:44:05.000Z</t>
  </si>
  <si>
    <t>2024-10-09T00:27:59.000Z</t>
  </si>
  <si>
    <t>b0e41265-acfa-4247-b354-238e24304b44</t>
  </si>
  <si>
    <t>2024-09-21T19:43:24.000Z</t>
  </si>
  <si>
    <t>2024-10-09T00:27:57.000Z</t>
  </si>
  <si>
    <t>ffa24b96-bf29-4392-99ef-1456348652e3</t>
  </si>
  <si>
    <t>2024-09-21T19:40:44.000Z</t>
  </si>
  <si>
    <t>2024-10-09T00:27:56.000Z</t>
  </si>
  <si>
    <t>Sólo hembras</t>
  </si>
  <si>
    <t>f30f0249-345a-4732-9688-a14364628614</t>
  </si>
  <si>
    <t>2024-09-21T19:40:20.000Z</t>
  </si>
  <si>
    <t>2024-10-09T00:27:54.000Z</t>
  </si>
  <si>
    <t>a701dc82-745c-4cc5-af89-727232a1b085</t>
  </si>
  <si>
    <t>2024-09-21T19:39:53.000Z</t>
  </si>
  <si>
    <t>2024-10-09T00:27:52.000Z</t>
  </si>
  <si>
    <t>b71e8b66-2a48-4be8-9cc5-6587d60fc5ac</t>
  </si>
  <si>
    <t>2024-09-21T19:39:37.000Z</t>
  </si>
  <si>
    <t>2024-10-09T00:27:50.000Z</t>
  </si>
  <si>
    <t>24f113e4-a71f-40f2-9714-587add0f56d2</t>
  </si>
  <si>
    <t>2024-09-21T19:39:20.000Z</t>
  </si>
  <si>
    <t>2024-10-09T00:27:49.000Z</t>
  </si>
  <si>
    <t>8f235e09-4d7a-4e89-928a-e1f6a49614bf</t>
  </si>
  <si>
    <t>2024-09-21T19:39:08.000Z</t>
  </si>
  <si>
    <t>2024-10-09T00:27:48.000Z</t>
  </si>
  <si>
    <t>f31f4db7-9cb4-4993-9f4c-4be7c30aeeb6</t>
  </si>
  <si>
    <t>2024-09-21T19:38:50.000Z</t>
  </si>
  <si>
    <t>2024-10-09T00:27:46.000Z</t>
  </si>
  <si>
    <t>830f6019-3533-4478-88ed-c553f95f4a78</t>
  </si>
  <si>
    <t>2024-09-21T19:38:39.000Z</t>
  </si>
  <si>
    <t>2024-10-09T00:27:44.000Z</t>
  </si>
  <si>
    <t>1e35bc4d-1753-4b91-bdbc-9e362072bc13</t>
  </si>
  <si>
    <t>2024-09-21T19:38:27.000Z</t>
  </si>
  <si>
    <t>2024-10-09T00:27:43.000Z</t>
  </si>
  <si>
    <t>3c4b116f-1d47-4e57-bcde-722fadf4a140</t>
  </si>
  <si>
    <t>2024-09-21T19:38:13.000Z</t>
  </si>
  <si>
    <t>2024-10-09T00:27:42.000Z</t>
  </si>
  <si>
    <t>19a08391-9a7e-41fe-bbee-b2a0839f177b</t>
  </si>
  <si>
    <t>2024-09-21T17:33:29.000Z</t>
  </si>
  <si>
    <t>2024-10-09T00:27:38.000Z</t>
  </si>
  <si>
    <t>a736e11e-f8b3-4f9a-a080-6a7ff4f0c67c</t>
  </si>
  <si>
    <t>2024-09-21T17:32:48.000Z</t>
  </si>
  <si>
    <t>2024-10-09T00:27:37.000Z</t>
  </si>
  <si>
    <t>5d69c424-397e-47a0-a0b5-509eb653f6aa</t>
  </si>
  <si>
    <t>2024-09-21T17:32:25.000Z</t>
  </si>
  <si>
    <t>2024-10-09T00:27:35.000Z</t>
  </si>
  <si>
    <t>f31a63df-546a-4fb0-b5aa-c76a3ccfd6db</t>
  </si>
  <si>
    <t>2024-09-21T17:03:59.000Z</t>
  </si>
  <si>
    <t>2024-10-09T00:27:31.000Z</t>
  </si>
  <si>
    <t>e0cdc8fc-e7e5-4eda-84ba-5c96689ae3f1</t>
  </si>
  <si>
    <t>2024-09-21T17:03:08.000Z</t>
  </si>
  <si>
    <t>2024-10-09T00:27:28.000Z</t>
  </si>
  <si>
    <t>5ff95d56-3e0d-471a-9d08-8b85dc5801fc</t>
  </si>
  <si>
    <t>2024-09-21T17:02:36.000Z</t>
  </si>
  <si>
    <t>2024-10-09T00:27:30.000Z</t>
  </si>
  <si>
    <t>2760ac3e-9ccd-4d7c-8ace-f71968e204a7</t>
  </si>
  <si>
    <t>2024-09-21T17:02:13.000Z</t>
  </si>
  <si>
    <t>2024-10-09T00:27:26.000Z</t>
  </si>
  <si>
    <t>aa47dd12-66d4-4ec9-bbb4-46f27615b76e</t>
  </si>
  <si>
    <t>2024-09-21T13:31:30.000Z</t>
  </si>
  <si>
    <t>2024-10-09T00:27:11.000Z</t>
  </si>
  <si>
    <t>b57274a3-c680-4a57-ad68-09af73d44696</t>
  </si>
  <si>
    <t>2024-09-21T13:31:01.000Z</t>
  </si>
  <si>
    <t>2024-10-09T00:27:10.000Z</t>
  </si>
  <si>
    <t>6692a77a-d828-4f7c-8f9e-23976695b299</t>
  </si>
  <si>
    <t>2024-09-21T13:30:03.000Z</t>
  </si>
  <si>
    <t>2024-10-09T00:27:08.000Z</t>
  </si>
  <si>
    <t>38a5b3cf-1f2e-403a-b74b-eaf194dbbbf0</t>
  </si>
  <si>
    <t>2024-09-21T13:27:30.000Z</t>
  </si>
  <si>
    <t>2024-10-09T00:27:05.000Z</t>
  </si>
  <si>
    <t>1c1537a5-e732-4d4e-aade-b00d6ee97220</t>
  </si>
  <si>
    <t>2024-09-21T13:25:04.000Z</t>
  </si>
  <si>
    <t>2024-10-09T00:27:03.000Z</t>
  </si>
  <si>
    <t>4902e91c-3089-4d04-bb57-f5e5521e6b2b</t>
  </si>
  <si>
    <t>2024-09-21T13:24:23.000Z</t>
  </si>
  <si>
    <t>2024-10-09T00:27:02.000Z</t>
  </si>
  <si>
    <t>f093faf9-f757-44e9-8bea-297acbeb4dc9</t>
  </si>
  <si>
    <t>2024-09-21T13:23:53.000Z</t>
  </si>
  <si>
    <t>2024-10-09T00:27:01.000Z</t>
  </si>
  <si>
    <t>bbb6e6b6-46dc-47e2-a992-1f151c2e91c6</t>
  </si>
  <si>
    <t>2024-09-21T13:21:36.000Z</t>
  </si>
  <si>
    <t>2024-10-09T00:26:58.000Z</t>
  </si>
  <si>
    <t>1e7b0c9b-3ffd-4f81-965b-3a0927f673c6</t>
  </si>
  <si>
    <t>2024-09-21T13:20:54.000Z</t>
  </si>
  <si>
    <t>2024-10-09T00:26:57.000Z</t>
  </si>
  <si>
    <t>4f26c009-0e4d-4dc3-8ded-40ea6568bed4</t>
  </si>
  <si>
    <t>2024-09-21T13:20:36.000Z</t>
  </si>
  <si>
    <t>2024-10-09T00:26:55.000Z</t>
  </si>
  <si>
    <t>dfefc644-c7ee-42f9-ac4d-26c3af82facd</t>
  </si>
  <si>
    <t>2024-09-21T13:20:15.000Z</t>
  </si>
  <si>
    <t>2024-10-09T00:26:52.000Z</t>
  </si>
  <si>
    <t>2e9a0e0d-9a86-43c5-bd42-044b158fb2af</t>
  </si>
  <si>
    <t>2024-09-18T20:44:05.000Z</t>
  </si>
  <si>
    <t>2024-10-09T00:26:50.000Z</t>
  </si>
  <si>
    <t>b0f3fa58-25ca-415d-bdd5-554803148ce9</t>
  </si>
  <si>
    <t>2024-09-18T20:43:50.000Z</t>
  </si>
  <si>
    <t>2024-10-09T00:26:48.000Z</t>
  </si>
  <si>
    <t>6abc55d6-0afe-482e-abe9-aa05d2a4b119</t>
  </si>
  <si>
    <t>2024-09-18T20:43:37.000Z</t>
  </si>
  <si>
    <t>2024-10-09T00:26:45.000Z</t>
  </si>
  <si>
    <t>370e24cc-960e-4020-8766-30aef42af725</t>
  </si>
  <si>
    <t>2024-09-18T19:12:44.000Z</t>
  </si>
  <si>
    <t>2024-10-09T00:26:42.000Z</t>
  </si>
  <si>
    <t>d95bba1d-dab6-46af-91c8-e83a2445935c</t>
  </si>
  <si>
    <t>2024-09-18T19:12:34.000Z</t>
  </si>
  <si>
    <t>2024-10-09T00:26:40.000Z</t>
  </si>
  <si>
    <t>cdeb7daf-49d1-4096-af83-11fd61c8f020</t>
  </si>
  <si>
    <t>2024-09-18T19:12:04.000Z</t>
  </si>
  <si>
    <t>2024-10-09T00:26:37.000Z</t>
  </si>
  <si>
    <t>baf1f1ac-301c-4f48-af88-ade1367fa773</t>
  </si>
  <si>
    <t>2024-09-18T19:11:48.000Z</t>
  </si>
  <si>
    <t>2024-10-09T00:26:35.000Z</t>
  </si>
  <si>
    <t>fa21dc9b-291e-4911-8674-0b816648984b</t>
  </si>
  <si>
    <t>2024-09-18T19:11:36.000Z</t>
  </si>
  <si>
    <t>2024-10-09T00:26:34.000Z</t>
  </si>
  <si>
    <t>f14d9f66-636c-40e9-a500-81f6bf1b2585</t>
  </si>
  <si>
    <t>2024-09-18T19:11:21.000Z</t>
  </si>
  <si>
    <t>2024-10-09T00:26:31.000Z</t>
  </si>
  <si>
    <t>460c44f9-79f4-4568-9368-7c81bd14235d</t>
  </si>
  <si>
    <t>2024-09-18T19:11:07.000Z</t>
  </si>
  <si>
    <t>2024-10-09T00:26:30.000Z</t>
  </si>
  <si>
    <t>73e850bd-38a2-45fb-a495-5a6d2f8bb410</t>
  </si>
  <si>
    <t>2024-09-18T19:10:27.000Z</t>
  </si>
  <si>
    <t>2024-10-09T00:26:27.000Z</t>
  </si>
  <si>
    <t>cbd60cf9-02e1-4808-945d-6ee42afb3050</t>
  </si>
  <si>
    <t>2024-09-18T19:10:16.000Z</t>
  </si>
  <si>
    <t>2024-10-09T00:26:28.000Z</t>
  </si>
  <si>
    <t>6699b47b-24bd-4ea7-87ac-68379744306b</t>
  </si>
  <si>
    <t>2024-09-18T17:45:33.000Z</t>
  </si>
  <si>
    <t>2024-10-09T00:26:23.000Z</t>
  </si>
  <si>
    <t>53b0c1c2-7af1-4b70-b6e4-d56854244894</t>
  </si>
  <si>
    <t>2024-09-18T17:45:19.000Z</t>
  </si>
  <si>
    <t>2024-10-09T00:26:22.000Z</t>
  </si>
  <si>
    <t>21f26125-cd0d-4039-8f8d-80174009d8dc</t>
  </si>
  <si>
    <t>2024-09-18T17:45:08.000Z</t>
  </si>
  <si>
    <t>2024-10-09T00:26:21.000Z</t>
  </si>
  <si>
    <t>dbb58bdf-f09b-479a-b7ce-abf155b1b934</t>
  </si>
  <si>
    <t>2024-09-18T17:44:48.000Z</t>
  </si>
  <si>
    <t>2024-10-09T00:26:19.000Z</t>
  </si>
  <si>
    <t>80753d2d-70b7-4c2c-8a03-bed90e9bb77e</t>
  </si>
  <si>
    <t>2024-09-18T17:44:37.000Z</t>
  </si>
  <si>
    <t>2024-10-09T00:26:17.000Z</t>
  </si>
  <si>
    <t>a9ec1369-734a-4450-ab47-06904cc51436</t>
  </si>
  <si>
    <t>2024-09-18T17:44:25.000Z</t>
  </si>
  <si>
    <t>2024-10-09T00:26:16.000Z</t>
  </si>
  <si>
    <t>f07e1799-6b76-4f5f-8450-714b66bd665c</t>
  </si>
  <si>
    <t>2024-09-18T16:40:49.000Z</t>
  </si>
  <si>
    <t>2024-10-09T00:26:11.000Z</t>
  </si>
  <si>
    <t>b0873410-ee1d-4464-ba94-f2ecab76e0aa</t>
  </si>
  <si>
    <t>2024-09-18T16:40:39.000Z</t>
  </si>
  <si>
    <t>2024-10-09T00:26:10.000Z</t>
  </si>
  <si>
    <t>b46cfa71-18d6-42b7-83ca-ef257f3ec8cd</t>
  </si>
  <si>
    <t>2024-09-18T16:40:25.000Z</t>
  </si>
  <si>
    <t>2024-10-09T00:26:08.000Z</t>
  </si>
  <si>
    <t>ef54a31e-b1ec-4731-abc4-9d4bf36c6bf7</t>
  </si>
  <si>
    <t>2024-09-18T16:40:13.000Z</t>
  </si>
  <si>
    <t>2024-10-09T00:26:06.000Z</t>
  </si>
  <si>
    <t>308659e6-f97d-4c7e-8590-200194ceb67f</t>
  </si>
  <si>
    <t>2024-09-18T16:40:01.000Z</t>
  </si>
  <si>
    <t>2024-10-09T00:26:04.000Z</t>
  </si>
  <si>
    <t>888c6865-8f08-4ffe-aea2-3790b9ba40ca</t>
  </si>
  <si>
    <t>2024-09-18T16:38:35.000Z</t>
  </si>
  <si>
    <t>2024-10-09T00:26:02.000Z</t>
  </si>
  <si>
    <t>3f8783f4-7948-4297-acb3-f46d1743afb0</t>
  </si>
  <si>
    <t>2024-09-18T16:36:40.000Z</t>
  </si>
  <si>
    <t>2024-10-09T00:25:57.000Z</t>
  </si>
  <si>
    <t>60ff40f8-cac5-41ee-b2f7-363c5be2853b</t>
  </si>
  <si>
    <t>2024-09-18T16:36:27.000Z</t>
  </si>
  <si>
    <t>2024-10-09T00:25:59.000Z</t>
  </si>
  <si>
    <t>2a271eb9-a0b0-40ff-b659-9f1a41a76b4f</t>
  </si>
  <si>
    <t>2024-09-18T16:35:59.000Z</t>
  </si>
  <si>
    <t>2024-10-09T00:25:56.000Z</t>
  </si>
  <si>
    <t>ce81df60-de62-4c56-9aa3-934524186fa9</t>
  </si>
  <si>
    <t>2024-09-18T16:19:24.000Z</t>
  </si>
  <si>
    <t>2024-10-09T00:25:54.000Z</t>
  </si>
  <si>
    <t>5d987895-50d3-4072-9a3b-c06c117db96b</t>
  </si>
  <si>
    <t>2024-09-18T15:05:39.000Z</t>
  </si>
  <si>
    <t>2024-10-09T00:25:52.000Z</t>
  </si>
  <si>
    <t>10d81045-9590-425d-9e9b-8b7a3b27d5a2</t>
  </si>
  <si>
    <t>2024-09-18T15:05:01.000Z</t>
  </si>
  <si>
    <t>2024-10-09T00:25:51.000Z</t>
  </si>
  <si>
    <t>60239e01-b19e-4ddf-bcff-d3eacf0de82d</t>
  </si>
  <si>
    <t>2024-09-18T15:02:40.000Z</t>
  </si>
  <si>
    <t>2024-10-09T00:25:50.000Z</t>
  </si>
  <si>
    <t>201b5339-f1e5-4b6c-9363-1918d0533268</t>
  </si>
  <si>
    <t>2024-09-17T20:47:35.000Z</t>
  </si>
  <si>
    <t>2024-10-09T00:25:38.000Z</t>
  </si>
  <si>
    <t>260227d8-8992-4d1a-a68f-f52fd10f6538</t>
  </si>
  <si>
    <t>2024-09-17T20:47:19.000Z</t>
  </si>
  <si>
    <t>2024-10-09T00:25:36.000Z</t>
  </si>
  <si>
    <t>2e785f15-5876-493f-a64b-f51cbb4474c7</t>
  </si>
  <si>
    <t>2024-09-17T20:47:04.000Z</t>
  </si>
  <si>
    <t>2024-10-09T00:25:35.000Z</t>
  </si>
  <si>
    <t>2b9e8dbc-cc19-4692-86a0-bf8424d46353</t>
  </si>
  <si>
    <t>2024-09-17T20:46:41.000Z</t>
  </si>
  <si>
    <t>2024-10-09T00:25:34.000Z</t>
  </si>
  <si>
    <t>1683f8ae-a1ea-49ff-8496-f75e0a6fb22c</t>
  </si>
  <si>
    <t>2024-09-17T20:46:29.000Z</t>
  </si>
  <si>
    <t>2024-10-09T00:25:31.000Z</t>
  </si>
  <si>
    <t>ca15f97a-3d05-41b1-9f68-2459b4274dfc</t>
  </si>
  <si>
    <t>2024-09-17T20:46:17.000Z</t>
  </si>
  <si>
    <t>2024-10-09T00:25:30.000Z</t>
  </si>
  <si>
    <t>e8d3b715-27b3-4272-97f9-83ee2fb2ea49</t>
  </si>
  <si>
    <t>2024-09-17T20:46:05.000Z</t>
  </si>
  <si>
    <t>2024-10-09T00:25:28.000Z</t>
  </si>
  <si>
    <t>bcc7fb89-8aaf-4bdb-a9b8-771311e51de8</t>
  </si>
  <si>
    <t>2024-09-17T20:43:14.000Z</t>
  </si>
  <si>
    <t>2024-10-09T00:24:49.000Z</t>
  </si>
  <si>
    <t>74ba3b5a-573d-4b39-9e6d-729fc61a7338</t>
  </si>
  <si>
    <t>2024-09-17T20:43:01.000Z</t>
  </si>
  <si>
    <t>2024-10-09T00:24:48.000Z</t>
  </si>
  <si>
    <t>34506bd8-c791-4693-9737-b512a7abea00</t>
  </si>
  <si>
    <t>2024-09-17T20:42:48.000Z</t>
  </si>
  <si>
    <t>2024-10-09T00:24:47.000Z</t>
  </si>
  <si>
    <t>5213c94b-a613-44b5-9d4d-4339067eb11a</t>
  </si>
  <si>
    <t>2024-09-17T20:42:13.000Z</t>
  </si>
  <si>
    <t>2024-10-09T00:24:45.000Z</t>
  </si>
  <si>
    <t>cd4aa274-016a-458d-b685-409dda254c60</t>
  </si>
  <si>
    <t>2024-09-17T19:31:36.000Z</t>
  </si>
  <si>
    <t>2024-10-09T00:25:27.000Z</t>
  </si>
  <si>
    <t>0af9811a-72a7-41e2-a902-7f81568531dd</t>
  </si>
  <si>
    <t>2024-09-17T19:31:22.000Z</t>
  </si>
  <si>
    <t>2024-10-09T00:25:25.000Z</t>
  </si>
  <si>
    <t>a3355440-d06e-45e7-827e-db5a5c28c53d</t>
  </si>
  <si>
    <t>2024-09-17T19:31:10.000Z</t>
  </si>
  <si>
    <t>2024-10-09T00:25:23.000Z</t>
  </si>
  <si>
    <t>40903bd3-e0b5-4bda-8941-96f9355dfaf1</t>
  </si>
  <si>
    <t>2024-09-17T19:30:58.000Z</t>
  </si>
  <si>
    <t>2024-10-09T00:25:22.000Z</t>
  </si>
  <si>
    <t>c70af07f-0115-4607-b17b-b5a2cac428ac</t>
  </si>
  <si>
    <t>2024-09-17T19:30:43.000Z</t>
  </si>
  <si>
    <t>2024-10-09T00:25:20.000Z</t>
  </si>
  <si>
    <t>e8858dff-59f4-4c6b-b4da-b961d7ce2ef1</t>
  </si>
  <si>
    <t>2024-09-17T19:30:32.000Z</t>
  </si>
  <si>
    <t>2024-10-09T00:25:18.000Z</t>
  </si>
  <si>
    <t>41f2c5ea-7757-4678-be95-a86cbcc46a95</t>
  </si>
  <si>
    <t>2024-09-17T19:30:20.000Z</t>
  </si>
  <si>
    <t>2024-10-09T00:25:16.000Z</t>
  </si>
  <si>
    <t>b9cabbcd-75b4-4ff2-91db-0de2b89da20a</t>
  </si>
  <si>
    <t>2024-09-17T19:30:03.000Z</t>
  </si>
  <si>
    <t>2024-10-09T00:25:15.000Z</t>
  </si>
  <si>
    <t>f0cd3a5b-07f2-442b-a619-2b43fffb4d87</t>
  </si>
  <si>
    <t>2024-09-17T18:13:23.000Z</t>
  </si>
  <si>
    <t>2024-10-09T00:25:11.000Z</t>
  </si>
  <si>
    <t>5c90b8b3-7af5-4958-9e1f-efe93d07e5de</t>
  </si>
  <si>
    <t>2024-09-17T18:11:40.000Z</t>
  </si>
  <si>
    <t>2024-10-09T00:25:10.000Z</t>
  </si>
  <si>
    <t>d126fb8f-9def-4844-a890-f7e7b977dd81</t>
  </si>
  <si>
    <t>2024-09-17T18:10:59.000Z</t>
  </si>
  <si>
    <t>2024-10-09T00:25:08.000Z</t>
  </si>
  <si>
    <t>Descanso estacionario</t>
  </si>
  <si>
    <t>12d9b1be-180b-43d5-907a-d94ef9826af2</t>
  </si>
  <si>
    <t>2024-09-17T18:08:19.000Z</t>
  </si>
  <si>
    <t>2024-10-09T00:25:07.000Z</t>
  </si>
  <si>
    <t>1d7d3b55-ac4a-4522-9ed0-2f6ef797e9d6</t>
  </si>
  <si>
    <t>2024-09-17T18:07:50.000Z</t>
  </si>
  <si>
    <t>2024-10-09T00:25:04.000Z</t>
  </si>
  <si>
    <t>bf5ff994-db79-48cc-bc4e-6b0e6c583387</t>
  </si>
  <si>
    <t>2024-09-17T18:07:10.000Z</t>
  </si>
  <si>
    <t>2024-10-09T00:25:02.000Z</t>
  </si>
  <si>
    <t>8f50c73a-30b2-4412-adb5-21044ffbc62d</t>
  </si>
  <si>
    <t>2024-09-17T17:18:25.000Z</t>
  </si>
  <si>
    <t>2024-10-09T00:25:00.000Z</t>
  </si>
  <si>
    <t>Movimiento estacionario</t>
  </si>
  <si>
    <t>a91156dd-35c6-418d-a8ef-097e0a56e1c2</t>
  </si>
  <si>
    <t>2024-09-16T20:24:32.000Z</t>
  </si>
  <si>
    <t>2024-10-09T00:24:41.000Z</t>
  </si>
  <si>
    <t>a3a76710-25d6-4680-81af-989a4bc06f0f</t>
  </si>
  <si>
    <t>2024-09-16T20:23:34.000Z</t>
  </si>
  <si>
    <t>2024-10-09T00:24:39.000Z</t>
  </si>
  <si>
    <t>0858d0ec-726c-4ae4-96d2-175311402f5b</t>
  </si>
  <si>
    <t>2024-09-16T20:22:03.000Z</t>
  </si>
  <si>
    <t>2024-10-09T00:24:36.000Z</t>
  </si>
  <si>
    <t>73c63de5-9184-48d3-8227-a5a04ce0c384</t>
  </si>
  <si>
    <t>2024-09-16T20:20:20.000Z</t>
  </si>
  <si>
    <t>2024-10-09T00:24:34.000Z</t>
  </si>
  <si>
    <t>cb3fa956-c3e5-42e9-849c-dc48573e803c</t>
  </si>
  <si>
    <t>2024-09-16T20:19:32.000Z</t>
  </si>
  <si>
    <t>2024-10-09T00:24:32.000Z</t>
  </si>
  <si>
    <t>021884b1-3524-4ff0-9b9d-cbbebf3ddc1a</t>
  </si>
  <si>
    <t>2024-09-16T20:19:06.000Z</t>
  </si>
  <si>
    <t>2024-10-09T00:24:31.000Z</t>
  </si>
  <si>
    <t>edd72182-94c4-4c84-b930-8ccfc7e4c8e0</t>
  </si>
  <si>
    <t>2024-09-16T20:18:52.000Z</t>
  </si>
  <si>
    <t>2024-10-09T00:24:29.000Z</t>
  </si>
  <si>
    <t>e0199176-b387-4776-a2f4-1de8f81e9908</t>
  </si>
  <si>
    <t>2024-09-16T20:18:37.000Z</t>
  </si>
  <si>
    <t>2024-10-09T00:24:27.000Z</t>
  </si>
  <si>
    <t>d8fae3a0-dd88-4bfb-8d13-10aa45aa23fc</t>
  </si>
  <si>
    <t>2024-09-16T20:17:42.000Z</t>
  </si>
  <si>
    <t>2024-10-09T00:24:26.000Z</t>
  </si>
  <si>
    <t>5d258d3b-e9c8-4ea6-904f-98df0cb758d7</t>
  </si>
  <si>
    <t>2024-09-16T20:16:48.000Z</t>
  </si>
  <si>
    <t>2024-10-09T00:24:24.000Z</t>
  </si>
  <si>
    <t>f5efca63-324a-4fea-ae16-f9a064d78fbc</t>
  </si>
  <si>
    <t>2024-09-16T20:15:49.000Z</t>
  </si>
  <si>
    <t>2024-10-09T00:24:22.000Z</t>
  </si>
  <si>
    <t>938ef461-59f5-46e5-a64b-a644b7ec843b</t>
  </si>
  <si>
    <t>2024-09-16T20:13:37.000Z</t>
  </si>
  <si>
    <t>2024-10-09T00:24:19.000Z</t>
  </si>
  <si>
    <t>Marca facial</t>
  </si>
  <si>
    <t>cda7eb4c-16e1-47cf-a793-5f63051a7d4b</t>
  </si>
  <si>
    <t>2024-09-12T16:09:02.000Z</t>
  </si>
  <si>
    <t>2024-10-09T00:37:23.000Z</t>
  </si>
  <si>
    <t>4770d440-6b30-47bb-9580-da2e5793a13a</t>
  </si>
  <si>
    <t>2024-09-12T15:56:32.000Z</t>
  </si>
  <si>
    <t>2024-10-09T00:37:21.000Z</t>
  </si>
  <si>
    <t>1165bf9f-3cd6-4d9a-8d73-72d07d90c899</t>
  </si>
  <si>
    <t>2024-09-12T15:54:09.000Z</t>
  </si>
  <si>
    <t>2024-10-09T00:37:19.000Z</t>
  </si>
  <si>
    <t>63bb883c-9d04-40dc-b8a5-9097efc368e9</t>
  </si>
  <si>
    <t>2024-09-12T15:34:14.000Z</t>
  </si>
  <si>
    <t>2024-10-09T00:37:04.000Z</t>
  </si>
  <si>
    <t>1c026e1c-c749-4b4d-ab77-27ce4c1b4508</t>
  </si>
  <si>
    <t>2024-09-12T15:34:02.000Z</t>
  </si>
  <si>
    <t>2024-10-09T00:37:02.000Z</t>
  </si>
  <si>
    <t>65ff4e3e-65dd-4bb1-a2cc-ba78840a81ef</t>
  </si>
  <si>
    <t>2024-09-12T15:18:12.000Z</t>
  </si>
  <si>
    <t>2024-10-09T00:37:00.000Z</t>
  </si>
  <si>
    <t>def0e558-9ff6-49e1-bb97-6e9f7b3ee289</t>
  </si>
  <si>
    <t>2024-09-12T15:17:41.000Z</t>
  </si>
  <si>
    <t>2024-10-09T00:36:55.000Z</t>
  </si>
  <si>
    <t>639697af-1a55-4798-ab16-4ee706a02bdc</t>
  </si>
  <si>
    <t>2024-09-12T15:16:57.000Z</t>
  </si>
  <si>
    <t>2024-10-09T00:36:53.000Z</t>
  </si>
  <si>
    <t>96a875d3-92e3-44cb-80ff-40d77f81e5b3</t>
  </si>
  <si>
    <t>2024-09-12T14:43:45.000Z</t>
  </si>
  <si>
    <t>2024-10-09T00:36:41.000Z</t>
  </si>
  <si>
    <t>4f1d5af3-96f5-4aa7-9749-fa1b88910ac6</t>
  </si>
  <si>
    <t>2024-09-12T14:43:00.000Z</t>
  </si>
  <si>
    <t>2024-10-09T00:36:37.000Z</t>
  </si>
  <si>
    <t>74f543af-b3bd-4b43-9181-2667ed6d2f8a</t>
  </si>
  <si>
    <t>2024-09-12T14:42:23.000Z</t>
  </si>
  <si>
    <t>2024-10-09T00:36:36.000Z</t>
  </si>
  <si>
    <t>9623c15a-54e5-43d6-ac74-356ffad488b5</t>
  </si>
  <si>
    <t>2024-09-12T14:41:49.000Z</t>
  </si>
  <si>
    <t>2024-10-09T00:36:33.000Z</t>
  </si>
  <si>
    <t>4f8022e3-d387-41ba-bed2-ed1a2773d517</t>
  </si>
  <si>
    <t>2024-09-12T14:38:28.000Z</t>
  </si>
  <si>
    <t>2024-10-09T00:36:23.000Z</t>
  </si>
  <si>
    <t>95fec8cc-19c1-44ed-b31b-70f283c13fda</t>
  </si>
  <si>
    <t>2024-09-12T14:36:43.000Z</t>
  </si>
  <si>
    <t>2024-10-09T00:36:21.000Z</t>
  </si>
  <si>
    <t>a161e8a3-1dfd-4237-831a-acb266a75036</t>
  </si>
  <si>
    <t>2024-09-12T14:35:38.000Z</t>
  </si>
  <si>
    <t>2024-10-09T00:36:18.000Z</t>
  </si>
  <si>
    <t>26b19189-8751-467b-b53e-de14b6bbd790</t>
  </si>
  <si>
    <t>2024-09-12T14:00:11.000Z</t>
  </si>
  <si>
    <t>2024-10-09T00:36:07.000Z</t>
  </si>
  <si>
    <t>43579e7a-b4a2-48de-b9f1-f54b4ba7b89c</t>
  </si>
  <si>
    <t>2024-09-12T13:22:42.000Z</t>
  </si>
  <si>
    <t>2024-10-09T00:36:04.000Z</t>
  </si>
  <si>
    <t>666af5f6-edb9-4591-8faa-eba9df624ef7</t>
  </si>
  <si>
    <t>2024-09-12T13:21:34.000Z</t>
  </si>
  <si>
    <t>2024-10-09T00:36:02.000Z</t>
  </si>
  <si>
    <t>0a9f28e6-d325-47a2-9a5e-d31eb7057714</t>
  </si>
  <si>
    <t>2024-09-11T22:23:40.000Z</t>
  </si>
  <si>
    <t>2024-10-09T00:23:59.000Z</t>
  </si>
  <si>
    <t>f3326ee0-3619-42fa-8864-f1d667224deb</t>
  </si>
  <si>
    <t>2024-09-11T21:53:21.000Z</t>
  </si>
  <si>
    <t>2024-10-09T00:23:56.000Z</t>
  </si>
  <si>
    <t>705d2a6a-5a90-44a8-b43b-7ca429cb41ce</t>
  </si>
  <si>
    <t>2024-09-11T21:52:45.000Z</t>
  </si>
  <si>
    <t>2024-10-09T00:23:55.000Z</t>
  </si>
  <si>
    <t>445ef8a3-c36b-445d-a362-5ed5c2480d67</t>
  </si>
  <si>
    <t>2024-09-11T21:52:09.000Z</t>
  </si>
  <si>
    <t>2024-10-09T00:23:53.000Z</t>
  </si>
  <si>
    <t>57ca8ffe-1333-4b05-8af7-14074c03f371</t>
  </si>
  <si>
    <t>2024-09-11T21:51:11.000Z</t>
  </si>
  <si>
    <t>2024-10-09T00:23:52.000Z</t>
  </si>
  <si>
    <t>0c7ec335-1c83-4a4d-af3f-431a96cd4334</t>
  </si>
  <si>
    <t>2024-09-11T21:50:31.000Z</t>
  </si>
  <si>
    <t>2024-10-09T00:23:50.000Z</t>
  </si>
  <si>
    <t>3b56b56c-770d-4825-b679-f00508278bdb</t>
  </si>
  <si>
    <t>2024-09-11T21:49:10.000Z</t>
  </si>
  <si>
    <t>2024-10-09T00:23:48.000Z</t>
  </si>
  <si>
    <t>Social Agresión</t>
  </si>
  <si>
    <t>Social Huir</t>
  </si>
  <si>
    <t>28100bb0-f6bb-4f2e-8d97-79e086c9fc9e</t>
  </si>
  <si>
    <t>2024-09-11T21:48:01.000Z</t>
  </si>
  <si>
    <t>2024-10-09T00:23:47.000Z</t>
  </si>
  <si>
    <t>Social Lactancia</t>
  </si>
  <si>
    <t>c6b0232a-33b6-4811-89bf-e71aad732c98</t>
  </si>
  <si>
    <t>2024-09-11T21:46:52.000Z</t>
  </si>
  <si>
    <t>2024-10-09T00:23:45.000Z</t>
  </si>
  <si>
    <t>9dce835d-95a7-4799-bc14-d561b6f756aa</t>
  </si>
  <si>
    <t>2024-09-11T21:46:17.000Z</t>
  </si>
  <si>
    <t>2024-10-09T00:23:44.000Z</t>
  </si>
  <si>
    <t>583550f4-2575-4b38-8327-24f683089762</t>
  </si>
  <si>
    <t>2024-09-11T21:45:43.000Z</t>
  </si>
  <si>
    <t>2024-10-09T00:23:42.000Z</t>
  </si>
  <si>
    <t>7d195f11-b860-4c5c-93c3-bc99a362d9a9</t>
  </si>
  <si>
    <t>2024-09-11T21:44:45.000Z</t>
  </si>
  <si>
    <t>2024-10-09T00:23:41.000Z</t>
  </si>
  <si>
    <t>ad490d06-da3f-4e3f-8a40-5317b14950cc</t>
  </si>
  <si>
    <t>2024-09-11T21:44:03.000Z</t>
  </si>
  <si>
    <t>2024-10-09T00:23:40.000Z</t>
  </si>
  <si>
    <t>848e9ec8-1cfa-446c-829c-ec318b7a1179</t>
  </si>
  <si>
    <t>2024-09-11T21:43:23.000Z</t>
  </si>
  <si>
    <t>2024-10-09T00:23:37.000Z</t>
  </si>
  <si>
    <t>f56ecde0-5d96-4275-94f0-b3da15ab847f</t>
  </si>
  <si>
    <t>2024-09-11T21:43:10.000Z</t>
  </si>
  <si>
    <t>2024-10-09T00:23:36.000Z</t>
  </si>
  <si>
    <t>88f9698b-94f4-4607-b1ee-ea730312af96</t>
  </si>
  <si>
    <t>2024-09-11T21:42:20.000Z</t>
  </si>
  <si>
    <t>2024-10-09T00:23:34.000Z</t>
  </si>
  <si>
    <t>Descanso vista al observador</t>
  </si>
  <si>
    <t>338768f3-0879-49a7-945a-bc68ff44dc25</t>
  </si>
  <si>
    <t>2024-09-11T21:41:46.000Z</t>
  </si>
  <si>
    <t>2024-10-09T00:23:33.000Z</t>
  </si>
  <si>
    <t>32d9ab98-8fdd-4ebe-bbdf-8181ff454342</t>
  </si>
  <si>
    <t>2024-09-11T21:40:56.000Z</t>
  </si>
  <si>
    <t>2024-10-09T00:23:31.000Z</t>
  </si>
  <si>
    <t>d3bcdada-37fa-4ae9-be12-f579aa27c405</t>
  </si>
  <si>
    <t>2024-09-11T21:40:06.000Z</t>
  </si>
  <si>
    <t>2024-10-09T00:23:29.000Z</t>
  </si>
  <si>
    <t>01fc2fe1-525a-4629-9c35-1f0beb21c9e3</t>
  </si>
  <si>
    <t>2024-09-11T21:39:10.000Z</t>
  </si>
  <si>
    <t>2024-10-09T00:23:28.000Z</t>
  </si>
  <si>
    <t>991fb524-a2da-41aa-bfd1-e1ebf12a801e</t>
  </si>
  <si>
    <t>2024-09-11T21:38:42.000Z</t>
  </si>
  <si>
    <t>2024-10-09T00:23:27.000Z</t>
  </si>
  <si>
    <t>cb709f52-c613-4b63-b989-d10820ffcf36</t>
  </si>
  <si>
    <t>2024-09-11T21:35:53.000Z</t>
  </si>
  <si>
    <t>2024-10-09T00:23:24.000Z</t>
  </si>
  <si>
    <t>123907f8-784e-443e-91e5-56175e3ce843</t>
  </si>
  <si>
    <t>2024-09-11T21:34:27.000Z</t>
  </si>
  <si>
    <t>2024-10-09T00:23:21.000Z</t>
  </si>
  <si>
    <t>c8bab6e8-d592-47c3-b23a-262340dbc0b3</t>
  </si>
  <si>
    <t>2024-09-11T21:31:41.000Z</t>
  </si>
  <si>
    <t>2024-10-09T00:23:20.000Z</t>
  </si>
  <si>
    <t>daf6783a-af0f-4a52-956b-49920e6892f8</t>
  </si>
  <si>
    <t>2024-09-11T19:21:26.000Z</t>
  </si>
  <si>
    <t>2024-10-09T00:23:09.000Z</t>
  </si>
  <si>
    <t>8723ecf4-4c27-4b5a-abb1-986f329b1f72</t>
  </si>
  <si>
    <t>2024-09-11T17:57:16.000Z</t>
  </si>
  <si>
    <t>2024-10-09T00:23:00.000Z</t>
  </si>
  <si>
    <t>3d478cd8-fca9-4097-81dc-18bd68e32453</t>
  </si>
  <si>
    <t>2024-09-11T17:55:48.000Z</t>
  </si>
  <si>
    <t>2024-10-09T00:22:59.000Z</t>
  </si>
  <si>
    <t>065bfb61-4e2e-43ac-88bb-1f34503caf3e</t>
  </si>
  <si>
    <t>2024-09-11T17:54:46.000Z</t>
  </si>
  <si>
    <t>2024-10-09T00:22:57.000Z</t>
  </si>
  <si>
    <t>b2fd5ea5-f4b3-4b1d-8787-ae85ed241ce2</t>
  </si>
  <si>
    <t>2024-09-11T17:54:06.000Z</t>
  </si>
  <si>
    <t>2024-10-09T00:22:55.000Z</t>
  </si>
  <si>
    <t>dac1b316-b872-4b1f-b023-192edd322d2f</t>
  </si>
  <si>
    <t>2024-09-11T17:51:40.000Z</t>
  </si>
  <si>
    <t>2024-10-09T00:22:54.000Z</t>
  </si>
  <si>
    <t>b5e6238d-451f-4e42-9041-fe9d2e32db01</t>
  </si>
  <si>
    <t>2024-09-11T17:03:59.000Z</t>
  </si>
  <si>
    <t>2024-10-09T00:22:50.000Z</t>
  </si>
  <si>
    <t>739042ba-31ba-40a4-8011-06c7e2b8a1ba</t>
  </si>
  <si>
    <t>2024-09-11T16:56:13.000Z</t>
  </si>
  <si>
    <t>2024-10-09T00:22:37.000Z</t>
  </si>
  <si>
    <t>Sólo machos</t>
  </si>
  <si>
    <t>97173f3d-c2c0-40c9-8f32-4963df064e7c</t>
  </si>
  <si>
    <t>2024-09-11T16:54:54.000Z</t>
  </si>
  <si>
    <t>2024-10-09T00:22:36.000Z</t>
  </si>
  <si>
    <t>6fdf9367-83b8-4631-90e4-661aaabe18c7</t>
  </si>
  <si>
    <t>2024-09-11T16:52:07.000Z</t>
  </si>
  <si>
    <t>2024-10-09T00:22:35.000Z</t>
  </si>
  <si>
    <t>Otros Display</t>
  </si>
  <si>
    <t>a23350e9-b7f3-4915-a69e-31c0a3069d9a</t>
  </si>
  <si>
    <t>2024-09-11T16:51:08.000Z</t>
  </si>
  <si>
    <t>2024-10-09T00:22:33.000Z</t>
  </si>
  <si>
    <t>278d331f-05f5-419f-bace-e690b434682c</t>
  </si>
  <si>
    <t>2024-09-11T16:48:33.000Z</t>
  </si>
  <si>
    <t>2024-10-09T00:22:31.000Z</t>
  </si>
  <si>
    <t>Orinar</t>
  </si>
  <si>
    <t>d6c9824d-e811-4c22-bf4b-d3fdbce3cece</t>
  </si>
  <si>
    <t>2024-09-11T16:47:26.000Z</t>
  </si>
  <si>
    <t>2024-10-09T00:22:30.000Z</t>
  </si>
  <si>
    <t>Display</t>
  </si>
  <si>
    <t>14379285-1576-400c-b0fe-365221c12c15</t>
  </si>
  <si>
    <t>2024-09-11T16:43:58.000Z</t>
  </si>
  <si>
    <t>2024-10-09T00:22:28.000Z</t>
  </si>
  <si>
    <t>b34afd2f-7cbd-4f8b-966d-92c12f930545</t>
  </si>
  <si>
    <t>2024-09-11T16:43:28.000Z</t>
  </si>
  <si>
    <t>2024-10-09T00:22:27.000Z</t>
  </si>
  <si>
    <t>24693bae-95e4-4f16-9080-5b39e87751b8</t>
  </si>
  <si>
    <t>2024-09-11T16:42:38.000Z</t>
  </si>
  <si>
    <t>2024-10-09T00:22:24.000Z</t>
  </si>
  <si>
    <t>9fe3f90f-6c71-4919-8829-d216620484a7</t>
  </si>
  <si>
    <t>2024-09-10T22:36:35.000Z</t>
  </si>
  <si>
    <t>2024-10-09T00:22:02.000Z</t>
  </si>
  <si>
    <t>5c3235eb-138f-4d23-8985-8e2d317791f0</t>
  </si>
  <si>
    <t>2024-09-10T22:36:22.000Z</t>
  </si>
  <si>
    <t>2024-10-09T00:22:00.000Z</t>
  </si>
  <si>
    <t>898a1542-d21c-4cd6-854f-290ef8211f41</t>
  </si>
  <si>
    <t>2024-09-10T22:36:09.000Z</t>
  </si>
  <si>
    <t>2024-10-09T00:21:58.000Z</t>
  </si>
  <si>
    <t>fd63ee11-1975-42a6-97e9-4b819323146e</t>
  </si>
  <si>
    <t>2024-09-10T22:35:57.000Z</t>
  </si>
  <si>
    <t>2024-10-09T00:21:56.000Z</t>
  </si>
  <si>
    <t>48aac492-00d8-453c-9081-755fb2151471</t>
  </si>
  <si>
    <t>2024-09-10T22:35:44.000Z</t>
  </si>
  <si>
    <t>2024-10-09T00:21:55.000Z</t>
  </si>
  <si>
    <t>7746bb98-86d5-4217-8c0e-bc91eb90065d</t>
  </si>
  <si>
    <t>2024-09-10T22:35:30.000Z</t>
  </si>
  <si>
    <t>2024-10-09T00:21:54.000Z</t>
  </si>
  <si>
    <t>b7324747-6ec1-48ef-9864-99ab68de5370</t>
  </si>
  <si>
    <t>2024-09-10T22:35:16.000Z</t>
  </si>
  <si>
    <t>2024-10-09T00:21:51.000Z</t>
  </si>
  <si>
    <t>0a852a8e-9560-454e-8303-0a9583652b93</t>
  </si>
  <si>
    <t>2024-09-10T21:14:40.000Z</t>
  </si>
  <si>
    <t>2024-10-09T00:21:49.000Z</t>
  </si>
  <si>
    <t>45e98079-4441-4f54-899d-b126f441797f</t>
  </si>
  <si>
    <t>2024-09-10T21:14:16.000Z</t>
  </si>
  <si>
    <t>2024-10-09T00:21:47.000Z</t>
  </si>
  <si>
    <t>5e6fdde8-8766-44be-95c8-35e0eda3f5d5</t>
  </si>
  <si>
    <t>2024-09-10T21:13:25.000Z</t>
  </si>
  <si>
    <t>2024-10-09T00:21:45.000Z</t>
  </si>
  <si>
    <t>df971406-69ab-4829-9616-685bd6b13660</t>
  </si>
  <si>
    <t>2024-09-10T21:12:37.000Z</t>
  </si>
  <si>
    <t>2024-10-09T00:21:44.000Z</t>
  </si>
  <si>
    <t>929bfd59-5acd-4631-813f-8fea15645395</t>
  </si>
  <si>
    <t>2024-09-10T20:30:16.000Z</t>
  </si>
  <si>
    <t>2024-10-09T00:21:37.000Z</t>
  </si>
  <si>
    <t>6e00a3cf-c972-456b-aaa4-1bb22ebc500c</t>
  </si>
  <si>
    <t>2024-09-10T20:30:05.000Z</t>
  </si>
  <si>
    <t>2024-10-09T00:21:39.000Z</t>
  </si>
  <si>
    <t>6ba8f097-9932-460c-9518-e0b57fb217a4</t>
  </si>
  <si>
    <t>2024-09-10T20:27:30.000Z</t>
  </si>
  <si>
    <t>2024-10-09T00:21:36.000Z</t>
  </si>
  <si>
    <t>d41621b8-a676-438f-8bdb-ef7ac9f09a5d</t>
  </si>
  <si>
    <t>2024-09-10T20:27:04.000Z</t>
  </si>
  <si>
    <t>2024-10-09T00:21:35.000Z</t>
  </si>
  <si>
    <t>2f7cd805-5c5e-4d78-a70e-799b8aac291a</t>
  </si>
  <si>
    <t>2024-09-10T19:56:52.000Z</t>
  </si>
  <si>
    <t>2024-10-09T00:21:29.000Z</t>
  </si>
  <si>
    <t>13695cc5-a34d-46f0-ac3b-2ca2994e419d</t>
  </si>
  <si>
    <t>2024-09-10T19:48:23.000Z</t>
  </si>
  <si>
    <t>2024-10-09T00:21:28.000Z</t>
  </si>
  <si>
    <t>5cb2c9c1-848f-471a-92c2-a0260f43d1f6</t>
  </si>
  <si>
    <t>2024-09-10T19:47:42.000Z</t>
  </si>
  <si>
    <t>2024-10-09T00:21:26.000Z</t>
  </si>
  <si>
    <t>7ed599f0-8e2c-439c-b0d3-4ecb4c6e33b2</t>
  </si>
  <si>
    <t>2024-09-10T19:35:20.000Z</t>
  </si>
  <si>
    <t>2024-10-09T00:21:21.000Z</t>
  </si>
  <si>
    <t>14227dbd-c45b-4eb3-bb14-151e18748b03</t>
  </si>
  <si>
    <t>2024-09-10T19:17:19.000Z</t>
  </si>
  <si>
    <t>2024-10-09T00:21:15.000Z</t>
  </si>
  <si>
    <t>c12fd8df-f49e-4ae7-8f2a-a9d6c098ce57</t>
  </si>
  <si>
    <t>2024-09-10T19:05:37.000Z</t>
  </si>
  <si>
    <t>2024-10-09T00:21:12.000Z</t>
  </si>
  <si>
    <t>49d606c4-7015-493f-a14c-a4f4809efba4</t>
  </si>
  <si>
    <t>2024-09-10T18:54:50.000Z</t>
  </si>
  <si>
    <t>2024-10-09T00:21:07.000Z</t>
  </si>
  <si>
    <t>c56d4dcd-9710-4e20-b01c-b58d6ccc8b72</t>
  </si>
  <si>
    <t>2024-09-10T18:53:02.000Z</t>
  </si>
  <si>
    <t>2024-10-09T00:21:09.000Z</t>
  </si>
  <si>
    <t>f378a2b8-8458-40bb-8c81-8bb400d12f0b</t>
  </si>
  <si>
    <t>2024-09-10T18:22:36.000Z</t>
  </si>
  <si>
    <t>2024-10-09T00:21:02.000Z</t>
  </si>
  <si>
    <t>217deac7-176b-4b1a-b672-452fc7e2bee9</t>
  </si>
  <si>
    <t>2024-09-10T18:09:29.000Z</t>
  </si>
  <si>
    <t>2024-10-09T00:20:58.000Z</t>
  </si>
  <si>
    <t>b32c1b19-1b32-4f08-bfd8-4380676f505e</t>
  </si>
  <si>
    <t>2024-09-10T18:09:16.000Z</t>
  </si>
  <si>
    <t>2024-10-09T00:20:57.000Z</t>
  </si>
  <si>
    <t>b5dea078-2d0f-4578-8bc1-839199288261</t>
  </si>
  <si>
    <t>2024-09-10T18:09:03.000Z</t>
  </si>
  <si>
    <t>2024-10-09T00:20:56.000Z</t>
  </si>
  <si>
    <t>2f5b8533-f05e-4f66-a2b5-3d3f08a5ece4</t>
  </si>
  <si>
    <t>2024-09-10T18:08:48.000Z</t>
  </si>
  <si>
    <t>2024-10-09T00:20:53.000Z</t>
  </si>
  <si>
    <t>70391a7a-ae1b-4d89-b671-3adc0a56bd61</t>
  </si>
  <si>
    <t>2024-09-10T18:08:36.000Z</t>
  </si>
  <si>
    <t>2024-10-09T00:20:52.000Z</t>
  </si>
  <si>
    <t>7dc04d74-eb8d-47d1-9f7f-05e8a4f5c8cc</t>
  </si>
  <si>
    <t>2024-09-10T18:08:25.000Z</t>
  </si>
  <si>
    <t>2024-10-09T00:20:50.000Z</t>
  </si>
  <si>
    <t>fe98b572-02c8-4292-b8bb-60d8d07fd021</t>
  </si>
  <si>
    <t>2024-09-10T18:08:13.000Z</t>
  </si>
  <si>
    <t>2024-10-09T00:20:49.000Z</t>
  </si>
  <si>
    <t>cbe12d2b-2b95-478f-a67e-dd934c72cee3</t>
  </si>
  <si>
    <t>2024-09-10T17:03:34.000Z</t>
  </si>
  <si>
    <t>2024-10-09T00:20:40.000Z</t>
  </si>
  <si>
    <t>ebcc3c79-68c0-45db-af72-ed6e67951e5c</t>
  </si>
  <si>
    <t>2024-09-10T17:03:17.000Z</t>
  </si>
  <si>
    <t>2024-10-09T00:20:39.000Z</t>
  </si>
  <si>
    <t>bda0f909-87e2-4982-ab26-ee34d10450b3</t>
  </si>
  <si>
    <t>2024-09-10T17:03:04.000Z</t>
  </si>
  <si>
    <t>2024-10-09T00:20:46.000Z</t>
  </si>
  <si>
    <t>cf6c1b65-ac58-4090-a5c1-9a111de4925b</t>
  </si>
  <si>
    <t>2024-09-10T17:02:52.000Z</t>
  </si>
  <si>
    <t>2024-10-09T00:20:44.000Z</t>
  </si>
  <si>
    <t>1a741d9d-c414-44d5-bc7a-8463247b4ecd</t>
  </si>
  <si>
    <t>2024-09-10T16:27:13.000Z</t>
  </si>
  <si>
    <t>2024-10-09T00:20:36.000Z</t>
  </si>
  <si>
    <t>2a8b5e0c-95ca-4c37-945b-8aba6f51e656</t>
  </si>
  <si>
    <t>2024-09-10T16:26:26.000Z</t>
  </si>
  <si>
    <t>2024-10-09T00:20:34.000Z</t>
  </si>
  <si>
    <t>7648e655-67de-4a88-bd89-cfa970b9bc93</t>
  </si>
  <si>
    <t>2024-09-10T16:00:57.000Z</t>
  </si>
  <si>
    <t>2024-10-09T00:20:33.000Z</t>
  </si>
  <si>
    <t>2392a283-2262-4dcd-9336-9693a0d97dd1</t>
  </si>
  <si>
    <t>2024-09-10T15:57:43.000Z</t>
  </si>
  <si>
    <t>2024-10-09T00:20:26.000Z</t>
  </si>
  <si>
    <t>3cdbb6e8-17dd-4d4d-b1c7-fda34f4c14f0</t>
  </si>
  <si>
    <t>2024-09-10T15:56:44.000Z</t>
  </si>
  <si>
    <t>2024-10-09T00:20:24.000Z</t>
  </si>
  <si>
    <t>48a34a6f-f229-45a1-9305-bc8a6b1f3fb4</t>
  </si>
  <si>
    <t>2024-09-10T15:55:40.000Z</t>
  </si>
  <si>
    <t>2024-10-09T00:20:22.000Z</t>
  </si>
  <si>
    <t>09468b73-4169-400a-a238-c83dcbca9066</t>
  </si>
  <si>
    <t>2024-09-10T15:24:02.000Z</t>
  </si>
  <si>
    <t>2024-10-09T00:20:18.000Z</t>
  </si>
  <si>
    <t>e69008b5-2b1b-47f8-858b-7a967bbe2525</t>
  </si>
  <si>
    <t>2024-09-10T15:22:31.000Z</t>
  </si>
  <si>
    <t>2024-10-09T00:20:17.000Z</t>
  </si>
  <si>
    <t>c8b8caac-b741-4b56-afb3-ea6c9d43fa02</t>
  </si>
  <si>
    <t>2024-09-10T15:20:57.000Z</t>
  </si>
  <si>
    <t>2024-10-09T00:20:14.000Z</t>
  </si>
  <si>
    <t>d2792090-2415-46cc-aef2-825d7de78c7b</t>
  </si>
  <si>
    <t>2024-09-10T15:19:54.000Z</t>
  </si>
  <si>
    <t>2024-10-09T00:20:13.000Z</t>
  </si>
  <si>
    <t>390abb67-5008-47de-a9c4-f61098b21cea</t>
  </si>
  <si>
    <t>2024-09-10T15:17:38.000Z</t>
  </si>
  <si>
    <t>2024-10-09T00:20:11.000Z</t>
  </si>
  <si>
    <t>95d49c61-6769-4fc7-b44b-71e8f984cc88</t>
  </si>
  <si>
    <t>2024-09-10T15:14:55.000Z</t>
  </si>
  <si>
    <t>2024-10-09T00:20:10.000Z</t>
  </si>
  <si>
    <t>e2e5d973-d9ea-4c9b-b6ad-bfec97590841</t>
  </si>
  <si>
    <t>2024-09-10T14:26:04.000Z</t>
  </si>
  <si>
    <t>2024-10-09T00:20:05.000Z</t>
  </si>
  <si>
    <t>Solitario</t>
  </si>
  <si>
    <t>efe6de78-e0d9-440d-8b6e-49d0168e11cd</t>
  </si>
  <si>
    <t>2024-09-10T14:12:01.000Z</t>
  </si>
  <si>
    <t>2024-10-09T00:20:03.000Z</t>
  </si>
  <si>
    <t>9c9e8da4-7cca-4d4f-ad47-5a6c52b4e7f7</t>
  </si>
  <si>
    <t>2024-09-10T14:02:14.000Z</t>
  </si>
  <si>
    <t>2024-10-09T00:19:56.000Z</t>
  </si>
  <si>
    <t>04147b05-3efc-44b7-819e-212c23f7a21d</t>
  </si>
  <si>
    <t>2024-09-10T13:59:20.000Z</t>
  </si>
  <si>
    <t>2024-10-09T00:19:54.000Z</t>
  </si>
  <si>
    <t>c276fbcf-7029-47a4-a59a-422ef474f0b1</t>
  </si>
  <si>
    <t>2024-09-10T13:46:10.000Z</t>
  </si>
  <si>
    <t>2024-10-09T00:19:47.000Z</t>
  </si>
  <si>
    <t>a5d034c4-5fca-4ee3-bc6b-5203022a4d77</t>
  </si>
  <si>
    <t>2024-09-10T13:34:46.000Z</t>
  </si>
  <si>
    <t>2024-10-09T00:19:46.000Z</t>
  </si>
  <si>
    <t>4d607d51-cf0a-43b6-8bdb-a942206df68e</t>
  </si>
  <si>
    <t>2024-09-10T12:45:44.000Z</t>
  </si>
  <si>
    <t>2024-10-09T00:19:32.000Z</t>
  </si>
  <si>
    <t>ce13e9ff-72bb-4592-80af-2960b595e287</t>
  </si>
  <si>
    <t>2024-09-10T12:45:32.000Z</t>
  </si>
  <si>
    <t>2024-10-09T00:19:31.000Z</t>
  </si>
  <si>
    <t>5301a42d-c217-4ea3-93a4-c5a48b6c62a4</t>
  </si>
  <si>
    <t>2024-09-10T12:45:11.000Z</t>
  </si>
  <si>
    <t>2024-10-09T00:19:29.000Z</t>
  </si>
  <si>
    <t>f7ee9ea8-0bda-4391-a020-7b6720c35f89</t>
  </si>
  <si>
    <t>2024-09-10T12:44:58.000Z</t>
  </si>
  <si>
    <t>2024-10-09T00:19:27.000Z</t>
  </si>
  <si>
    <t>861d572a-33ff-4d07-a817-9b77d283eaf6</t>
  </si>
  <si>
    <t>2024-09-10T12:44:12.000Z</t>
  </si>
  <si>
    <t>2024-10-09T00:19:26.000Z</t>
  </si>
  <si>
    <t>1d0854e5-590b-4a5d-989a-cfbe6eeb5cd8</t>
  </si>
  <si>
    <t>2024-09-10T12:43:55.000Z</t>
  </si>
  <si>
    <t>2024-10-09T00:19:24.000Z</t>
  </si>
  <si>
    <t>7b569c7f-b692-4429-abf7-b7eca50329ce</t>
  </si>
  <si>
    <t>2024-09-10T12:43:11.000Z</t>
  </si>
  <si>
    <t>2024-10-09T00:19:22.000Z</t>
  </si>
  <si>
    <t>8ee685ee-d00a-4167-bb00-198ff1d6fabc</t>
  </si>
  <si>
    <t>2024-09-10T12:42:58.000Z</t>
  </si>
  <si>
    <t>2024-10-09T00:19:21.000Z</t>
  </si>
  <si>
    <t>7fde3d82-0a3e-4090-87e7-aefd015aa5d0</t>
  </si>
  <si>
    <t>2024-09-10T12:42:19.000Z</t>
  </si>
  <si>
    <t>2024-10-09T00:19:19.000Z</t>
  </si>
  <si>
    <t>Peciolo</t>
  </si>
  <si>
    <t>941e2021-7193-4d7f-8304-0d10dfe84a34</t>
  </si>
  <si>
    <t>2024-09-10T12:41:51.000Z</t>
  </si>
  <si>
    <t>2024-10-09T00:19:18.000Z</t>
  </si>
  <si>
    <t>8993a731-ff74-4496-ab24-25e318f5538f</t>
  </si>
  <si>
    <t>2024-09-10T12:40:42.000Z</t>
  </si>
  <si>
    <t>2024-10-09T00:19:16.000Z</t>
  </si>
  <si>
    <t>e82bd986-2cde-4ba4-aec2-dcce0aacfbcc</t>
  </si>
  <si>
    <t>2024-09-10T12:40:19.000Z</t>
  </si>
  <si>
    <t>2024-10-09T00:19:15.000Z</t>
  </si>
  <si>
    <t>cb1c0bf0-7b99-4956-9668-808b270c47b1</t>
  </si>
  <si>
    <t>2024-09-10T12:40:06.000Z</t>
  </si>
  <si>
    <t>2024-10-09T00:19:13.000Z</t>
  </si>
  <si>
    <t>a86fe390-f7c0-45eb-8437-1f20627b11f7</t>
  </si>
  <si>
    <t>2024-09-09T20:33:59.000Z</t>
  </si>
  <si>
    <t>2024-10-09T00:19:03.000Z</t>
  </si>
  <si>
    <t>89073233-1386-4a38-9d13-ebd9a16ee9a5</t>
  </si>
  <si>
    <t>2024-09-09T19:55:32.000Z</t>
  </si>
  <si>
    <t>2024-10-09T00:19:00.000Z</t>
  </si>
  <si>
    <t>71367c19-eef5-45b5-8440-4410c78e32be</t>
  </si>
  <si>
    <t>2024-09-09T19:55:19.000Z</t>
  </si>
  <si>
    <t>2024-10-09T00:18:58.000Z</t>
  </si>
  <si>
    <t>c5ebaac1-4e9f-4c90-86e5-fcf4a0708945</t>
  </si>
  <si>
    <t>2024-09-09T19:54:30.000Z</t>
  </si>
  <si>
    <t>2024-10-09T00:18:56.000Z</t>
  </si>
  <si>
    <t>f58aa473-3eb0-4acb-ba0e-9c0a8a12cc1a</t>
  </si>
  <si>
    <t>2024-09-09T19:54:15.000Z</t>
  </si>
  <si>
    <t>2024-10-09T00:18:55.000Z</t>
  </si>
  <si>
    <t>bb9aa468-8e89-4488-baf7-3ef8dbda4599</t>
  </si>
  <si>
    <t>2024-09-09T19:53:49.000Z</t>
  </si>
  <si>
    <t>2024-10-09T00:18:53.000Z</t>
  </si>
  <si>
    <t>c2632b26-cece-4db6-9e51-74288a0475f9</t>
  </si>
  <si>
    <t>2024-09-09T19:50:57.000Z</t>
  </si>
  <si>
    <t>2024-10-09T00:18:48.000Z</t>
  </si>
  <si>
    <t>b96ca57c-c870-4d90-ab8b-084812732bf0</t>
  </si>
  <si>
    <t>2024-09-09T19:50:44.000Z</t>
  </si>
  <si>
    <t>2024-10-09T00:18:46.000Z</t>
  </si>
  <si>
    <t>0c9b03b6-ed58-4671-a589-b27868f03647</t>
  </si>
  <si>
    <t>2024-09-09T19:49:43.000Z</t>
  </si>
  <si>
    <t>2024-10-09T00:18:44.000Z</t>
  </si>
  <si>
    <t>eec35ec9-7ce1-460a-915c-e9608d1ba005</t>
  </si>
  <si>
    <t>2024-09-09T19:48:58.000Z</t>
  </si>
  <si>
    <t>2024-10-09T00:18:41.000Z</t>
  </si>
  <si>
    <t>25308fb6-2afa-409a-a050-d9a57eba8d4d</t>
  </si>
  <si>
    <t>2024-09-09T19:47:42.000Z</t>
  </si>
  <si>
    <t>2024-10-09T00:18:40.000Z</t>
  </si>
  <si>
    <t>d3da2252-8691-413d-b1e8-48d4972d0338</t>
  </si>
  <si>
    <t>2024-09-09T19:47:22.000Z</t>
  </si>
  <si>
    <t>2024-10-09T00:18:38.000Z</t>
  </si>
  <si>
    <t>4bace3fb-9439-4869-a3d1-06e05216db1f</t>
  </si>
  <si>
    <t>2024-09-09T19:46:46.000Z</t>
  </si>
  <si>
    <t>2024-10-09T00:18:36.000Z</t>
  </si>
  <si>
    <t>d48e3e33-18db-43b3-9d1b-dd0051704760</t>
  </si>
  <si>
    <t>2024-09-09T19:46:15.000Z</t>
  </si>
  <si>
    <t>2024-10-09T00:18:35.000Z</t>
  </si>
  <si>
    <t>0d926240-a7d8-41f8-9a59-4218b9da7e93</t>
  </si>
  <si>
    <t>2024-09-09T19:44:46.000Z</t>
  </si>
  <si>
    <t>2024-10-09T00:18:33.000Z</t>
  </si>
  <si>
    <t>2e23e2d5-b9fe-4847-bf67-71aae248f664</t>
  </si>
  <si>
    <t>2024-09-09T17:53:48.000Z</t>
  </si>
  <si>
    <t>2024-10-09T00:18:22.000Z</t>
  </si>
  <si>
    <t>7992d636-b4d9-4bfa-9d93-84dff3b63415</t>
  </si>
  <si>
    <t>2024-09-09T17:35:34.000Z</t>
  </si>
  <si>
    <t>2024-10-09T00:18:21.000Z</t>
  </si>
  <si>
    <t>a12b5c15-9720-4ea3-be12-b078e426c7b0</t>
  </si>
  <si>
    <t>2024-09-09T17:11:08.000Z</t>
  </si>
  <si>
    <t>2024-10-09T00:18:16.000Z</t>
  </si>
  <si>
    <t>1a4d03d9-8c4d-47db-b6b4-7ad9b66c7f5e</t>
  </si>
  <si>
    <t>2024-09-09T17:10:15.000Z</t>
  </si>
  <si>
    <t>2024-10-09T00:18:17.000Z</t>
  </si>
  <si>
    <t>ff106142-3cd2-4016-8576-8a8ec0a9c64d</t>
  </si>
  <si>
    <t>2024-09-09T17:04:18.000Z</t>
  </si>
  <si>
    <t>2024-10-09T00:18:14.000Z</t>
  </si>
  <si>
    <t>2ead6253-6401-4761-b251-6481ed38cbe6</t>
  </si>
  <si>
    <t>2024-09-09T16:50:59.000Z</t>
  </si>
  <si>
    <t>2024-10-09T00:18:13.000Z</t>
  </si>
  <si>
    <t>403bbb5c-d78e-43fb-ad56-14e652f7bda6</t>
  </si>
  <si>
    <t>2024-09-09T16:44:23.000Z</t>
  </si>
  <si>
    <t>2024-10-09T00:18:11.000Z</t>
  </si>
  <si>
    <t>20c4235f-ca4d-48b9-bdf2-c400d5172c63</t>
  </si>
  <si>
    <t>2024-09-09T16:23:38.000Z</t>
  </si>
  <si>
    <t>2024-10-09T00:18:10.000Z</t>
  </si>
  <si>
    <t>8546f871-b3d7-4bf9-8ad6-446f69a1ae58</t>
  </si>
  <si>
    <t>2024-09-09T16:23:23.000Z</t>
  </si>
  <si>
    <t>2024-10-09T00:18:08.000Z</t>
  </si>
  <si>
    <t>bcd509aa-e6a0-48d6-ac6a-11ae9135c201</t>
  </si>
  <si>
    <t>2024-09-09T16:22:59.000Z</t>
  </si>
  <si>
    <t>2024-10-09T00:18:06.000Z</t>
  </si>
  <si>
    <t>bf6ebb7e-3a27-4d93-85f1-a1501eb3590b</t>
  </si>
  <si>
    <t>2024-09-09T16:22:38.000Z</t>
  </si>
  <si>
    <t>2024-10-09T00:18:04.000Z</t>
  </si>
  <si>
    <t>d5e87fa4-32dc-4ae1-af56-97b7220d8f35</t>
  </si>
  <si>
    <t>2024-09-09T16:22:26.000Z</t>
  </si>
  <si>
    <t>2024-10-09T00:18:03.000Z</t>
  </si>
  <si>
    <t>b45b0b3c-489c-442f-9114-ce7105f6eb69</t>
  </si>
  <si>
    <t>2024-09-09T16:22:09.000Z</t>
  </si>
  <si>
    <t>2024-10-09T00:18:01.000Z</t>
  </si>
  <si>
    <t>3b28cc3d-db3f-4f07-b4e5-7d91598f1611</t>
  </si>
  <si>
    <t>2024-09-09T16:21:55.000Z</t>
  </si>
  <si>
    <t>2024-10-09T00:18:00.000Z</t>
  </si>
  <si>
    <t>92d5f747-835b-44f5-bac4-fefac1b8bab3</t>
  </si>
  <si>
    <t>2024-09-09T16:21:42.000Z</t>
  </si>
  <si>
    <t>2024-10-09T00:17:57.000Z</t>
  </si>
  <si>
    <t>fd28736c-e5dc-4872-8015-2c007fa364bb</t>
  </si>
  <si>
    <t>2024-09-09T16:21:07.000Z</t>
  </si>
  <si>
    <t>2024-10-09T00:17:56.000Z</t>
  </si>
  <si>
    <t>b7f92b7f-86a7-44d2-b260-b3e0e6c69a9c</t>
  </si>
  <si>
    <t>2024-09-09T16:20:55.000Z</t>
  </si>
  <si>
    <t>2024-10-09T00:17:54.000Z</t>
  </si>
  <si>
    <t>02d1917d-1f91-445f-8f6a-f8dec4cf9ddf</t>
  </si>
  <si>
    <t>2024-09-09T16:20:33.000Z</t>
  </si>
  <si>
    <t>2024-10-09T00:17:52.000Z</t>
  </si>
  <si>
    <t>935d9497-debe-4c74-aaea-faba159905ab</t>
  </si>
  <si>
    <t>2024-09-09T16:19:13.000Z</t>
  </si>
  <si>
    <t>2024-10-09T00:17:51.000Z</t>
  </si>
  <si>
    <t>801f60f3-5e29-401c-8866-b80c63715807</t>
  </si>
  <si>
    <t>2024-09-09T16:18:57.000Z</t>
  </si>
  <si>
    <t>2024-10-09T00:17:49.000Z</t>
  </si>
  <si>
    <t>eba853be-fce2-4500-9381-81e0569d74c1</t>
  </si>
  <si>
    <t>2024-09-09T16:18:46.000Z</t>
  </si>
  <si>
    <t>2024-10-09T00:17:48.000Z</t>
  </si>
  <si>
    <t>29040731-ee69-4e23-9ed7-4f6fa98f5095</t>
  </si>
  <si>
    <t>2024-09-09T16:18:34.000Z</t>
  </si>
  <si>
    <t>2024-10-09T00:17:46.000Z</t>
  </si>
  <si>
    <t>803c66f8-a9e7-44af-a50f-5aceebadb5f7</t>
  </si>
  <si>
    <t>2024-09-06T18:12:03.000Z</t>
  </si>
  <si>
    <t>2024-10-09T00:45:00.000Z</t>
  </si>
  <si>
    <t>c76a8119-65b5-49d4-913a-2209195ddd4a</t>
  </si>
  <si>
    <t>2024-09-06T18:10:19.000Z</t>
  </si>
  <si>
    <t>2024-10-09T00:45:03.000Z</t>
  </si>
  <si>
    <t>507f52cc-6490-42f2-b841-e97523a3e7ed</t>
  </si>
  <si>
    <t>2024-09-06T18:09:15.000Z</t>
  </si>
  <si>
    <t>2024-10-09T00:44:59.000Z</t>
  </si>
  <si>
    <t>de2391fc-d8e7-4120-b5d2-d538e0f95b00</t>
  </si>
  <si>
    <t>2024-09-06T18:08:34.000Z</t>
  </si>
  <si>
    <t>2024-10-09T00:44:58.000Z</t>
  </si>
  <si>
    <t>883b8cc7-d7a7-477a-a97a-4f7a3da9155d</t>
  </si>
  <si>
    <t>2024-09-06T18:07:54.000Z</t>
  </si>
  <si>
    <t>2024-10-09T00:44:49.000Z</t>
  </si>
  <si>
    <t>19194b69-040e-4591-b277-cc7f05f0c8e6</t>
  </si>
  <si>
    <t>2024-09-06T18:06:58.000Z</t>
  </si>
  <si>
    <t>2024-10-09T00:44:47.000Z</t>
  </si>
  <si>
    <t>fd135468-ae29-4152-bae4-1bb64b9d3d3a</t>
  </si>
  <si>
    <t>2024-09-06T18:06:22.000Z</t>
  </si>
  <si>
    <t>2024-10-09T00:44:46.000Z</t>
  </si>
  <si>
    <t>13f32d3c-d833-44df-b80d-6e044eeadf18</t>
  </si>
  <si>
    <t>2024-09-06T18:03:39.000Z</t>
  </si>
  <si>
    <t>2024-10-09T00:44:44.000Z</t>
  </si>
  <si>
    <t>cc31cb8b-0d3c-4106-ab96-d672ea2f53f0</t>
  </si>
  <si>
    <t>2024-09-06T18:03:03.000Z</t>
  </si>
  <si>
    <t>2024-10-09T00:44:41.000Z</t>
  </si>
  <si>
    <t>f0d48aa4-1bb3-4f23-af95-11d450a14733</t>
  </si>
  <si>
    <t>2024-09-06T16:41:00.000Z</t>
  </si>
  <si>
    <t>2024-10-09T00:44:38.000Z</t>
  </si>
  <si>
    <t>53a51adb-20bb-4a72-a152-fb07d65b5ed4</t>
  </si>
  <si>
    <t>2024-09-06T16:39:32.000Z</t>
  </si>
  <si>
    <t>2024-10-09T00:44:37.000Z</t>
  </si>
  <si>
    <t>13a60a7d-72e8-4061-b57f-535553901bb4</t>
  </si>
  <si>
    <t>2024-09-06T16:38:58.000Z</t>
  </si>
  <si>
    <t>2024-10-09T00:44:34.000Z</t>
  </si>
  <si>
    <t>aa34c14d-4683-4f2c-8196-5450b9d31c07</t>
  </si>
  <si>
    <t>2024-09-06T16:38:25.000Z</t>
  </si>
  <si>
    <t>2024-10-09T00:44:32.000Z</t>
  </si>
  <si>
    <t>f590f277-ddbe-4e85-9fb1-8eb648cb79dd</t>
  </si>
  <si>
    <t>2024-09-06T16:28:24.000Z</t>
  </si>
  <si>
    <t>2024-10-09T00:44:31.000Z</t>
  </si>
  <si>
    <t>e4de6a42-ef05-45d5-9a1d-c9393a9afec8</t>
  </si>
  <si>
    <t>2024-09-06T16:26:10.000Z</t>
  </si>
  <si>
    <t>2024-10-09T00:44:30.000Z</t>
  </si>
  <si>
    <t>b6e13ced-22cc-4dfb-ad3d-151b605877e9</t>
  </si>
  <si>
    <t>2024-09-06T15:41:02.000Z</t>
  </si>
  <si>
    <t>2024-10-09T00:44:27.000Z</t>
  </si>
  <si>
    <t>15b4ab08-662c-45cd-beeb-d149ae5b393d</t>
  </si>
  <si>
    <t>2024-09-06T15:40:21.000Z</t>
  </si>
  <si>
    <t>2024-10-09T00:44:26.000Z</t>
  </si>
  <si>
    <t>29e430be-e534-4da0-bf92-4e918c78db67</t>
  </si>
  <si>
    <t>2024-09-06T15:26:53.000Z</t>
  </si>
  <si>
    <t>2024-10-09T00:44:23.000Z</t>
  </si>
  <si>
    <t>a39dc78d-199a-44e8-9eea-bb0233dc415a</t>
  </si>
  <si>
    <t>2024-09-06T15:25:40.000Z</t>
  </si>
  <si>
    <t>2024-10-09T00:44:20.000Z</t>
  </si>
  <si>
    <t>2bcc4d6b-1329-4278-9661-c94f56d134e5</t>
  </si>
  <si>
    <t>2024-09-06T15:23:24.000Z</t>
  </si>
  <si>
    <t>2024-10-09T00:44:19.000Z</t>
  </si>
  <si>
    <t>66cf2292-99e9-44d0-a990-96f5e58b521a</t>
  </si>
  <si>
    <t>2024-09-06T15:22:49.000Z</t>
  </si>
  <si>
    <t>2024-10-09T00:44:18.000Z</t>
  </si>
  <si>
    <t>d4eab7f3-4340-4806-83bd-9fd204e02a22</t>
  </si>
  <si>
    <t>2024-09-06T15:22:11.000Z</t>
  </si>
  <si>
    <t>2024-10-09T00:44:16.000Z</t>
  </si>
  <si>
    <t>6cfb1964-f8c9-43cd-aba5-eea9851ee02f</t>
  </si>
  <si>
    <t>2024-09-06T15:21:34.000Z</t>
  </si>
  <si>
    <t>2024-10-09T00:44:14.000Z</t>
  </si>
  <si>
    <t>c58aa1a5-5742-46c8-9390-b51595264a22</t>
  </si>
  <si>
    <t>2024-09-06T14:26:59.000Z</t>
  </si>
  <si>
    <t>2024-10-09T00:44:11.000Z</t>
  </si>
  <si>
    <t>24b114ba-ebad-4604-95bf-dfa004c288ef</t>
  </si>
  <si>
    <t>2024-09-06T14:18:47.000Z</t>
  </si>
  <si>
    <t>2024-10-09T00:44:05.000Z</t>
  </si>
  <si>
    <t>35b688af-c2ca-40ee-a0c6-b45e0f0795a1</t>
  </si>
  <si>
    <t>2024-09-06T14:15:27.000Z</t>
  </si>
  <si>
    <t>2024-10-09T00:44:04.000Z</t>
  </si>
  <si>
    <t>ea8c138c-3051-4a44-964c-c7fe4ebce3ab</t>
  </si>
  <si>
    <t>2024-09-06T13:54:14.000Z</t>
  </si>
  <si>
    <t>2024-10-09T00:43:58.000Z</t>
  </si>
  <si>
    <t>ad8bd6e9-1b51-4460-9ee6-4eeded01a841</t>
  </si>
  <si>
    <t>2024-09-06T13:44:42.000Z</t>
  </si>
  <si>
    <t>2024-10-09T00:43:56.000Z</t>
  </si>
  <si>
    <t>3d5602f3-fe98-4134-9c18-8047345435f2</t>
  </si>
  <si>
    <t>2024-09-06T13:42:44.000Z</t>
  </si>
  <si>
    <t>2024-10-09T00:43:55.000Z</t>
  </si>
  <si>
    <t>af84c23c-26a9-45f3-8438-f1d544fe310e</t>
  </si>
  <si>
    <t>2024-09-06T13:24:59.000Z</t>
  </si>
  <si>
    <t>2024-10-09T00:43:52.000Z</t>
  </si>
  <si>
    <t>ad387d3e-466e-4311-9756-caf010caff7f</t>
  </si>
  <si>
    <t>2024-09-06T13:09:36.000Z</t>
  </si>
  <si>
    <t>2024-10-09T00:43:44.000Z</t>
  </si>
  <si>
    <t>d4aa8746-410c-46be-90a6-be3e6ee8627d</t>
  </si>
  <si>
    <t>2024-09-06T13:08:41.000Z</t>
  </si>
  <si>
    <t>2024-10-09T00:43:43.000Z</t>
  </si>
  <si>
    <t>08:00 Alto</t>
  </si>
  <si>
    <t>447d919e-1462-4274-b3d4-4fb9acd69dd8</t>
  </si>
  <si>
    <t>2024-09-06T12:56:42.000Z</t>
  </si>
  <si>
    <t>2024-10-09T00:43:36.000Z</t>
  </si>
  <si>
    <t>07:50 Alto</t>
  </si>
  <si>
    <t>d54ad82c-b2c8-4c8c-ba63-93fe690a18a1</t>
  </si>
  <si>
    <t>2024-09-06T12:53:50.000Z</t>
  </si>
  <si>
    <t>2024-10-09T00:43:39.000Z</t>
  </si>
  <si>
    <t>07:40 Alto</t>
  </si>
  <si>
    <t>729b1c58-6490-4b72-a9b6-395aab632bb7</t>
  </si>
  <si>
    <t>2024-09-06T12:52:18.000Z</t>
  </si>
  <si>
    <t>2024-10-09T00:43:35.000Z</t>
  </si>
  <si>
    <t>07:30 Alto</t>
  </si>
  <si>
    <t>095aaf6c-f93d-4aed-af9d-29b8a2dfd5cf</t>
  </si>
  <si>
    <t>2024-09-03T19:58:41.000Z</t>
  </si>
  <si>
    <t>2024-10-09T00:47:08.000Z</t>
  </si>
  <si>
    <t>8f003bf5-b5a3-4b79-ae09-418e126a3656</t>
  </si>
  <si>
    <t>2024-09-03T19:58:31.000Z</t>
  </si>
  <si>
    <t>2024-10-09T00:47:07.000Z</t>
  </si>
  <si>
    <t>e778aec5-6f14-4c09-9890-44e7aaa99a5d</t>
  </si>
  <si>
    <t>2024-09-03T19:58:18.000Z</t>
  </si>
  <si>
    <t>2024-10-09T00:47:05.000Z</t>
  </si>
  <si>
    <t>2242b402-e30e-4362-8078-52533cc77694</t>
  </si>
  <si>
    <t>2024-09-03T19:58:07.000Z</t>
  </si>
  <si>
    <t>2024-10-09T00:47:04.000Z</t>
  </si>
  <si>
    <t>125e41d1-9529-4a5a-b114-54b43d9b63bb</t>
  </si>
  <si>
    <t>2024-09-03T19:57:49.000Z</t>
  </si>
  <si>
    <t>2024-10-09T00:47:01.000Z</t>
  </si>
  <si>
    <t>ea14b8f9-58bf-4db5-8743-eb6ed100415e</t>
  </si>
  <si>
    <t>2024-09-03T19:57:37.000Z</t>
  </si>
  <si>
    <t>2024-10-09T00:46:59.000Z</t>
  </si>
  <si>
    <t>6e42fe8b-bcb7-4ad0-8149-6cce53def68b</t>
  </si>
  <si>
    <t>2024-09-03T19:57:26.000Z</t>
  </si>
  <si>
    <t>2024-10-09T00:46:58.000Z</t>
  </si>
  <si>
    <t>60dc2b65-0be4-433e-bc46-b8713508fd3f</t>
  </si>
  <si>
    <t>2024-09-03T19:57:15.000Z</t>
  </si>
  <si>
    <t>2024-10-09T00:46:56.000Z</t>
  </si>
  <si>
    <t>9dd582b7-56fb-4d21-a6e3-d06bf5fe87db</t>
  </si>
  <si>
    <t>2024-09-03T19:57:03.000Z</t>
  </si>
  <si>
    <t>2024-10-09T00:46:54.000Z</t>
  </si>
  <si>
    <t>e22a894e-3583-4137-94b6-8762745d2cd5</t>
  </si>
  <si>
    <t>2024-09-03T19:55:51.000Z</t>
  </si>
  <si>
    <t>2024-10-09T00:46:52.000Z</t>
  </si>
  <si>
    <t>c2819721-c356-4801-a53c-e3e201018a4f</t>
  </si>
  <si>
    <t>2024-09-03T19:55:35.000Z</t>
  </si>
  <si>
    <t>2024-10-09T00:46:51.000Z</t>
  </si>
  <si>
    <t>6272e829-6ec8-48d4-8fc0-8bdba5a358b0</t>
  </si>
  <si>
    <t>2024-09-03T19:55:14.000Z</t>
  </si>
  <si>
    <t>2024-10-09T00:46:49.000Z</t>
  </si>
  <si>
    <t>2bfb29b8-4b0d-4e0d-86bd-2f6c12117322</t>
  </si>
  <si>
    <t>2024-09-03T19:55:03.000Z</t>
  </si>
  <si>
    <t>2024-10-09T00:46:46.000Z</t>
  </si>
  <si>
    <t>0eac5c3f-90ba-4c6e-b767-323df1a41f4e</t>
  </si>
  <si>
    <t>2024-09-03T19:54:45.000Z</t>
  </si>
  <si>
    <t>2024-10-09T00:46:45.000Z</t>
  </si>
  <si>
    <t>94b20482-368a-409a-bc47-b99afece15f9</t>
  </si>
  <si>
    <t>2024-09-03T19:54:31.000Z</t>
  </si>
  <si>
    <t>2024-10-09T00:46:44.000Z</t>
  </si>
  <si>
    <t>182de697-e4ef-43d1-9caa-66926d06e309</t>
  </si>
  <si>
    <t>2024-09-03T19:54:10.000Z</t>
  </si>
  <si>
    <t>2024-10-09T00:46:42.000Z</t>
  </si>
  <si>
    <t>29c93cb1-728a-4d9b-a3ce-bbcb05521642</t>
  </si>
  <si>
    <t>2024-09-03T17:22:01.000Z</t>
  </si>
  <si>
    <t>2024-10-09T00:46:33.000Z</t>
  </si>
  <si>
    <t>057761ec-20f1-4ee9-94c3-7fdb72a80138</t>
  </si>
  <si>
    <t>2024-09-03T17:21:44.000Z</t>
  </si>
  <si>
    <t>2024-10-09T00:46:31.000Z</t>
  </si>
  <si>
    <t>5a79d761-714e-4e38-9a5b-6fb779b88ab6</t>
  </si>
  <si>
    <t>2024-09-03T17:21:32.000Z</t>
  </si>
  <si>
    <t>2024-10-09T00:46:30.000Z</t>
  </si>
  <si>
    <t>511999cb-3091-4fcf-8395-165b0f077479</t>
  </si>
  <si>
    <t>2024-09-03T17:21:14.000Z</t>
  </si>
  <si>
    <t>2024-10-09T00:46:28.000Z</t>
  </si>
  <si>
    <t>b0cc1050-a10f-46aa-b537-11296a5a55d7</t>
  </si>
  <si>
    <t>2024-09-03T17:20:47.000Z</t>
  </si>
  <si>
    <t>2024-10-09T00:46:26.000Z</t>
  </si>
  <si>
    <t>f2b7d382-0132-443b-8781-89eceecaebab</t>
  </si>
  <si>
    <t>2024-09-03T17:20:36.000Z</t>
  </si>
  <si>
    <t>2024-10-09T00:46:24.000Z</t>
  </si>
  <si>
    <t>c8e8538a-776c-4eab-b8ca-87aa2bdcd2b7</t>
  </si>
  <si>
    <t>2024-09-03T17:20:24.000Z</t>
  </si>
  <si>
    <t>2024-10-09T00:46:23.000Z</t>
  </si>
  <si>
    <t>c252797c-f6bd-4f96-af93-7a5a98e5f842</t>
  </si>
  <si>
    <t>2024-09-03T17:20:12.000Z</t>
  </si>
  <si>
    <t>2024-10-09T00:46:21.000Z</t>
  </si>
  <si>
    <t>8b5c43ac-aa39-4563-9851-83ae03861e4b</t>
  </si>
  <si>
    <t>2024-09-03T15:49:35.000Z</t>
  </si>
  <si>
    <t>2024-10-09T00:46:10.000Z</t>
  </si>
  <si>
    <t>10d2b56e-bc4c-4500-b56d-263f74745c27</t>
  </si>
  <si>
    <t>2024-09-03T15:49:25.000Z</t>
  </si>
  <si>
    <t>2024-10-09T00:46:09.000Z</t>
  </si>
  <si>
    <t>149f1eec-a1b6-4a42-abca-9d353bcf2946</t>
  </si>
  <si>
    <t>2024-09-03T15:49:10.000Z</t>
  </si>
  <si>
    <t>2024-10-09T00:46:08.000Z</t>
  </si>
  <si>
    <t>921fc616-1ae4-4b94-9eee-2fb3d4dccbba</t>
  </si>
  <si>
    <t>2024-09-03T15:48:49.000Z</t>
  </si>
  <si>
    <t>2024-10-09T00:46:05.000Z</t>
  </si>
  <si>
    <t>db9b7a03-fc8e-4091-8ba8-ea275c0bb91d</t>
  </si>
  <si>
    <t>2024-09-03T15:48:39.000Z</t>
  </si>
  <si>
    <t>2024-10-09T00:46:15.000Z</t>
  </si>
  <si>
    <t>10e5bb84-ba05-4c35-8a75-fccec3c871da</t>
  </si>
  <si>
    <t>2024-09-03T15:05:53.000Z</t>
  </si>
  <si>
    <t>2024-10-09T00:46:02.000Z</t>
  </si>
  <si>
    <t>f03c06a9-6b0a-41fb-b045-a7f58e51b897</t>
  </si>
  <si>
    <t>2024-09-03T15:03:15.000Z</t>
  </si>
  <si>
    <t>2024-10-09T00:45:57.000Z</t>
  </si>
  <si>
    <t>88d0806c-1d8e-48e2-8670-32ef87eabf18</t>
  </si>
  <si>
    <t>2024-09-03T15:01:01.000Z</t>
  </si>
  <si>
    <t>2024-10-09T00:45:56.000Z</t>
  </si>
  <si>
    <t>5f27e045-7c31-4b19-acf8-4539bb084cbe</t>
  </si>
  <si>
    <t>2024-09-03T15:00:22.000Z</t>
  </si>
  <si>
    <t>2024-10-09T00:45:54.000Z</t>
  </si>
  <si>
    <t>51372138-5fce-4891-983e-4eca39a26fa3</t>
  </si>
  <si>
    <t>2024-09-03T15:00:04.000Z</t>
  </si>
  <si>
    <t>2024-10-09T00:45:53.000Z</t>
  </si>
  <si>
    <t>d5e1f644-ede1-4523-a598-d60f458f782f</t>
  </si>
  <si>
    <t>2024-09-03T14:59:38.000Z</t>
  </si>
  <si>
    <t>2024-10-09T00:45:50.000Z</t>
  </si>
  <si>
    <t>555714d1-2857-42c3-9865-54937efbe0ac</t>
  </si>
  <si>
    <t>2024-09-03T14:03:45.000Z</t>
  </si>
  <si>
    <t>2024-10-09T00:45:47.000Z</t>
  </si>
  <si>
    <t>d2391e69-f35e-471e-8cbe-3b66739c4e19</t>
  </si>
  <si>
    <t>2024-09-03T14:03:35.000Z</t>
  </si>
  <si>
    <t>2024-10-09T00:45:46.000Z</t>
  </si>
  <si>
    <t>3dc33370-80cf-45b0-8095-ae8af903f150</t>
  </si>
  <si>
    <t>2024-09-03T14:03:22.000Z</t>
  </si>
  <si>
    <t>2024-10-09T00:45:43.000Z</t>
  </si>
  <si>
    <t>0346c470-3c46-40b6-afd6-448d43235ca8</t>
  </si>
  <si>
    <t>2024-09-03T13:31:47.000Z</t>
  </si>
  <si>
    <t>2024-10-09T00:45:36.000Z</t>
  </si>
  <si>
    <t>e893424f-22ec-4edb-b851-6d0881e43ef2</t>
  </si>
  <si>
    <t>2024-09-03T13:30:45.000Z</t>
  </si>
  <si>
    <t>2024-10-09T00:45:34.000Z</t>
  </si>
  <si>
    <t>8de08184-1c9a-40ab-9857-a62c6fadfca0</t>
  </si>
  <si>
    <t>2024-09-03T13:29:33.000Z</t>
  </si>
  <si>
    <t>2024-10-09T00:45:33.000Z</t>
  </si>
  <si>
    <t>67b5de45-ddd7-40e6-a0c4-07995097fd3c</t>
  </si>
  <si>
    <t>2024-09-03T12:37:46.000Z</t>
  </si>
  <si>
    <t>2024-10-09T00:16:16.000Z</t>
  </si>
  <si>
    <t>17:40 Alto</t>
  </si>
  <si>
    <t>25e88e15-5797-4991-8cbc-f6fc00c5467d</t>
  </si>
  <si>
    <t>2024-09-03T12:37:26.000Z</t>
  </si>
  <si>
    <t>2024-10-09T00:16:15.000Z</t>
  </si>
  <si>
    <t>a2bb7693-f337-49da-a685-765fda0e7341</t>
  </si>
  <si>
    <t>2024-09-03T12:36:30.000Z</t>
  </si>
  <si>
    <t>2024-10-09T00:16:13.000Z</t>
  </si>
  <si>
    <t>db54501c-9979-4ee4-aebd-70f5148fa821</t>
  </si>
  <si>
    <t>2024-09-03T12:36:10.000Z</t>
  </si>
  <si>
    <t>2024-10-09T00:16:11.000Z</t>
  </si>
  <si>
    <t>17:10 Suelo</t>
  </si>
  <si>
    <t>Suelo</t>
  </si>
  <si>
    <t>2383907c-28aa-4717-9fdd-ab84128806ad</t>
  </si>
  <si>
    <t>2024-09-03T12:34:42.000Z</t>
  </si>
  <si>
    <t>2024-10-09T00:16:10.000Z</t>
  </si>
  <si>
    <t>61826d71-0829-4d68-8591-a4413933a3e8</t>
  </si>
  <si>
    <t>2024-09-03T12:34:10.000Z</t>
  </si>
  <si>
    <t>2024-10-09T00:16:08.000Z</t>
  </si>
  <si>
    <t>4259a597-be8a-4e1e-a921-20fbf6b5b182</t>
  </si>
  <si>
    <t>2024-09-03T12:33:41.000Z</t>
  </si>
  <si>
    <t>2024-10-09T00:16:07.000Z</t>
  </si>
  <si>
    <t>16:40 Medio</t>
  </si>
  <si>
    <t>Medio</t>
  </si>
  <si>
    <t>32646ee9-4afc-4c5b-b329-d99b453c0e88</t>
  </si>
  <si>
    <t>2024-09-03T12:33:27.000Z</t>
  </si>
  <si>
    <t>2024-10-09T00:16:04.000Z</t>
  </si>
  <si>
    <t>8ec1347e-41af-4874-a513-4ed628bc7205</t>
  </si>
  <si>
    <t>2024-09-03T12:32:55.000Z</t>
  </si>
  <si>
    <t>2024-10-09T00:16:02.000Z</t>
  </si>
  <si>
    <t>0019a5bf-e8fa-4c51-b68f-73453c40d768</t>
  </si>
  <si>
    <t>2024-09-03T12:32:42.000Z</t>
  </si>
  <si>
    <t>2024-10-09T00:16:01.000Z</t>
  </si>
  <si>
    <t>aafee19d-805d-43f9-b209-cdec19418db2</t>
  </si>
  <si>
    <t>2024-09-03T12:32:31.000Z</t>
  </si>
  <si>
    <t>2024-10-09T00:15:59.000Z</t>
  </si>
  <si>
    <t>Vista al observador</t>
  </si>
  <si>
    <t>afc7207f-b56e-4dd8-bca5-189938b0e6d7</t>
  </si>
  <si>
    <t>2024-09-03T12:32:19.000Z</t>
  </si>
  <si>
    <t>2024-10-09T00:15:57.000Z</t>
  </si>
  <si>
    <t>aa90e604-1471-49c4-83b0-830f59aecd1e</t>
  </si>
  <si>
    <t>2024-09-03T12:32:01.000Z</t>
  </si>
  <si>
    <t>2024-10-09T00:15:55.000Z</t>
  </si>
  <si>
    <t>cddea517-78f6-428a-b2c9-81c119686d0a</t>
  </si>
  <si>
    <t>2024-09-03T12:30:23.000Z</t>
  </si>
  <si>
    <t>2024-10-09T00:15:54.000Z</t>
  </si>
  <si>
    <t>14b2dbfd-eaa0-45e8-9585-6e8e06707814</t>
  </si>
  <si>
    <t>2024-09-03T12:29:54.000Z</t>
  </si>
  <si>
    <t>2024-10-09T00:15:52.000Z</t>
  </si>
  <si>
    <t>dcd446de-35cd-4fa1-b246-198c5f216e4c</t>
  </si>
  <si>
    <t>2024-09-03T12:29:42.000Z</t>
  </si>
  <si>
    <t>2024-10-09T00:15:50.000Z</t>
  </si>
  <si>
    <t>4bae7603-a1b7-4b90-a522-3cd1d3087104</t>
  </si>
  <si>
    <t>2024-09-03T12:29:30.000Z</t>
  </si>
  <si>
    <t>2024-10-09T00:15:48.000Z</t>
  </si>
  <si>
    <t>841a8cf2-a335-4d37-8cc3-b856131b8d1f</t>
  </si>
  <si>
    <t>2024-09-03T12:29:18.000Z</t>
  </si>
  <si>
    <t>2024-10-09T00:15:46.000Z</t>
  </si>
  <si>
    <t>720cb7b3-2e41-46d7-ad52-c632c1c75f92</t>
  </si>
  <si>
    <t>2024-09-03T12:29:02.000Z</t>
  </si>
  <si>
    <t>2024-10-09T00:15:45.000Z</t>
  </si>
  <si>
    <t>d4c28258-2168-4fa6-85b5-c26893241ae3</t>
  </si>
  <si>
    <t>2024-09-03T12:07:22.000Z</t>
  </si>
  <si>
    <t>2024-10-09T00:13:12.000Z</t>
  </si>
  <si>
    <t>c0278157-d368-42ce-891e-91b845d917d8</t>
  </si>
  <si>
    <t>2024-09-03T12:07:11.000Z</t>
  </si>
  <si>
    <t>2024-10-09T00:13:10.000Z</t>
  </si>
  <si>
    <t>453aac17-405c-4cb9-9a7f-a649bbcf07dc</t>
  </si>
  <si>
    <t>2024-09-03T12:07:02.000Z</t>
  </si>
  <si>
    <t>2024-10-09T00:13:08.000Z</t>
  </si>
  <si>
    <t>9af1f74c-cf83-4623-82ae-1ea868cd39e7</t>
  </si>
  <si>
    <t>2024-08-31T16:33:02.000Z</t>
  </si>
  <si>
    <t>2024-10-09T00:17:29.000Z</t>
  </si>
  <si>
    <t>4daa92ad-6539-41b5-a0fe-fd5b6e80c12b</t>
  </si>
  <si>
    <t>2024-08-31T16:32:49.000Z</t>
  </si>
  <si>
    <t>2024-10-09T00:17:28.000Z</t>
  </si>
  <si>
    <t>658458a9-01cc-4b3d-a91b-ceb891a3d17e</t>
  </si>
  <si>
    <t>2024-08-31T16:32:35.000Z</t>
  </si>
  <si>
    <t>2024-10-09T00:17:25.000Z</t>
  </si>
  <si>
    <t>8044f6b5-87e1-4085-9bd5-babe48723e42</t>
  </si>
  <si>
    <t>2024-08-31T16:32:19.000Z</t>
  </si>
  <si>
    <t>2024-10-09T00:17:24.000Z</t>
  </si>
  <si>
    <t>335ec9af-675d-47b4-9516-5e80e2c2e0a9</t>
  </si>
  <si>
    <t>2024-08-31T16:31:50.000Z</t>
  </si>
  <si>
    <t>2024-10-09T00:17:23.000Z</t>
  </si>
  <si>
    <t>772c4666-6191-4a62-a7aa-6e137c301257</t>
  </si>
  <si>
    <t>2024-08-31T16:31:38.000Z</t>
  </si>
  <si>
    <t>2024-10-09T00:17:21.000Z</t>
  </si>
  <si>
    <t>01398a43-4818-421f-a823-6358a6c68773</t>
  </si>
  <si>
    <t>2024-08-31T16:31:26.000Z</t>
  </si>
  <si>
    <t>2024-10-09T00:17:19.000Z</t>
  </si>
  <si>
    <t>2ab06178-646b-44da-8987-43696aea876f</t>
  </si>
  <si>
    <t>2024-08-31T16:31:12.000Z</t>
  </si>
  <si>
    <t>2024-10-09T00:17:18.000Z</t>
  </si>
  <si>
    <t>e43c0d3e-f995-44e1-8e6e-47735feea603</t>
  </si>
  <si>
    <t>2024-08-31T15:13:46.000Z</t>
  </si>
  <si>
    <t>2024-10-09T00:17:15.000Z</t>
  </si>
  <si>
    <t>fdc70116-ab03-450a-9842-b42953d217d8</t>
  </si>
  <si>
    <t>2024-08-31T15:13:34.000Z</t>
  </si>
  <si>
    <t>2024-10-09T00:17:13.000Z</t>
  </si>
  <si>
    <t>95aa5eb2-c8de-4262-aa48-d52c9bacfde7</t>
  </si>
  <si>
    <t>2024-08-31T15:13:23.000Z</t>
  </si>
  <si>
    <t>2024-10-09T00:17:11.000Z</t>
  </si>
  <si>
    <t>babb6d52-1507-47f4-b858-e374498917df</t>
  </si>
  <si>
    <t>2024-08-31T15:13:11.000Z</t>
  </si>
  <si>
    <t>2024-10-09T00:17:10.000Z</t>
  </si>
  <si>
    <t>2ccc523e-1edc-477b-ac85-f8fde559b84d</t>
  </si>
  <si>
    <t>2024-08-31T15:12:58.000Z</t>
  </si>
  <si>
    <t>2024-10-09T00:17:08.000Z</t>
  </si>
  <si>
    <t>dfcefebc-6e07-450a-b767-14c77928cd5e</t>
  </si>
  <si>
    <t>2024-08-31T14:25:11.000Z</t>
  </si>
  <si>
    <t>2024-10-09T00:17:02.000Z</t>
  </si>
  <si>
    <t>4b8cdae6-aa0d-43aa-b387-f1287bec8ad7</t>
  </si>
  <si>
    <t>2024-08-31T14:25:00.000Z</t>
  </si>
  <si>
    <t>2024-10-09T00:17:01.000Z</t>
  </si>
  <si>
    <t>60360132-02b9-410c-9073-2cbda8172c92</t>
  </si>
  <si>
    <t>2024-08-31T14:24:41.000Z</t>
  </si>
  <si>
    <t>2024-10-09T00:16:58.000Z</t>
  </si>
  <si>
    <t>09:00 Medio</t>
  </si>
  <si>
    <t>dccab0dc-2e7d-4387-bd06-22e3a773d234</t>
  </si>
  <si>
    <t>2024-08-31T13:50:16.000Z</t>
  </si>
  <si>
    <t>2024-10-09T00:16:55.000Z</t>
  </si>
  <si>
    <t>2b7fab16-a3d2-445d-ab6b-42e1eac66e09</t>
  </si>
  <si>
    <t>2024-08-31T13:43:05.000Z</t>
  </si>
  <si>
    <t>2024-10-09T00:16:53.000Z</t>
  </si>
  <si>
    <t>b3e36dfa-9436-4147-9488-518186561b10</t>
  </si>
  <si>
    <t>2024-08-31T13:34:11.000Z</t>
  </si>
  <si>
    <t>2024-10-09T00:16:51.000Z</t>
  </si>
  <si>
    <t>cacc546e-0671-448d-9b6d-83310f4f4ce8</t>
  </si>
  <si>
    <t>2024-08-31T13:22:53.000Z</t>
  </si>
  <si>
    <t>2024-10-09T00:16:47.000Z</t>
  </si>
  <si>
    <t>2305072f-f804-4a4d-ab5a-246878ac0d93</t>
  </si>
  <si>
    <t>2024-08-31T13:22:36.000Z</t>
  </si>
  <si>
    <t>2024-10-09T00:16:45.000Z</t>
  </si>
  <si>
    <t>9c1600fb-ccf5-4a4d-a22e-3df7854b1504</t>
  </si>
  <si>
    <t>2024-08-31T13:02:57.000Z</t>
  </si>
  <si>
    <t>2024-10-09T00:16:40.000Z</t>
  </si>
  <si>
    <t>e595357d-e9d7-4511-8256-0f827d3165c9</t>
  </si>
  <si>
    <t>2024-08-31T13:02:44.000Z</t>
  </si>
  <si>
    <t>2024-10-09T00:16:38.000Z</t>
  </si>
  <si>
    <t>b172723b-d4d8-4e17-a576-4be8240c4d04</t>
  </si>
  <si>
    <t>2024-08-31T13:02:33.000Z</t>
  </si>
  <si>
    <t>2024-10-09T00:16:36.000Z</t>
  </si>
  <si>
    <t>95fd0e6b-f784-4d7a-92c8-6231fa9cd40c</t>
  </si>
  <si>
    <t>2024-08-31T13:02:14.000Z</t>
  </si>
  <si>
    <t>2024-10-09T00:16:35.000Z</t>
  </si>
  <si>
    <t>1839b21c-a23b-4361-af84-a4af051f82ff</t>
  </si>
  <si>
    <t>2024-08-31T12:29:38.000Z</t>
  </si>
  <si>
    <t>2024-10-09T00:16:31.000Z</t>
  </si>
  <si>
    <t>07:20 Alto</t>
  </si>
  <si>
    <t>3d6eaf95-17a5-42b2-89c3-33bb4aff40bc</t>
  </si>
  <si>
    <t>2024-08-31T12:29:20.000Z</t>
  </si>
  <si>
    <t>2024-10-09T00:16:30.000Z</t>
  </si>
  <si>
    <t>07:10 Alto</t>
  </si>
  <si>
    <t>d2b7f1ea-a86f-4384-bdf7-697ea3cc5112</t>
  </si>
  <si>
    <t>2024-08-30T19:30:33.000Z</t>
  </si>
  <si>
    <t>2024-10-09T00:15:29.000Z</t>
  </si>
  <si>
    <t>ed827bbc-afc8-4777-a080-3462f6ee9c3b</t>
  </si>
  <si>
    <t>2024-08-30T19:30:21.000Z</t>
  </si>
  <si>
    <t>2024-10-09T00:15:27.000Z</t>
  </si>
  <si>
    <t>c0719a82-2832-4f6f-887a-162e54586977</t>
  </si>
  <si>
    <t>2024-08-30T19:30:07.000Z</t>
  </si>
  <si>
    <t>2024-10-09T00:15:26.000Z</t>
  </si>
  <si>
    <t>38f587a0-25c4-4778-bb02-e936fc02006a</t>
  </si>
  <si>
    <t>2024-08-30T19:19:17.000Z</t>
  </si>
  <si>
    <t>2024-10-09T00:15:20.000Z</t>
  </si>
  <si>
    <t>b3b0b980-8fd0-480a-a85e-dc7f844be31f</t>
  </si>
  <si>
    <t>2024-08-30T19:19:02.000Z</t>
  </si>
  <si>
    <t>2024-10-09T00:15:19.000Z</t>
  </si>
  <si>
    <t>8d818a5b-d10f-4511-8bdc-b4aea2b2edc6</t>
  </si>
  <si>
    <t>2024-08-30T19:18:47.000Z</t>
  </si>
  <si>
    <t>2024-10-09T00:15:17.000Z</t>
  </si>
  <si>
    <t>70dd074d-e785-4fe4-a082-7346ef319d49</t>
  </si>
  <si>
    <t>2024-08-30T19:18:27.000Z</t>
  </si>
  <si>
    <t>2024-10-09T00:15:15.000Z</t>
  </si>
  <si>
    <t>20cf844d-920a-4b28-81e4-3b088c2a44fb</t>
  </si>
  <si>
    <t>2024-08-30T19:18:16.000Z</t>
  </si>
  <si>
    <t>2024-10-09T00:15:14.000Z</t>
  </si>
  <si>
    <t>743454f6-dbf2-4a52-9c30-edf414ccb34a</t>
  </si>
  <si>
    <t>2024-08-30T19:17:59.000Z</t>
  </si>
  <si>
    <t>2024-10-09T00:15:12.000Z</t>
  </si>
  <si>
    <t>46464f88-550d-4814-af56-1628d138b0b0</t>
  </si>
  <si>
    <t>2024-08-30T19:17:46.000Z</t>
  </si>
  <si>
    <t>2024-10-09T00:15:10.000Z</t>
  </si>
  <si>
    <t>a38887b7-09bf-4f1e-bd70-23e440523769</t>
  </si>
  <si>
    <t>2024-08-30T19:17:35.000Z</t>
  </si>
  <si>
    <t>2024-10-09T00:15:08.000Z</t>
  </si>
  <si>
    <t>69ca4891-ca20-4caf-9024-ae5818951d3d</t>
  </si>
  <si>
    <t>2024-08-30T17:41:48.000Z</t>
  </si>
  <si>
    <t>2024-10-09T00:15:02.000Z</t>
  </si>
  <si>
    <t>a32cf84f-8bc5-45f2-aadc-18e3e86a5ebd</t>
  </si>
  <si>
    <t>2024-08-30T17:41:36.000Z</t>
  </si>
  <si>
    <t>2024-10-09T00:15:00.000Z</t>
  </si>
  <si>
    <t>b759de73-c619-485e-81e9-77168736e943</t>
  </si>
  <si>
    <t>2024-08-30T17:41:20.000Z</t>
  </si>
  <si>
    <t>2024-10-09T00:14:58.000Z</t>
  </si>
  <si>
    <t>eaadf3bb-b460-4b06-9476-b68879045abc</t>
  </si>
  <si>
    <t>2024-08-30T17:41:01.000Z</t>
  </si>
  <si>
    <t>2024-10-09T00:14:56.000Z</t>
  </si>
  <si>
    <t>ebf4983f-d6cb-4d33-b0ff-d766a92ced00</t>
  </si>
  <si>
    <t>2024-08-30T17:40:24.000Z</t>
  </si>
  <si>
    <t>2024-10-09T00:14:54.000Z</t>
  </si>
  <si>
    <t>562e323b-478b-41bb-b518-94a4b7254f65</t>
  </si>
  <si>
    <t>2024-08-30T17:40:13.000Z</t>
  </si>
  <si>
    <t>2024-10-09T00:14:52.000Z</t>
  </si>
  <si>
    <t>8749afa6-e627-41df-abad-84bbecf7bda1</t>
  </si>
  <si>
    <t>2024-08-30T17:39:36.000Z</t>
  </si>
  <si>
    <t>2024-10-09T00:14:50.000Z</t>
  </si>
  <si>
    <t>0d8e78e8-07e0-478b-a727-ca213857991a</t>
  </si>
  <si>
    <t>2024-08-30T17:39:16.000Z</t>
  </si>
  <si>
    <t>2024-10-09T00:14:48.000Z</t>
  </si>
  <si>
    <t>ccfdedbc-7194-47e4-a540-769eb8f17857</t>
  </si>
  <si>
    <t>2024-08-30T16:20:59.000Z</t>
  </si>
  <si>
    <t>2024-10-09T00:14:39.000Z</t>
  </si>
  <si>
    <t>4bb3ff3d-a057-4852-98ef-bef98734c6e0</t>
  </si>
  <si>
    <t>2024-08-30T16:20:48.000Z</t>
  </si>
  <si>
    <t>2024-10-09T00:14:36.000Z</t>
  </si>
  <si>
    <t>efa09e8b-e440-4995-985f-f6a1ecc46ad2</t>
  </si>
  <si>
    <t>2024-08-30T16:20:36.000Z</t>
  </si>
  <si>
    <t>2024-10-09T00:14:33.000Z</t>
  </si>
  <si>
    <t>d4d790f5-bba0-4ae5-bdc2-8b3eba1979b1</t>
  </si>
  <si>
    <t>2024-08-30T16:20:13.000Z</t>
  </si>
  <si>
    <t>2024-10-09T00:14:32.000Z</t>
  </si>
  <si>
    <t>68232293-e0df-4d70-afb7-efcf2f7073ae</t>
  </si>
  <si>
    <t>2024-08-30T15:40:05.000Z</t>
  </si>
  <si>
    <t>2024-10-09T00:14:19.000Z</t>
  </si>
  <si>
    <t>48bd09ac-bf12-4017-9299-d42e98a4602e</t>
  </si>
  <si>
    <t>2024-08-30T15:39:04.000Z</t>
  </si>
  <si>
    <t>2024-10-09T00:14:17.000Z</t>
  </si>
  <si>
    <t>6cb6bde8-e13d-469a-9754-436997876807</t>
  </si>
  <si>
    <t>2024-08-30T15:38:42.000Z</t>
  </si>
  <si>
    <t>2024-10-09T00:14:15.000Z</t>
  </si>
  <si>
    <t>2f47899a-fc7c-46cc-8323-35869424ab98</t>
  </si>
  <si>
    <t>2024-08-30T15:38:21.000Z</t>
  </si>
  <si>
    <t>2024-10-09T00:14:14.000Z</t>
  </si>
  <si>
    <t>6e451686-e995-4f31-9cf3-9ed99aab5299</t>
  </si>
  <si>
    <t>2024-08-30T15:37:28.000Z</t>
  </si>
  <si>
    <t>2024-10-09T00:14:12.000Z</t>
  </si>
  <si>
    <t>28d66d46-13a4-4836-be03-36006d1aac43</t>
  </si>
  <si>
    <t>2024-08-30T15:36:43.000Z</t>
  </si>
  <si>
    <t>2024-10-09T00:14:10.000Z</t>
  </si>
  <si>
    <t>6298b6dd-b538-41bc-a622-fc8337d242dc</t>
  </si>
  <si>
    <t>2024-08-30T15:36:25.000Z</t>
  </si>
  <si>
    <t>2024-10-09T00:14:08.000Z</t>
  </si>
  <si>
    <t>ff5f6467-8df3-49a3-b605-0b94fcdca070</t>
  </si>
  <si>
    <t>2024-08-30T15:36:00.000Z</t>
  </si>
  <si>
    <t>2024-10-09T00:14:07.000Z</t>
  </si>
  <si>
    <t>3bc6a8e7-fd3b-4d12-9262-c058befcc8c5</t>
  </si>
  <si>
    <t>2024-08-30T14:25:24.000Z</t>
  </si>
  <si>
    <t>2024-10-09T00:14:05.000Z</t>
  </si>
  <si>
    <t>fb145a33-35e1-48f0-841a-e70e3582cdda</t>
  </si>
  <si>
    <t>2024-08-30T14:25:07.000Z</t>
  </si>
  <si>
    <t>2024-10-09T00:14:03.000Z</t>
  </si>
  <si>
    <t>d9039bb7-a041-4aaf-b486-c4b33cbd0e85</t>
  </si>
  <si>
    <t>2024-08-30T14:24:41.000Z</t>
  </si>
  <si>
    <t>2024-10-09T00:14:01.000Z</t>
  </si>
  <si>
    <t>2245cc87-7246-45fb-bba8-4d9cd0b5c418</t>
  </si>
  <si>
    <t>2024-08-30T14:24:30.000Z</t>
  </si>
  <si>
    <t>2024-10-09T00:14:00.000Z</t>
  </si>
  <si>
    <t>0b950e95-c5ec-4cea-b8e3-85a1eef4c123</t>
  </si>
  <si>
    <t>2024-08-30T14:23:53.000Z</t>
  </si>
  <si>
    <t>2024-10-09T00:13:58.000Z</t>
  </si>
  <si>
    <t>8ad31374-66fc-44f4-a33b-3e69cce9fad1</t>
  </si>
  <si>
    <t>2024-08-30T14:23:29.000Z</t>
  </si>
  <si>
    <t>2024-10-09T00:13:56.000Z</t>
  </si>
  <si>
    <t>1c016cdc-4b99-44ba-a71e-67fdec737a5a</t>
  </si>
  <si>
    <t>2024-08-30T14:22:23.000Z</t>
  </si>
  <si>
    <t>2024-10-09T00:13:54.000Z</t>
  </si>
  <si>
    <t>8beff3f8-537f-4ffe-b137-c20d39a57373</t>
  </si>
  <si>
    <t>2024-08-30T14:22:12.000Z</t>
  </si>
  <si>
    <t>2024-10-09T00:13:52.000Z</t>
  </si>
  <si>
    <t>9ba278ab-dd43-49b7-81b1-599221bb59b9</t>
  </si>
  <si>
    <t>2024-08-30T14:21:58.000Z</t>
  </si>
  <si>
    <t>2024-10-09T00:13:51.000Z</t>
  </si>
  <si>
    <t>868e4865-4a7c-4e02-aa43-eeb4c103ec8b</t>
  </si>
  <si>
    <t>2024-08-30T14:21:36.000Z</t>
  </si>
  <si>
    <t>2024-10-09T00:13:48.000Z</t>
  </si>
  <si>
    <t>ef32c81f-4649-4042-8a7c-5a2644d1c51c</t>
  </si>
  <si>
    <t>2024-08-30T14:21:25.000Z</t>
  </si>
  <si>
    <t>2024-10-09T00:13:46.000Z</t>
  </si>
  <si>
    <t>8502a68c-529a-483a-8152-fad1c5699dd9</t>
  </si>
  <si>
    <t>2024-08-30T14:21:03.000Z</t>
  </si>
  <si>
    <t>2024-10-09T00:13:45.000Z</t>
  </si>
  <si>
    <t>ca5972fa-f406-4d2a-8844-ae7354051062</t>
  </si>
  <si>
    <t>2024-08-30T14:20:53.000Z</t>
  </si>
  <si>
    <t>2024-10-09T00:13:41.000Z</t>
  </si>
  <si>
    <t>39277835-a005-45cc-bf5e-c45916038f40</t>
  </si>
  <si>
    <t>2024-08-30T14:20:42.000Z</t>
  </si>
  <si>
    <t>2024-10-09T00:13:40.000Z</t>
  </si>
  <si>
    <t>07:15 Alto</t>
  </si>
  <si>
    <t>d1a3a918-1454-4c7a-aabc-2ed124c11f2f</t>
  </si>
  <si>
    <t>2024-08-28T16:49:47.000Z</t>
  </si>
  <si>
    <t>2024-10-09T00:13:06.000Z</t>
  </si>
  <si>
    <t>80265d22-b681-4f8c-b7b6-22c47943142d</t>
  </si>
  <si>
    <t>2024-08-28T16:49:36.000Z</t>
  </si>
  <si>
    <t>2024-10-09T00:13:05.000Z</t>
  </si>
  <si>
    <t>cc670cee-db73-4271-8ae1-92891cbd9785</t>
  </si>
  <si>
    <t>2024-08-28T16:49:18.000Z</t>
  </si>
  <si>
    <t>2024-10-09T00:13:01.000Z</t>
  </si>
  <si>
    <t>a1e59385-7944-4789-8060-122c584388fc</t>
  </si>
  <si>
    <t>2024-08-28T16:46:08.000Z</t>
  </si>
  <si>
    <t>2024-10-09T00:12:57.000Z</t>
  </si>
  <si>
    <t>0c202d0c-4e9e-437e-964d-f168503d6785</t>
  </si>
  <si>
    <t>2024-08-28T16:45:45.000Z</t>
  </si>
  <si>
    <t>2024-10-09T00:13:00.000Z</t>
  </si>
  <si>
    <t>49ece7ac-e1d6-40b2-893b-15e190dc2047</t>
  </si>
  <si>
    <t>2024-08-28T16:44:29.000Z</t>
  </si>
  <si>
    <t>2024-10-09T00:12:58.000Z</t>
  </si>
  <si>
    <t>2e47c782-178a-4316-9f45-c24ead38175b</t>
  </si>
  <si>
    <t>2024-08-28T16:44:16.000Z</t>
  </si>
  <si>
    <t>2024-10-09T00:12:53.000Z</t>
  </si>
  <si>
    <t>4cd6c5a9-bc44-493a-bc90-b5ea8bb47229</t>
  </si>
  <si>
    <t>2024-08-28T16:44:02.000Z</t>
  </si>
  <si>
    <t>2024-10-09T00:12:52.000Z</t>
  </si>
  <si>
    <t>11878854-6c96-47a7-9897-577283cbaf91</t>
  </si>
  <si>
    <t>2024-08-28T16:42:36.000Z</t>
  </si>
  <si>
    <t>2024-10-09T00:12:46.000Z</t>
  </si>
  <si>
    <t>5d334a48-386b-489b-967b-1327c7a231a6</t>
  </si>
  <si>
    <t>2024-08-28T16:42:12.000Z</t>
  </si>
  <si>
    <t>2024-10-09T00:12:44.000Z</t>
  </si>
  <si>
    <t>3f65d263-b20f-4cd0-8705-11c94a07c8d5</t>
  </si>
  <si>
    <t>2024-08-28T16:41:49.000Z</t>
  </si>
  <si>
    <t>2024-10-09T00:12:43.000Z</t>
  </si>
  <si>
    <t>73bb0a60-5a4a-49bf-8f78-512b56d69c23</t>
  </si>
  <si>
    <t>2024-08-28T16:40:12.000Z</t>
  </si>
  <si>
    <t>2024-10-09T00:12:41.000Z</t>
  </si>
  <si>
    <t>116f30bd-d936-434f-a9a0-2e5e5e06dcdf</t>
  </si>
  <si>
    <t>2024-08-28T16:39:20.000Z</t>
  </si>
  <si>
    <t>2024-10-09T00:12:39.000Z</t>
  </si>
  <si>
    <t>dbd137eb-1b57-42d5-826e-f72f94ed4e72</t>
  </si>
  <si>
    <t>2024-08-28T14:33:43.000Z</t>
  </si>
  <si>
    <t>2024-10-09T00:12:32.000Z</t>
  </si>
  <si>
    <t>2652339d-a59e-4b39-81f5-82e4cb308a8c</t>
  </si>
  <si>
    <t>2024-08-28T14:19:34.000Z</t>
  </si>
  <si>
    <t>2024-10-09T00:12:31.000Z</t>
  </si>
  <si>
    <t>827bbae2-173d-4bf2-a3f5-6fde7564bd5e</t>
  </si>
  <si>
    <t>2024-08-28T14:18:28.000Z</t>
  </si>
  <si>
    <t>2024-10-09T00:12:29.000Z</t>
  </si>
  <si>
    <t>db2a6d8a-943f-4598-bccc-b9e5e3e205e8</t>
  </si>
  <si>
    <t>2024-08-28T14:17:46.000Z</t>
  </si>
  <si>
    <t>2024-10-09T00:12:28.000Z</t>
  </si>
  <si>
    <t>f805cb84-65a3-4803-912e-348ae67db172</t>
  </si>
  <si>
    <t>2024-08-28T14:17:09.000Z</t>
  </si>
  <si>
    <t>2024-10-09T00:12:25.000Z</t>
  </si>
  <si>
    <t>3755f462-b214-41bd-aecd-5a4e390b143b</t>
  </si>
  <si>
    <t>2024-08-28T14:16:57.000Z</t>
  </si>
  <si>
    <t>2024-10-09T00:12:24.000Z</t>
  </si>
  <si>
    <t>196a30f2-8c33-48c0-a006-8bfb023b29cf</t>
  </si>
  <si>
    <t>2024-08-28T14:16:45.000Z</t>
  </si>
  <si>
    <t>2024-10-09T00:12:23.000Z</t>
  </si>
  <si>
    <t>b7466f98-4a43-404c-ab96-8b35767a188d</t>
  </si>
  <si>
    <t>2024-08-28T14:14:48.000Z</t>
  </si>
  <si>
    <t>2024-10-09T00:12:19.000Z</t>
  </si>
  <si>
    <t>11da95b8-5ddc-491a-bd30-31bc3c806ad2</t>
  </si>
  <si>
    <t>2024-08-28T14:14:35.000Z</t>
  </si>
  <si>
    <t>2024-10-09T00:12:17.000Z</t>
  </si>
  <si>
    <t>ebe4f819-0bc8-44c3-a281-d985af8a0850</t>
  </si>
  <si>
    <t>2024-08-28T13:44:01.000Z</t>
  </si>
  <si>
    <t>2024-10-09T00:12:16.000Z</t>
  </si>
  <si>
    <t>690884cd-b37a-4391-b2ff-c09dfc91b870</t>
  </si>
  <si>
    <t>2024-08-28T13:43:38.000Z</t>
  </si>
  <si>
    <t>2024-10-09T00:12:14.000Z</t>
  </si>
  <si>
    <t>b2dd3d4a-2f3d-42d0-a7fa-5d45d93c35f5</t>
  </si>
  <si>
    <t>2024-08-28T13:43:21.000Z</t>
  </si>
  <si>
    <t>2024-10-09T00:12:12.000Z</t>
  </si>
  <si>
    <t>3e8ccdf6-4386-403e-beeb-e98efd2ba6e6</t>
  </si>
  <si>
    <t>2024-08-28T13:41:56.000Z</t>
  </si>
  <si>
    <t>2024-10-09T00:12:09.000Z</t>
  </si>
  <si>
    <t>ad1ef796-66fe-445f-b5ef-d4b55ff8a250</t>
  </si>
  <si>
    <t>2024-08-28T13:41:40.000Z</t>
  </si>
  <si>
    <t>2024-10-09T00:12:11.000Z</t>
  </si>
  <si>
    <t>c473c6cd-5ec3-40a2-9797-5b3eca373e6a</t>
  </si>
  <si>
    <t>2024-08-28T13:41:28.000Z</t>
  </si>
  <si>
    <t>2024-10-09T00:12:08.000Z</t>
  </si>
  <si>
    <t>861ca88a-a1b7-453b-be15-a548e7aa464f</t>
  </si>
  <si>
    <t>2024-08-28T12:35:54.000Z</t>
  </si>
  <si>
    <t>2024-10-09T00:11:55.000Z</t>
  </si>
  <si>
    <t>aa7b4ce8-19fa-44f6-a6b6-accc067b3a4c</t>
  </si>
  <si>
    <t>2024-08-28T12:34:54.000Z</t>
  </si>
  <si>
    <t>2024-10-09T00:11:52.000Z</t>
  </si>
  <si>
    <t>d45dc567-c26b-4abf-9940-0097bea35880</t>
  </si>
  <si>
    <t>2024-08-28T12:33:53.000Z</t>
  </si>
  <si>
    <t>2024-10-09T00:11:51.000Z</t>
  </si>
  <si>
    <t>f3388dad-a66a-406b-9948-c1a791c431ae</t>
  </si>
  <si>
    <t>2024-08-28T12:31:09.000Z</t>
  </si>
  <si>
    <t>2024-10-09T00:11:50.000Z</t>
  </si>
  <si>
    <t>8ec5c1a2-81b2-4526-84c0-9db8c792eee3</t>
  </si>
  <si>
    <t>2024-08-28T12:30:21.000Z</t>
  </si>
  <si>
    <t>2024-10-09T00:11:48.000Z</t>
  </si>
  <si>
    <t>a2ca354b-b3d5-418f-a967-170d48ce4137</t>
  </si>
  <si>
    <t>2024-08-28T12:28:17.000Z</t>
  </si>
  <si>
    <t>2024-10-09T00:11:46.000Z</t>
  </si>
  <si>
    <t>68a75c0d-c474-489f-8b0b-0da3eed91b78</t>
  </si>
  <si>
    <t>2024-08-28T12:27:38.000Z</t>
  </si>
  <si>
    <t>2024-10-09T00:11:44.000Z</t>
  </si>
  <si>
    <t>b2db239f-a5e8-4364-8ac4-83da072679b3</t>
  </si>
  <si>
    <t>2024-08-28T12:25:37.000Z</t>
  </si>
  <si>
    <t>2024-10-09T00:11:43.000Z</t>
  </si>
  <si>
    <t>7320cd2c-86c4-42fa-9516-70d44cf1304c</t>
  </si>
  <si>
    <t>2024-08-28T12:23:46.000Z</t>
  </si>
  <si>
    <t>2024-10-09T00:11:41.000Z</t>
  </si>
  <si>
    <t>b0b89cf3-224b-4d04-8186-d296262d10e2</t>
  </si>
  <si>
    <t>2024-08-28T12:16:41.000Z</t>
  </si>
  <si>
    <t>2024-10-09T00:11:39.000Z</t>
  </si>
  <si>
    <t>17c4c060-d3aa-42fc-95e1-a7c8e4aad61d</t>
  </si>
  <si>
    <t>2024-08-28T12:15:46.000Z</t>
  </si>
  <si>
    <t>2024-10-09T00:11:38.000Z</t>
  </si>
  <si>
    <t>4822109e-3081-4d96-a1c0-5155b4e04151</t>
  </si>
  <si>
    <t>2024-08-28T12:14:58.000Z</t>
  </si>
  <si>
    <t>2024-10-09T00:11:36.000Z</t>
  </si>
  <si>
    <t>78dce8ab-3c0a-41ee-90b4-ea3ae742cb95</t>
  </si>
  <si>
    <t>2024-08-28T12:14:01.000Z</t>
  </si>
  <si>
    <t>2024-10-09T00:11:35.000Z</t>
  </si>
  <si>
    <t>7dbc4d7e-d788-4bb5-8d9e-6a6a3d675c81</t>
  </si>
  <si>
    <t>2024-08-28T12:13:02.000Z</t>
  </si>
  <si>
    <t>2024-10-09T00:11:32.000Z</t>
  </si>
  <si>
    <t>c75308e8-370c-4538-95d7-87953b68fe00</t>
  </si>
  <si>
    <t>2024-08-28T12:10:35.000Z</t>
  </si>
  <si>
    <t>2024-10-09T00:11:31.000Z</t>
  </si>
  <si>
    <t>fb91d898-32e2-4f08-aaba-a71870ace1fb</t>
  </si>
  <si>
    <t>2024-08-28T12:09:45.000Z</t>
  </si>
  <si>
    <t>2024-10-09T00:11:29.000Z</t>
  </si>
  <si>
    <t>bbf8da35-993f-4775-8985-fc8cae1b4c11</t>
  </si>
  <si>
    <t>2024-08-28T12:08:22.000Z</t>
  </si>
  <si>
    <t>2024-10-09T00:11:28.000Z</t>
  </si>
  <si>
    <t>17009d57-cd42-4816-b751-3c149b33dd8f</t>
  </si>
  <si>
    <t>2024-08-28T12:06:33.000Z</t>
  </si>
  <si>
    <t>2024-10-09T00:11:25.000Z</t>
  </si>
  <si>
    <t>7f9d5ed3-b624-4a3b-86ef-d64fbc821565</t>
  </si>
  <si>
    <t>2024-08-28T12:04:44.000Z</t>
  </si>
  <si>
    <t>2024-10-09T00:11:24.000Z</t>
  </si>
  <si>
    <t>2adcace8-7713-4ac3-b28e-54135c78f16a</t>
  </si>
  <si>
    <t>2024-08-28T12:03:59.000Z</t>
  </si>
  <si>
    <t>2024-10-09T00:11:22.000Z</t>
  </si>
  <si>
    <t>9490147c-449f-43fe-947a-e46bc9b62a09</t>
  </si>
  <si>
    <t>2024-08-28T12:02:20.000Z</t>
  </si>
  <si>
    <t>2024-10-09T00:11:21.000Z</t>
  </si>
  <si>
    <t>59f7c13a-b94a-451a-b548-52309fb44e30</t>
  </si>
  <si>
    <t>2024-08-28T12:01:06.000Z</t>
  </si>
  <si>
    <t>2024-10-09T00:11:19.000Z</t>
  </si>
  <si>
    <t>da283a83-3bdf-4a6b-b692-c456c3986ceb</t>
  </si>
  <si>
    <t>2024-08-28T12:00:27.000Z</t>
  </si>
  <si>
    <t>2024-10-09T00:11:17.000Z</t>
  </si>
  <si>
    <t>99a04a39-0999-4773-858c-e18adb0d3fd8</t>
  </si>
  <si>
    <t>2024-08-28T11:59:46.000Z</t>
  </si>
  <si>
    <t>2024-10-09T00:11:15.000Z</t>
  </si>
  <si>
    <t>cfa45b88-206e-4268-9ef1-2bce70b3ac1e</t>
  </si>
  <si>
    <t>2024-08-27T21:32:16.000Z</t>
  </si>
  <si>
    <t>2024-10-09T00:09:22.000Z</t>
  </si>
  <si>
    <t>4c4431cf-cb31-44a4-a765-fbd5b1d82fa6</t>
  </si>
  <si>
    <t>2024-08-27T21:31:14.000Z</t>
  </si>
  <si>
    <t>2024-10-09T00:09:18.000Z</t>
  </si>
  <si>
    <t>25cd6b00-1995-49d8-81e4-72cf341ec29f</t>
  </si>
  <si>
    <t>2024-08-27T21:28:35.000Z</t>
  </si>
  <si>
    <t>2024-10-09T00:09:16.000Z</t>
  </si>
  <si>
    <t>25f0b24c-1b8c-4cc9-b17b-ef674e91d4bd</t>
  </si>
  <si>
    <t>2024-08-27T21:20:41.000Z</t>
  </si>
  <si>
    <t>2024-10-09T00:09:15.000Z</t>
  </si>
  <si>
    <t>8a173fda-8cf9-4cd5-accf-b65a32b5e5ee</t>
  </si>
  <si>
    <t>2024-08-27T18:30:15.000Z</t>
  </si>
  <si>
    <t>2024-10-09T00:11:11.000Z</t>
  </si>
  <si>
    <t>714bb233-43ad-4aaf-a6a4-99f6080b7f27</t>
  </si>
  <si>
    <t>2024-08-27T18:27:57.000Z</t>
  </si>
  <si>
    <t>2024-10-09T00:11:08.000Z</t>
  </si>
  <si>
    <t>c449d853-7087-44c1-86d8-6cdce1a8843f</t>
  </si>
  <si>
    <t>2024-08-27T18:26:29.000Z</t>
  </si>
  <si>
    <t>2024-10-09T00:11:06.000Z</t>
  </si>
  <si>
    <t>262a5884-0b06-492d-8a3d-787e3c06d69e</t>
  </si>
  <si>
    <t>2024-08-27T18:25:19.000Z</t>
  </si>
  <si>
    <t>2024-10-09T00:11:03.000Z</t>
  </si>
  <si>
    <t>9b726449-65ca-4bce-928e-d3e9509c7cab</t>
  </si>
  <si>
    <t>2024-08-27T18:24:43.000Z</t>
  </si>
  <si>
    <t>2024-10-09T00:11:02.000Z</t>
  </si>
  <si>
    <t>c22634f8-4768-4e35-99e6-f1a6bf1c88d8</t>
  </si>
  <si>
    <t>2024-08-27T18:22:29.000Z</t>
  </si>
  <si>
    <t>2024-10-09T00:10:56.000Z</t>
  </si>
  <si>
    <t>12:40 Medio</t>
  </si>
  <si>
    <t>f09b6379-8fbd-469e-ac27-649ed7deec31</t>
  </si>
  <si>
    <t>2024-08-27T18:21:58.000Z</t>
  </si>
  <si>
    <t>2024-10-09T00:10:54.000Z</t>
  </si>
  <si>
    <t>b8d1edbe-c710-4a68-bf99-3fd0a4215ee5</t>
  </si>
  <si>
    <t>2024-08-27T18:21:27.000Z</t>
  </si>
  <si>
    <t>2024-10-09T00:10:53.000Z</t>
  </si>
  <si>
    <t>12:20 Medio</t>
  </si>
  <si>
    <t>e2114145-a97e-4741-904a-21deff07af34</t>
  </si>
  <si>
    <t>2024-08-27T18:17:39.000Z</t>
  </si>
  <si>
    <t>2024-10-09T00:10:51.000Z</t>
  </si>
  <si>
    <t>12:10 Medio</t>
  </si>
  <si>
    <t>eb18913f-725e-4537-9338-49ec24b57662</t>
  </si>
  <si>
    <t>2024-08-27T18:17:00.000Z</t>
  </si>
  <si>
    <t>2024-10-09T00:10:49.000Z</t>
  </si>
  <si>
    <t>12:00 Medio</t>
  </si>
  <si>
    <t>f31e95f8-af08-4982-ad67-3dd8a6e09ada</t>
  </si>
  <si>
    <t>2024-08-27T16:56:31.000Z</t>
  </si>
  <si>
    <t>2024-10-09T00:10:40.000Z</t>
  </si>
  <si>
    <t>91ee1990-1cd7-456b-8fc7-a9fa1173e95a</t>
  </si>
  <si>
    <t>2024-08-27T16:55:45.000Z</t>
  </si>
  <si>
    <t>2024-10-09T00:10:39.000Z</t>
  </si>
  <si>
    <t>25352bc7-d4da-4cb3-8f13-7b746f7f7471</t>
  </si>
  <si>
    <t>2024-08-27T16:32:36.000Z</t>
  </si>
  <si>
    <t>2024-10-09T00:10:37.000Z</t>
  </si>
  <si>
    <t>U-ju</t>
  </si>
  <si>
    <t>Vocalización Uju</t>
  </si>
  <si>
    <t>63460fd7-af74-47bb-a3e8-4fee004a4dbe</t>
  </si>
  <si>
    <t>2024-08-27T16:32:07.000Z</t>
  </si>
  <si>
    <t>2024-10-09T00:10:35.000Z</t>
  </si>
  <si>
    <t>78cf25ba-9878-4007-bfb1-bc16116965c8</t>
  </si>
  <si>
    <t>2024-08-27T16:31:28.000Z</t>
  </si>
  <si>
    <t>2024-10-09T00:10:33.000Z</t>
  </si>
  <si>
    <t>11:10 Medio</t>
  </si>
  <si>
    <t>78e6943d-1c2f-4699-ac50-c7bb11402b95</t>
  </si>
  <si>
    <t>2024-08-27T16:29:23.000Z</t>
  </si>
  <si>
    <t>2024-10-09T00:10:28.000Z</t>
  </si>
  <si>
    <t>11:00 Bajo</t>
  </si>
  <si>
    <t>Bajo</t>
  </si>
  <si>
    <t>80373ce1-4153-4d7e-9779-b535b6a889d1</t>
  </si>
  <si>
    <t>2024-08-27T16:02:08.000Z</t>
  </si>
  <si>
    <t>2024-10-09T00:10:21.000Z</t>
  </si>
  <si>
    <t>08419676-54f4-445f-873d-1a6955572f17</t>
  </si>
  <si>
    <t>2024-08-27T15:50:31.000Z</t>
  </si>
  <si>
    <t>2024-10-09T00:10:31.000Z</t>
  </si>
  <si>
    <t>10:50 Bajo</t>
  </si>
  <si>
    <t>fb706b30-67c1-4378-a8e2-837dd6add322</t>
  </si>
  <si>
    <t>2024-08-27T15:40:59.000Z</t>
  </si>
  <si>
    <t>2024-10-09T00:10:18.000Z</t>
  </si>
  <si>
    <t>f9323196-7393-46a4-b52a-4844058ef589</t>
  </si>
  <si>
    <t>2024-08-27T15:40:05.000Z</t>
  </si>
  <si>
    <t>2024-10-09T00:10:17.000Z</t>
  </si>
  <si>
    <t>ebefb4bd-fa12-44e8-9327-496a0ffcacf1</t>
  </si>
  <si>
    <t>2024-08-27T15:39:29.000Z</t>
  </si>
  <si>
    <t>2024-10-09T00:10:14.000Z</t>
  </si>
  <si>
    <t>cd0e7411-d630-4593-b9de-24ee9f8eb5c9</t>
  </si>
  <si>
    <t>2024-08-27T15:38:55.000Z</t>
  </si>
  <si>
    <t>2024-10-09T00:10:12.000Z</t>
  </si>
  <si>
    <t>389eaf6d-b9e8-4fe2-86c6-0be3b593f820</t>
  </si>
  <si>
    <t>2024-08-27T15:00:35.000Z</t>
  </si>
  <si>
    <t>2024-10-09T00:10:07.000Z</t>
  </si>
  <si>
    <t>fcf07a16-cfbe-44a6-a7ed-595ab5648a5e</t>
  </si>
  <si>
    <t>2024-08-27T14:49:27.000Z</t>
  </si>
  <si>
    <t>2024-10-09T00:10:00.000Z</t>
  </si>
  <si>
    <t>a26ace95-3d29-4b1e-a545-55ea5abca7c5</t>
  </si>
  <si>
    <t>2024-08-27T14:48:59.000Z</t>
  </si>
  <si>
    <t>2024-10-09T00:09:58.000Z</t>
  </si>
  <si>
    <t>16c8f8b1-57e4-4b6e-8940-98008f566db8</t>
  </si>
  <si>
    <t>2024-08-27T14:46:32.000Z</t>
  </si>
  <si>
    <t>2024-10-09T00:09:57.000Z</t>
  </si>
  <si>
    <t>a7ed3325-325a-4ef1-8b84-5d649a8b44c4</t>
  </si>
  <si>
    <t>2024-08-27T14:24:44.000Z</t>
  </si>
  <si>
    <t>2024-10-09T00:09:53.000Z</t>
  </si>
  <si>
    <t>e4102409-271a-4a7a-9914-20caea7e8f49</t>
  </si>
  <si>
    <t>2024-08-27T14:23:55.000Z</t>
  </si>
  <si>
    <t>2024-10-09T00:09:52.000Z</t>
  </si>
  <si>
    <t>7e37d10a-424c-4aa2-9241-143fa5a845c0</t>
  </si>
  <si>
    <t>2024-08-27T14:01:44.000Z</t>
  </si>
  <si>
    <t>2024-10-09T00:09:50.000Z</t>
  </si>
  <si>
    <t>5831f9ce-9652-414a-9fe2-e09a915fbe4b</t>
  </si>
  <si>
    <t>2024-08-27T13:54:14.000Z</t>
  </si>
  <si>
    <t>2024-10-09T00:09:44.000Z</t>
  </si>
  <si>
    <t>7fd7c2f8-2e76-4508-a499-2305c03ebec6</t>
  </si>
  <si>
    <t>2024-08-27T13:52:23.000Z</t>
  </si>
  <si>
    <t>2024-10-09T00:09:42.000Z</t>
  </si>
  <si>
    <t>a5390f2d-b248-4f4f-9a6b-5ac43e39123e</t>
  </si>
  <si>
    <t>2024-08-27T13:40:52.000Z</t>
  </si>
  <si>
    <t>2024-10-09T00:09:40.000Z</t>
  </si>
  <si>
    <t>24733d5f-a54d-40e2-a8ab-e2f927b56a7a</t>
  </si>
  <si>
    <t>2024-08-27T13:39:20.000Z</t>
  </si>
  <si>
    <t>2024-10-09T00:09:38.000Z</t>
  </si>
  <si>
    <t>29b87958-6aad-4c33-aa74-3c83e4299e35</t>
  </si>
  <si>
    <t>2024-08-24T21:28:25.000Z</t>
  </si>
  <si>
    <t>2024-10-09T00:52:58.000Z</t>
  </si>
  <si>
    <t>ab7125ff-9ca6-47f8-bc44-f57a848b4182</t>
  </si>
  <si>
    <t>2024-08-24T21:27:41.000Z</t>
  </si>
  <si>
    <t>2024-10-09T00:52:57.000Z</t>
  </si>
  <si>
    <t>51f4c7ed-60c6-41bc-8618-d9634e1f096f</t>
  </si>
  <si>
    <t>2024-08-24T21:26:34.000Z</t>
  </si>
  <si>
    <t>2024-10-09T00:52:54.000Z</t>
  </si>
  <si>
    <t>16:00 Medio</t>
  </si>
  <si>
    <t>d092bfc4-0339-4213-9c16-1587d879c3be</t>
  </si>
  <si>
    <t>2024-08-24T21:24:16.000Z</t>
  </si>
  <si>
    <t>2024-10-09T00:52:51.000Z</t>
  </si>
  <si>
    <t>2a33f30d-6445-4929-937b-d0502ac63d5f</t>
  </si>
  <si>
    <t>2024-08-24T21:21:51.000Z</t>
  </si>
  <si>
    <t>2024-10-09T00:52:50.000Z</t>
  </si>
  <si>
    <t>74c5fa4d-c6ae-4e06-9597-e90f04052aca</t>
  </si>
  <si>
    <t>2024-08-24T21:20:27.000Z</t>
  </si>
  <si>
    <t>2024-10-09T00:52:44.000Z</t>
  </si>
  <si>
    <t>807ee97e-2311-40fc-9573-9f34d416d018</t>
  </si>
  <si>
    <t>2024-08-24T21:19:42.000Z</t>
  </si>
  <si>
    <t>2024-10-09T00:52:43.000Z</t>
  </si>
  <si>
    <t>cb1296bb-7730-4f05-b5f1-356aa4684fdc</t>
  </si>
  <si>
    <t>2024-08-24T21:18:58.000Z</t>
  </si>
  <si>
    <t>2024-10-09T00:52:39.000Z</t>
  </si>
  <si>
    <t>27f707e3-f319-4f51-88ee-a44ecdeacf1f</t>
  </si>
  <si>
    <t>2024-08-24T20:00:54.000Z</t>
  </si>
  <si>
    <t>2024-10-09T00:52:36.000Z</t>
  </si>
  <si>
    <t>481ba3e9-99d8-4d19-867f-114ed05ba6b7</t>
  </si>
  <si>
    <t>2024-08-24T20:00:03.000Z</t>
  </si>
  <si>
    <t>2024-10-09T00:52:34.000Z</t>
  </si>
  <si>
    <t>351d703a-2929-4101-9ed8-bed6c03c8c0f</t>
  </si>
  <si>
    <t>2024-08-24T19:50:23.000Z</t>
  </si>
  <si>
    <t>2024-10-09T00:52:29.000Z</t>
  </si>
  <si>
    <t>043f3ff3-c22f-4573-ae9b-38cbfe39b3d6</t>
  </si>
  <si>
    <t>2024-08-24T19:35:20.000Z</t>
  </si>
  <si>
    <t>2024-10-09T00:52:21.000Z</t>
  </si>
  <si>
    <t>23b4e70f-37d0-479e-a3cd-97f57c9991c6</t>
  </si>
  <si>
    <t>2024-08-24T19:26:24.000Z</t>
  </si>
  <si>
    <t>2024-10-09T00:52:19.000Z</t>
  </si>
  <si>
    <t>dbc645bb-2075-49d0-b0e9-b9904a5242ff</t>
  </si>
  <si>
    <t>2024-08-24T19:13:47.000Z</t>
  </si>
  <si>
    <t>2024-10-09T00:52:13.000Z</t>
  </si>
  <si>
    <t>41c3e5e8-65cc-4a57-95fd-0e2cb4ff0502</t>
  </si>
  <si>
    <t>2024-08-24T19:13:01.000Z</t>
  </si>
  <si>
    <t>2024-10-09T00:52:12.000Z</t>
  </si>
  <si>
    <t>600edaa8-91ea-4a94-9675-d347049be7fe</t>
  </si>
  <si>
    <t>2024-08-24T19:12:20.000Z</t>
  </si>
  <si>
    <t>2024-10-09T00:52:10.000Z</t>
  </si>
  <si>
    <t>31090e00-0f04-46eb-9699-9b17136698dd</t>
  </si>
  <si>
    <t>2024-08-24T18:53:32.000Z</t>
  </si>
  <si>
    <t>2024-10-09T00:52:04.000Z</t>
  </si>
  <si>
    <t>a633ba87-33d3-4acc-a3be-93a7d70d854c</t>
  </si>
  <si>
    <t>2024-08-24T18:52:49.000Z</t>
  </si>
  <si>
    <t>2024-10-09T00:52:03.000Z</t>
  </si>
  <si>
    <t>f4fe8489-d5de-45d1-a871-6f6e5a9b47eb</t>
  </si>
  <si>
    <t>2024-08-24T12:59:42.000Z</t>
  </si>
  <si>
    <t>2024-10-09T00:08:58.000Z</t>
  </si>
  <si>
    <t>17:50 Alto</t>
  </si>
  <si>
    <t>543631ce-730c-41dd-8111-25f214c4a824</t>
  </si>
  <si>
    <t>2024-08-24T12:58:19.000Z</t>
  </si>
  <si>
    <t>2024-10-09T00:08:57.000Z</t>
  </si>
  <si>
    <t>dcbfe7c9-c5d1-4913-a3c3-f8e5f7221e89</t>
  </si>
  <si>
    <t>2024-08-24T12:58:05.000Z</t>
  </si>
  <si>
    <t>2024-10-09T00:08:55.000Z</t>
  </si>
  <si>
    <t>2426d108-fe91-416b-bcf6-1cfc3dd3f0f5</t>
  </si>
  <si>
    <t>2024-08-24T12:54:18.000Z</t>
  </si>
  <si>
    <t>2024-10-09T00:08:54.000Z</t>
  </si>
  <si>
    <t>05e90095-1d0c-4370-a949-b6fb62a46ca1</t>
  </si>
  <si>
    <t>2024-08-24T12:53:37.000Z</t>
  </si>
  <si>
    <t>2024-10-09T00:08:52.000Z</t>
  </si>
  <si>
    <t>fc2b91c2-1418-4a9c-9ff6-a391d10b9f65</t>
  </si>
  <si>
    <t>2024-08-24T12:43:18.000Z</t>
  </si>
  <si>
    <t>2024-10-09T00:08:50.000Z</t>
  </si>
  <si>
    <t>0d7e6df6-1658-48f5-95d4-c42ae93c0c9c</t>
  </si>
  <si>
    <t>2024-08-24T12:42:24.000Z</t>
  </si>
  <si>
    <t>2024-10-09T00:08:49.000Z</t>
  </si>
  <si>
    <t>c29610d9-cce5-4cb4-a858-35f97df791f4</t>
  </si>
  <si>
    <t>2024-08-24T12:41:24.000Z</t>
  </si>
  <si>
    <t>2024-10-09T00:08:48.000Z</t>
  </si>
  <si>
    <t>e531382e-e027-44a7-aae6-d90267c39329</t>
  </si>
  <si>
    <t>2024-08-24T12:38:46.000Z</t>
  </si>
  <si>
    <t>2024-10-09T00:08:45.000Z</t>
  </si>
  <si>
    <t>e661eb10-fd86-434a-b7b3-1999c54c5887</t>
  </si>
  <si>
    <t>2024-08-24T12:38:02.000Z</t>
  </si>
  <si>
    <t>2024-10-09T00:08:44.000Z</t>
  </si>
  <si>
    <t>8ef64a0f-08e1-4e0b-a930-843ba8c65254</t>
  </si>
  <si>
    <t>2024-08-24T12:37:00.000Z</t>
  </si>
  <si>
    <t>2024-10-09T00:08:42.000Z</t>
  </si>
  <si>
    <t>ec313eef-e47d-4a6e-9197-9f07fd89ec4a</t>
  </si>
  <si>
    <t>2024-08-24T12:36:15.000Z</t>
  </si>
  <si>
    <t>2024-10-09T00:08:41.000Z</t>
  </si>
  <si>
    <t>dc6fffa0-1c12-43de-9eed-8ab554a8aeda</t>
  </si>
  <si>
    <t>2024-08-23T21:24:02.000Z</t>
  </si>
  <si>
    <t>2024-10-09T00:08:34.000Z</t>
  </si>
  <si>
    <t>6b8b6238-06ba-493e-8d29-0bd38799c9ba</t>
  </si>
  <si>
    <t>2024-08-23T20:44:01.000Z</t>
  </si>
  <si>
    <t>2024-10-09T00:08:30.000Z</t>
  </si>
  <si>
    <t>a23bd968-d04f-4664-8e5a-c032fafa82ac</t>
  </si>
  <si>
    <t>2024-08-23T20:43:15.000Z</t>
  </si>
  <si>
    <t>2024-10-09T00:08:29.000Z</t>
  </si>
  <si>
    <t>f1ca3a81-06e7-455a-9a7b-f720e7ef8597</t>
  </si>
  <si>
    <t>2024-08-23T20:43:00.000Z</t>
  </si>
  <si>
    <t>2024-10-09T00:08:27.000Z</t>
  </si>
  <si>
    <t>1363f18a-c1e0-44e5-8eac-fca7693147ab</t>
  </si>
  <si>
    <t>2024-08-23T20:42:40.000Z</t>
  </si>
  <si>
    <t>2024-10-09T00:08:25.000Z</t>
  </si>
  <si>
    <t>512b8620-35d3-4aaa-8d2c-0e4d8831ab98</t>
  </si>
  <si>
    <t>2024-08-23T20:42:25.000Z</t>
  </si>
  <si>
    <t>2024-10-09T00:08:23.000Z</t>
  </si>
  <si>
    <t>c20eee0e-d812-45fc-a2c0-28c4c282f208</t>
  </si>
  <si>
    <t>2024-08-23T20:41:57.000Z</t>
  </si>
  <si>
    <t>2024-10-09T00:08:22.000Z</t>
  </si>
  <si>
    <t>819aade5-8a68-4ff3-8b0b-fb6ae06cb604</t>
  </si>
  <si>
    <t>2024-08-23T20:36:57.000Z</t>
  </si>
  <si>
    <t>2024-10-09T00:08:20.000Z</t>
  </si>
  <si>
    <t>9b334e4d-7b31-48d1-a969-f541656b72e9</t>
  </si>
  <si>
    <t>2024-08-23T20:35:20.000Z</t>
  </si>
  <si>
    <t>2024-10-09T00:08:18.000Z</t>
  </si>
  <si>
    <t>b4c1ad11-9d8f-48d6-9c5c-13f0fc59c19b</t>
  </si>
  <si>
    <t>2024-08-23T20:34:30.000Z</t>
  </si>
  <si>
    <t>2024-10-09T00:08:17.000Z</t>
  </si>
  <si>
    <t>379e354c-e547-4661-8c0d-d36c9bf52846</t>
  </si>
  <si>
    <t>2024-08-23T20:33:49.000Z</t>
  </si>
  <si>
    <t>2024-10-09T00:08:15.000Z</t>
  </si>
  <si>
    <t>2916b094-084d-4d16-9cb2-edcd0ab1105e</t>
  </si>
  <si>
    <t>2024-08-23T20:23:40.000Z</t>
  </si>
  <si>
    <t>2024-10-09T00:08:13.000Z</t>
  </si>
  <si>
    <t>97939c4f-eb45-4ad2-b761-af62bc859baf</t>
  </si>
  <si>
    <t>2024-08-23T20:21:52.000Z</t>
  </si>
  <si>
    <t>2024-10-09T00:08:10.000Z</t>
  </si>
  <si>
    <t>31e46db8-42fe-4349-b829-98b6f124b123</t>
  </si>
  <si>
    <t>2024-08-23T20:21:12.000Z</t>
  </si>
  <si>
    <t>2024-10-09T00:08:08.000Z</t>
  </si>
  <si>
    <t>bc0e0f65-0fed-4f5b-9d97-377febad480c</t>
  </si>
  <si>
    <t>2024-08-23T20:19:12.000Z</t>
  </si>
  <si>
    <t>2024-10-09T00:08:07.000Z</t>
  </si>
  <si>
    <t>54d6e08b-e620-4214-94b0-4ea7d2a5f8d5</t>
  </si>
  <si>
    <t>2024-08-23T20:17:15.000Z</t>
  </si>
  <si>
    <t>2024-10-09T00:08:04.000Z</t>
  </si>
  <si>
    <t>202d166e-efe8-40f3-86b8-b9312dec294c</t>
  </si>
  <si>
    <t>2024-08-23T18:15:31.000Z</t>
  </si>
  <si>
    <t>2024-10-09T00:07:51.000Z</t>
  </si>
  <si>
    <t>624745cd-7cb1-4d39-a569-a4e2f64a5cdb</t>
  </si>
  <si>
    <t>2024-08-23T18:14:28.000Z</t>
  </si>
  <si>
    <t>2024-10-09T00:07:48.000Z</t>
  </si>
  <si>
    <t>f928199c-19b5-48e0-8fb2-e8610c29833b</t>
  </si>
  <si>
    <t>2024-08-23T18:13:32.000Z</t>
  </si>
  <si>
    <t>2024-10-09T00:07:47.000Z</t>
  </si>
  <si>
    <t>bf78a332-9ba8-4a0e-9ea6-32dbce1e161b</t>
  </si>
  <si>
    <t>2024-08-23T18:12:42.000Z</t>
  </si>
  <si>
    <t>2024-10-09T00:07:45.000Z</t>
  </si>
  <si>
    <t>77fbcd08-40ca-456a-86fb-1a6fff551628</t>
  </si>
  <si>
    <t>2024-08-23T18:10:54.000Z</t>
  </si>
  <si>
    <t>2024-10-09T00:07:43.000Z</t>
  </si>
  <si>
    <t>4dbccd8f-7bed-41bf-a378-1bf213b2ee57</t>
  </si>
  <si>
    <t>2024-08-23T18:09:47.000Z</t>
  </si>
  <si>
    <t>2024-10-09T00:07:42.000Z</t>
  </si>
  <si>
    <t>3a0cd590-294d-4ee0-9d73-dec10230b41b</t>
  </si>
  <si>
    <t>2024-08-23T18:07:11.000Z</t>
  </si>
  <si>
    <t>2024-10-09T00:07:40.000Z</t>
  </si>
  <si>
    <t>77f7263a-6796-47c4-b9ac-61d33d2686d2</t>
  </si>
  <si>
    <t>2024-08-23T17:56:44.000Z</t>
  </si>
  <si>
    <t>2024-10-09T00:07:37.000Z</t>
  </si>
  <si>
    <t>1a8105c4-9266-416e-a77b-8977b32562f4</t>
  </si>
  <si>
    <t>2024-08-23T15:41:29.000Z</t>
  </si>
  <si>
    <t>2024-10-09T00:07:21.000Z</t>
  </si>
  <si>
    <t>047911ff-c83d-473b-b187-7fed9bc9b193</t>
  </si>
  <si>
    <t>2024-08-23T15:40:29.000Z</t>
  </si>
  <si>
    <t>2024-10-09T00:07:20.000Z</t>
  </si>
  <si>
    <t>13d2a90a-9656-48d6-bf2c-ab199cb1396f</t>
  </si>
  <si>
    <t>2024-08-23T15:38:09.000Z</t>
  </si>
  <si>
    <t>2024-10-09T00:07:16.000Z</t>
  </si>
  <si>
    <t>86a1ef09-f409-492a-800d-c6e9ecd43f53</t>
  </si>
  <si>
    <t>2024-08-23T15:36:42.000Z</t>
  </si>
  <si>
    <t>2024-10-09T00:07:15.000Z</t>
  </si>
  <si>
    <t>34c518af-e8cd-41ff-84ce-4d128034dc1a</t>
  </si>
  <si>
    <t>2024-08-23T15:31:16.000Z</t>
  </si>
  <si>
    <t>2024-10-09T00:07:13.000Z</t>
  </si>
  <si>
    <t>edd37082-d8b1-4eeb-9454-f288dc612c3d</t>
  </si>
  <si>
    <t>2024-08-23T15:28:55.000Z</t>
  </si>
  <si>
    <t>2024-10-09T00:07:12.000Z</t>
  </si>
  <si>
    <t>Al. Hojas-Peciolo</t>
  </si>
  <si>
    <t>c93c1cc4-e829-4044-80da-67610036643f</t>
  </si>
  <si>
    <t>2024-08-23T15:27:53.000Z</t>
  </si>
  <si>
    <t>2024-10-09T00:07:09.000Z</t>
  </si>
  <si>
    <t>0456ee32-ed73-4e19-a7b9-08febb3fe128</t>
  </si>
  <si>
    <t>2024-08-23T15:27:08.000Z</t>
  </si>
  <si>
    <t>2024-10-09T00:07:08.000Z</t>
  </si>
  <si>
    <t>ddcc063f-ec2c-4675-aae8-9cd22989823e</t>
  </si>
  <si>
    <t>2024-08-23T15:25:20.000Z</t>
  </si>
  <si>
    <t>2024-10-09T00:07:06.000Z</t>
  </si>
  <si>
    <t>4a438b30-826d-4f4a-91bf-5e2ce2ca87d0</t>
  </si>
  <si>
    <t>2024-08-23T15:23:22.000Z</t>
  </si>
  <si>
    <t>2024-10-09T00:07:05.000Z</t>
  </si>
  <si>
    <t>5f1ffebe-6aed-48b1-861b-d51d7f0a2ae0</t>
  </si>
  <si>
    <t>2024-08-23T15:19:15.000Z</t>
  </si>
  <si>
    <t>2024-10-09T00:07:02.000Z</t>
  </si>
  <si>
    <t>0154cbef-dc71-48d2-be0b-bb4b6d255720</t>
  </si>
  <si>
    <t>2024-08-23T15:18:52.000Z</t>
  </si>
  <si>
    <t>2024-10-09T00:07:01.000Z</t>
  </si>
  <si>
    <t>9c832b6c-ed4d-4f29-ab93-bcabf344c1ad</t>
  </si>
  <si>
    <t>2024-08-22T20:54:06.000Z</t>
  </si>
  <si>
    <t>2024-10-09T00:06:52.000Z</t>
  </si>
  <si>
    <t>d5d32cb3-c398-4925-af06-3f42ed284bfc</t>
  </si>
  <si>
    <t>2024-08-22T20:52:59.000Z</t>
  </si>
  <si>
    <t>2024-10-09T00:06:51.000Z</t>
  </si>
  <si>
    <t>580af167-71b2-44f8-b922-d8280b7f7a15</t>
  </si>
  <si>
    <t>2024-08-22T20:51:42.000Z</t>
  </si>
  <si>
    <t>2024-10-09T00:06:49.000Z</t>
  </si>
  <si>
    <t>8497252b-6d04-4140-8e40-7cdf9e8cdde5</t>
  </si>
  <si>
    <t>2024-08-22T20:50:50.000Z</t>
  </si>
  <si>
    <t>2024-10-09T00:06:47.000Z</t>
  </si>
  <si>
    <t>7612404c-86b0-4870-b949-dab82919ef8f</t>
  </si>
  <si>
    <t>2024-08-22T20:17:22.000Z</t>
  </si>
  <si>
    <t>2024-10-09T00:06:44.000Z</t>
  </si>
  <si>
    <t>12b1563d-9123-47f8-a6ad-8e173c64c2aa</t>
  </si>
  <si>
    <t>2024-08-22T20:16:30.000Z</t>
  </si>
  <si>
    <t>2024-10-09T00:06:41.000Z</t>
  </si>
  <si>
    <t>5fed8a12-13c7-4fba-9677-a8bb656a7b62</t>
  </si>
  <si>
    <t>2024-08-22T20:15:45.000Z</t>
  </si>
  <si>
    <t>2024-10-09T00:06:40.000Z</t>
  </si>
  <si>
    <t>a70567fa-32b8-4441-9fdb-b3b093b418ec</t>
  </si>
  <si>
    <t>2024-08-22T19:46:03.000Z</t>
  </si>
  <si>
    <t>2024-10-09T00:06:38.000Z</t>
  </si>
  <si>
    <t>6f10e00f-ef87-49c6-a20d-80bfaee0e500</t>
  </si>
  <si>
    <t>2024-08-22T19:44:31.000Z</t>
  </si>
  <si>
    <t>2024-10-09T00:06:37.000Z</t>
  </si>
  <si>
    <t>67e20af5-c06b-4488-9c94-703cf8e2cff7</t>
  </si>
  <si>
    <t>2024-08-22T19:43:55.000Z</t>
  </si>
  <si>
    <t>2024-10-09T00:06:34.000Z</t>
  </si>
  <si>
    <t>2eabc422-c2ff-47be-9822-a286f62e11f5</t>
  </si>
  <si>
    <t>2024-08-22T19:43:28.000Z</t>
  </si>
  <si>
    <t>2024-10-09T00:06:32.000Z</t>
  </si>
  <si>
    <t>Lactancia</t>
  </si>
  <si>
    <t>Actor</t>
  </si>
  <si>
    <t>Momi/J</t>
  </si>
  <si>
    <t>9ced75a0-782b-455d-bf23-3c149fc72d3f</t>
  </si>
  <si>
    <t>2024-08-22T19:40:37.000Z</t>
  </si>
  <si>
    <t>2024-10-09T00:06:28.000Z</t>
  </si>
  <si>
    <t>15f75096-29c7-4027-8778-21f85d016a76</t>
  </si>
  <si>
    <t>2024-08-22T19:39:25.000Z</t>
  </si>
  <si>
    <t>2024-10-09T00:06:26.000Z</t>
  </si>
  <si>
    <t>7be2553e-fc94-4411-97a4-35f0d4837e6f</t>
  </si>
  <si>
    <t>2024-08-22T19:38:51.000Z</t>
  </si>
  <si>
    <t>2024-10-09T00:06:25.000Z</t>
  </si>
  <si>
    <t>1c327615-6d24-446a-918c-7c7e8690aabc</t>
  </si>
  <si>
    <t>2024-08-22T18:37:18.000Z</t>
  </si>
  <si>
    <t>2024-10-09T00:06:20.000Z</t>
  </si>
  <si>
    <t>8577b076-c367-47c8-a026-a0f1ebb3fd66</t>
  </si>
  <si>
    <t>2024-08-22T18:35:34.000Z</t>
  </si>
  <si>
    <t>2024-10-09T00:06:19.000Z</t>
  </si>
  <si>
    <t>8e84cfb2-fd9b-46f0-8f44-9b817919c5ae</t>
  </si>
  <si>
    <t>2024-08-22T18:32:55.000Z</t>
  </si>
  <si>
    <t>2024-10-09T00:06:17.000Z</t>
  </si>
  <si>
    <t>Social Perseguir</t>
  </si>
  <si>
    <t>c6fd63b8-0fb2-4ce7-beb5-19738d590794</t>
  </si>
  <si>
    <t>2024-08-22T18:28:31.000Z</t>
  </si>
  <si>
    <t>2024-10-09T00:06:16.000Z</t>
  </si>
  <si>
    <t>ade61cf7-603d-4158-b57e-59655d7d0fc7</t>
  </si>
  <si>
    <t>2024-08-22T17:55:08.000Z</t>
  </si>
  <si>
    <t>2024-10-09T00:06:10.000Z</t>
  </si>
  <si>
    <t>7faa042b-5693-4556-8dc9-3664dbbb7171</t>
  </si>
  <si>
    <t>2024-08-22T17:53:01.000Z</t>
  </si>
  <si>
    <t>2024-10-09T00:06:09.000Z</t>
  </si>
  <si>
    <t>59b838a0-546f-44c1-9081-4973de5fd952</t>
  </si>
  <si>
    <t>2024-08-22T17:43:39.000Z</t>
  </si>
  <si>
    <t>2024-10-09T00:06:05.000Z</t>
  </si>
  <si>
    <t>1a67caf1-9095-417e-af50-3fcbe611017d</t>
  </si>
  <si>
    <t>2024-08-22T17:41:21.000Z</t>
  </si>
  <si>
    <t>2024-10-09T00:06:03.000Z</t>
  </si>
  <si>
    <t>ad4d0588-06df-40d4-ab91-46879d5e30ea</t>
  </si>
  <si>
    <t>2024-08-22T17:40:01.000Z</t>
  </si>
  <si>
    <t>2024-10-09T00:06:00.000Z</t>
  </si>
  <si>
    <t>c515623a-87a5-489a-b278-ffbfb3402292</t>
  </si>
  <si>
    <t>2024-08-22T17:04:50.000Z</t>
  </si>
  <si>
    <t>2024-10-09T00:05:59.000Z</t>
  </si>
  <si>
    <t>553d7147-8748-4994-85d8-037447a5c7aa</t>
  </si>
  <si>
    <t>2024-08-22T17:03:05.000Z</t>
  </si>
  <si>
    <t>2024-10-09T00:05:57.000Z</t>
  </si>
  <si>
    <t>a0c1d583-6d79-4d16-82a9-c9c0f1c316ea</t>
  </si>
  <si>
    <t>2024-08-22T17:02:26.000Z</t>
  </si>
  <si>
    <t>2024-10-09T00:05:54.000Z</t>
  </si>
  <si>
    <t>43b9c66e-20c2-427e-98db-0054a5bf90ff</t>
  </si>
  <si>
    <t>2024-08-22T16:27:46.000Z</t>
  </si>
  <si>
    <t>2024-10-09T00:05:52.000Z</t>
  </si>
  <si>
    <t>fd5c2319-d7d2-4394-ba88-188deb73987f</t>
  </si>
  <si>
    <t>2024-08-22T16:15:34.000Z</t>
  </si>
  <si>
    <t>2024-10-09T00:05:45.000Z</t>
  </si>
  <si>
    <t>b77d2238-a890-459e-b7ed-0774a88a75f9</t>
  </si>
  <si>
    <t>2024-08-22T16:14:58.000Z</t>
  </si>
  <si>
    <t>2024-10-09T00:05:44.000Z</t>
  </si>
  <si>
    <t>39671482-d045-44d9-a2df-b1d4c5362aa4</t>
  </si>
  <si>
    <t>2024-08-22T16:14:29.000Z</t>
  </si>
  <si>
    <t>2024-10-09T00:05:43.000Z</t>
  </si>
  <si>
    <t>8ebe1be5-7776-4815-8ac9-0fca7e188214</t>
  </si>
  <si>
    <t>2024-08-22T15:41:33.000Z</t>
  </si>
  <si>
    <t>2024-10-09T00:05:40.000Z</t>
  </si>
  <si>
    <t>0090bd95-799e-46d4-a52b-17804ca56190</t>
  </si>
  <si>
    <t>2024-08-22T15:41:04.000Z</t>
  </si>
  <si>
    <t>2024-10-09T00:05:39.000Z</t>
  </si>
  <si>
    <t>108383f3-b62c-43a0-9f27-e048c4a6f966</t>
  </si>
  <si>
    <t>2024-08-22T15:37:07.000Z</t>
  </si>
  <si>
    <t>2024-10-09T00:05:37.000Z</t>
  </si>
  <si>
    <t>9f28dd86-b299-4905-9b76-a90d09a52f32</t>
  </si>
  <si>
    <t>2024-08-22T14:59:59.000Z</t>
  </si>
  <si>
    <t>2024-10-09T00:05:24.000Z</t>
  </si>
  <si>
    <t>7cc72b0e-4efb-4992-ab27-e3041a5191c0</t>
  </si>
  <si>
    <t>2024-08-22T14:50:11.000Z</t>
  </si>
  <si>
    <t>2024-10-09T00:05:20.000Z</t>
  </si>
  <si>
    <t>4d64f633-b8f8-44d9-8d57-6a99ad7272c2</t>
  </si>
  <si>
    <t>2024-08-22T14:49:17.000Z</t>
  </si>
  <si>
    <t>2024-10-09T00:05:18.000Z</t>
  </si>
  <si>
    <t>c5a44f19-8b31-4c3c-a273-ae078a0654b7</t>
  </si>
  <si>
    <t>2024-08-22T14:48:20.000Z</t>
  </si>
  <si>
    <t>2024-10-09T00:05:17.000Z</t>
  </si>
  <si>
    <t>51ca2a64-3b86-4eae-888b-3adf47a5be22</t>
  </si>
  <si>
    <t>2024-08-22T14:47:34.000Z</t>
  </si>
  <si>
    <t>2024-10-09T00:05:15.000Z</t>
  </si>
  <si>
    <t>7f92b841-c777-45e2-bf84-0deb77e681bf</t>
  </si>
  <si>
    <t>2024-08-22T14:45:50.000Z</t>
  </si>
  <si>
    <t>2024-10-09T00:05:13.000Z</t>
  </si>
  <si>
    <t>4027eca3-d1d3-4bce-9bf6-ea4af03bb82f</t>
  </si>
  <si>
    <t>2024-08-22T14:44:34.000Z</t>
  </si>
  <si>
    <t>2024-10-09T00:05:11.000Z</t>
  </si>
  <si>
    <t>87c75c0b-7542-4653-837c-46d00923e1b5</t>
  </si>
  <si>
    <t>2024-08-22T14:43:17.000Z</t>
  </si>
  <si>
    <t>2024-10-09T00:05:09.000Z</t>
  </si>
  <si>
    <t>6bcccfd6-6ffa-4ad1-bddb-646826245f7c</t>
  </si>
  <si>
    <t>2024-08-22T14:42:28.000Z</t>
  </si>
  <si>
    <t>2024-10-09T00:05:06.000Z</t>
  </si>
  <si>
    <t>452e8dbf-6b1f-452f-8b53-aefdfef5b0d6</t>
  </si>
  <si>
    <t>2024-08-07T21:57:29.000Z</t>
  </si>
  <si>
    <t>2024-08-20T00:26:51.000Z</t>
  </si>
  <si>
    <t>e5c94cd2-095c-4545-ae38-8b769479a415</t>
  </si>
  <si>
    <t>2024-08-07T21:56:40.000Z</t>
  </si>
  <si>
    <t>2024-08-20T00:26:49.000Z</t>
  </si>
  <si>
    <t>fdf2be2b-4d46-4ecc-adfd-b65f7c8dbd8e</t>
  </si>
  <si>
    <t>2024-08-07T21:55:14.000Z</t>
  </si>
  <si>
    <t>2024-08-20T00:26:48.000Z</t>
  </si>
  <si>
    <t>2a82dafd-012d-4b26-8c18-9334aa183af1</t>
  </si>
  <si>
    <t>2024-08-07T21:53:53.000Z</t>
  </si>
  <si>
    <t>2024-08-20T00:26:47.000Z</t>
  </si>
  <si>
    <t>b4e01100-97ee-4c53-877e-e4d5d0cba4d3</t>
  </si>
  <si>
    <t>2024-08-07T21:51:54.000Z</t>
  </si>
  <si>
    <t>2024-08-20T00:26:45.000Z</t>
  </si>
  <si>
    <t>dd4d3179-5b7e-4f69-9bf1-708bbee07c48</t>
  </si>
  <si>
    <t>2024-08-07T21:07:01.000Z</t>
  </si>
  <si>
    <t>2024-08-20T00:26:43.000Z</t>
  </si>
  <si>
    <t>e481abeb-14b3-49d7-933a-fd9c0afb9e9c</t>
  </si>
  <si>
    <t>2024-08-07T21:05:53.000Z</t>
  </si>
  <si>
    <t>2024-08-20T00:26:42.000Z</t>
  </si>
  <si>
    <t>633ee937-a3d1-4efd-a252-8119600a0488</t>
  </si>
  <si>
    <t>2024-08-07T20:41:24.000Z</t>
  </si>
  <si>
    <t>2024-08-20T00:26:38.000Z</t>
  </si>
  <si>
    <t>c11a1d2a-4066-472a-b36d-82a6da0850a4</t>
  </si>
  <si>
    <t>2024-08-07T20:33:32.000Z</t>
  </si>
  <si>
    <t>2024-08-20T00:26:37.000Z</t>
  </si>
  <si>
    <t>ba948ecc-e49c-47f0-805f-336995335f21</t>
  </si>
  <si>
    <t>2024-08-07T20:19:41.000Z</t>
  </si>
  <si>
    <t>2024-08-20T00:26:36.000Z</t>
  </si>
  <si>
    <t>c30949e1-c953-48ad-a8ed-c75200f37ac7</t>
  </si>
  <si>
    <t>2024-08-07T20:19:20.000Z</t>
  </si>
  <si>
    <t>2024-08-20T00:26:34.000Z</t>
  </si>
  <si>
    <t>b4e953f1-98c4-4304-b39b-9bdd8a3ec0ab</t>
  </si>
  <si>
    <t>2024-08-07T20:18:56.000Z</t>
  </si>
  <si>
    <t>2024-08-20T00:26:31.000Z</t>
  </si>
  <si>
    <t>3b9af5f4-b9ec-4d45-9c6c-81074976e178</t>
  </si>
  <si>
    <t>2024-08-07T20:18:28.000Z</t>
  </si>
  <si>
    <t>2024-08-20T00:26:30.000Z</t>
  </si>
  <si>
    <t>b84e460c-9eb3-4ca5-9d7c-0dee868d2a1b</t>
  </si>
  <si>
    <t>2024-08-07T20:18:09.000Z</t>
  </si>
  <si>
    <t>2024-08-20T00:26:29.000Z</t>
  </si>
  <si>
    <t>2f4f4d14-b1af-4b4b-add6-0975cdb942fd</t>
  </si>
  <si>
    <t>2024-08-07T20:17:40.000Z</t>
  </si>
  <si>
    <t>2024-08-20T00:26:27.000Z</t>
  </si>
  <si>
    <t>bf3fdfc0-b2a1-4937-a223-168d3f044392</t>
  </si>
  <si>
    <t>2024-08-07T20:16:59.000Z</t>
  </si>
  <si>
    <t>2024-08-20T00:26:25.000Z</t>
  </si>
  <si>
    <t>0eb8768e-f50e-41aa-b258-63b1b427a961</t>
  </si>
  <si>
    <t>2024-08-07T20:16:36.000Z</t>
  </si>
  <si>
    <t>2024-08-20T00:26:24.000Z</t>
  </si>
  <si>
    <t>ea626d95-1d29-4839-b81b-9d7825cbad7c</t>
  </si>
  <si>
    <t>2024-08-07T20:14:32.000Z</t>
  </si>
  <si>
    <t>2024-08-20T00:26:22.000Z</t>
  </si>
  <si>
    <t>2e2514cd-6b77-4538-accd-e98205f22479</t>
  </si>
  <si>
    <t>2024-08-07T18:55:07.000Z</t>
  </si>
  <si>
    <t>2024-08-20T00:26:21.000Z</t>
  </si>
  <si>
    <t>ee18670f-1384-43f8-b2ca-d91fcf131e7f</t>
  </si>
  <si>
    <t>2024-08-07T18:54:47.000Z</t>
  </si>
  <si>
    <t>2024-08-20T00:26:19.000Z</t>
  </si>
  <si>
    <t>86582de5-e1bf-4e81-9dd4-28a6ba078414</t>
  </si>
  <si>
    <t>2024-08-07T18:53:46.000Z</t>
  </si>
  <si>
    <t>2024-08-20T00:26:17.000Z</t>
  </si>
  <si>
    <t>3ca54067-ae8e-40c9-b42a-9d626b33cf22</t>
  </si>
  <si>
    <t>2024-08-07T18:51:36.000Z</t>
  </si>
  <si>
    <t>2024-08-20T00:26:16.000Z</t>
  </si>
  <si>
    <t>51c5160f-2e6a-45e1-ab76-14e9e7e4be7f</t>
  </si>
  <si>
    <t>2024-08-07T18:50:05.000Z</t>
  </si>
  <si>
    <t>2024-08-20T00:26:14.000Z</t>
  </si>
  <si>
    <t>850573ff-3ef0-454f-a127-2076ddc1bf59</t>
  </si>
  <si>
    <t>2024-08-07T18:48:38.000Z</t>
  </si>
  <si>
    <t>2024-08-20T00:26:12.000Z</t>
  </si>
  <si>
    <t>b55d4f42-735f-4daf-ab59-f75107fec215</t>
  </si>
  <si>
    <t>2024-08-07T18:47:46.000Z</t>
  </si>
  <si>
    <t>2024-08-20T00:26:10.000Z</t>
  </si>
  <si>
    <t>5edfdc05-7960-4250-af26-bb6805fd03d1</t>
  </si>
  <si>
    <t>2024-08-07T17:48:42.000Z</t>
  </si>
  <si>
    <t>2024-08-20T00:26:09.000Z</t>
  </si>
  <si>
    <t>4ad4307c-a720-4dae-9450-2a89a73a62e5</t>
  </si>
  <si>
    <t>2024-08-07T17:45:20.000Z</t>
  </si>
  <si>
    <t>2024-08-20T00:26:08.000Z</t>
  </si>
  <si>
    <t>73aa9bbc-5f49-4832-8552-7f067259e122</t>
  </si>
  <si>
    <t>2024-08-07T17:43:18.000Z</t>
  </si>
  <si>
    <t>2024-08-20T00:26:06.000Z</t>
  </si>
  <si>
    <t>8b5c82d3-911e-4ceb-9f01-ef86b637da88</t>
  </si>
  <si>
    <t>2024-08-07T17:41:34.000Z</t>
  </si>
  <si>
    <t>2024-08-20T00:26:04.000Z</t>
  </si>
  <si>
    <t>3c714d89-6471-4c56-8052-b1c5336aed79</t>
  </si>
  <si>
    <t>2024-08-07T17:40:08.000Z</t>
  </si>
  <si>
    <t>2024-08-20T00:26:03.000Z</t>
  </si>
  <si>
    <t>4e4b435c-f401-49c5-899d-e606a807b7a6</t>
  </si>
  <si>
    <t>2024-08-07T17:39:09.000Z</t>
  </si>
  <si>
    <t>2024-08-20T00:26:01.000Z</t>
  </si>
  <si>
    <t>d2900785-3f36-4a39-92b1-8380ca24d551</t>
  </si>
  <si>
    <t>2024-08-07T17:38:20.000Z</t>
  </si>
  <si>
    <t>2024-08-20T00:25:58.000Z</t>
  </si>
  <si>
    <t>ac2fa958-6f69-44d1-9890-9cd24f9b12bf</t>
  </si>
  <si>
    <t>2024-08-07T16:38:50.000Z</t>
  </si>
  <si>
    <t>2024-08-20T00:25:57.000Z</t>
  </si>
  <si>
    <t>7e1db449-36cb-4f98-9419-61a0c299f0dd</t>
  </si>
  <si>
    <t>2024-08-07T16:36:29.000Z</t>
  </si>
  <si>
    <t>2024-08-20T00:25:56.000Z</t>
  </si>
  <si>
    <t>4102ef5d-4bce-4767-8555-85581b8cb6bd</t>
  </si>
  <si>
    <t>2024-08-07T16:16:25.000Z</t>
  </si>
  <si>
    <t>2024-08-20T00:25:52.000Z</t>
  </si>
  <si>
    <t>d78a3550-be8d-458b-967b-7b9d931c01d2</t>
  </si>
  <si>
    <t>2024-08-07T16:15:31.000Z</t>
  </si>
  <si>
    <t>2024-08-20T00:25:50.000Z</t>
  </si>
  <si>
    <t>06c431b0-ecf8-4af2-a7b5-475c7257e232</t>
  </si>
  <si>
    <t>2024-08-07T16:11:44.000Z</t>
  </si>
  <si>
    <t>2024-08-20T00:25:49.000Z</t>
  </si>
  <si>
    <t>c7d68c43-514c-47e3-ab14-41a4e69dc2e0</t>
  </si>
  <si>
    <t>2024-08-07T16:06:35.000Z</t>
  </si>
  <si>
    <t>2024-08-20T00:25:48.000Z</t>
  </si>
  <si>
    <t>da953152-b3d8-4129-8896-26992a6fd2b4</t>
  </si>
  <si>
    <t>2024-08-07T16:05:05.000Z</t>
  </si>
  <si>
    <t>2024-08-20T00:25:46.000Z</t>
  </si>
  <si>
    <t>8ed42c22-873e-4c0b-b0d0-7f5a018fb218</t>
  </si>
  <si>
    <t>2024-08-07T15:58:52.000Z</t>
  </si>
  <si>
    <t>2024-08-20T00:25:44.000Z</t>
  </si>
  <si>
    <t>Al. Peciolo</t>
  </si>
  <si>
    <t>594d61ba-cc58-4b36-82c8-f9dcb07d7226</t>
  </si>
  <si>
    <t>2024-08-07T15:54:51.000Z</t>
  </si>
  <si>
    <t>2024-08-20T00:25:43.000Z</t>
  </si>
  <si>
    <t>0c50300b-46c1-4949-aa4e-a82ed5115815</t>
  </si>
  <si>
    <t>2024-08-07T15:41:09.000Z</t>
  </si>
  <si>
    <t>2024-08-20T00:25:42.000Z</t>
  </si>
  <si>
    <t>2b924e95-f90a-432e-86e7-c68552abdaeb</t>
  </si>
  <si>
    <t>2024-08-07T15:27:13.000Z</t>
  </si>
  <si>
    <t>2024-08-20T00:25:39.000Z</t>
  </si>
  <si>
    <t>b27d46d5-fec8-4335-a5f2-ae71ae19d231</t>
  </si>
  <si>
    <t>2024-08-07T15:26:17.000Z</t>
  </si>
  <si>
    <t>2024-08-20T00:25:38.000Z</t>
  </si>
  <si>
    <t>d148bf28-066c-4556-a2fa-0f13d59485f0</t>
  </si>
  <si>
    <t>2024-08-05T14:46:02.000Z</t>
  </si>
  <si>
    <t>2024-08-20T00:27:43.000Z</t>
  </si>
  <si>
    <t>2b635a9d-72d5-49f8-8492-72e303d84fe9</t>
  </si>
  <si>
    <t>2024-08-05T14:45:40.000Z</t>
  </si>
  <si>
    <t>2024-08-20T00:27:41.000Z</t>
  </si>
  <si>
    <t>1c52b65d-6bf0-4565-a045-353f9f235c74</t>
  </si>
  <si>
    <t>2024-08-05T14:45:08.000Z</t>
  </si>
  <si>
    <t>2024-08-20T00:27:38.000Z</t>
  </si>
  <si>
    <t>5592d28b-7cce-441e-8d81-9b39de4576a6</t>
  </si>
  <si>
    <t>2024-08-05T14:44:43.000Z</t>
  </si>
  <si>
    <t>2024-08-20T00:27:36.000Z</t>
  </si>
  <si>
    <t>b8138f8f-6e33-4af7-bccf-9800ba2f9c4e</t>
  </si>
  <si>
    <t>2024-08-05T14:44:19.000Z</t>
  </si>
  <si>
    <t>2024-08-20T00:27:34.000Z</t>
  </si>
  <si>
    <t>ab3876f1-ee90-4bab-82b0-972a10a80ce2</t>
  </si>
  <si>
    <t>2024-08-05T14:43:34.000Z</t>
  </si>
  <si>
    <t>2024-08-20T00:27:30.000Z</t>
  </si>
  <si>
    <t>59322bd7-d814-49c2-9eec-e2d9e3dbb70f</t>
  </si>
  <si>
    <t>2024-08-05T14:42:57.000Z</t>
  </si>
  <si>
    <t>2024-08-20T00:27:29.000Z</t>
  </si>
  <si>
    <t>1c4849de-d2d5-4e0c-86dc-eb53ba23af17</t>
  </si>
  <si>
    <t>2024-08-05T14:42:35.000Z</t>
  </si>
  <si>
    <t>2024-08-20T00:27:27.000Z</t>
  </si>
  <si>
    <t>be46cb92-23fa-463a-a295-1545e2ba5b3d</t>
  </si>
  <si>
    <t>2024-08-05T14:42:08.000Z</t>
  </si>
  <si>
    <t>2024-08-20T00:27:24.000Z</t>
  </si>
  <si>
    <t>f064b30e-bece-4940-aa30-23e60ce3c6df</t>
  </si>
  <si>
    <t>2024-08-05T14:41:42.000Z</t>
  </si>
  <si>
    <t>2024-08-20T00:27:22.000Z</t>
  </si>
  <si>
    <t>5f53df94-cb46-4e78-ae0f-e97d2aa8690c</t>
  </si>
  <si>
    <t>2024-08-05T14:41:10.000Z</t>
  </si>
  <si>
    <t>2024-08-20T00:27:20.000Z</t>
  </si>
  <si>
    <t>30ddc5c6-bfcf-4961-abd8-7c5df45cb835</t>
  </si>
  <si>
    <t>2024-08-05T14:40:47.000Z</t>
  </si>
  <si>
    <t>2024-08-20T00:27:18.000Z</t>
  </si>
  <si>
    <t>53985500-c8d4-416a-8302-875d4196b9a5</t>
  </si>
  <si>
    <t>2024-08-05T14:40:16.000Z</t>
  </si>
  <si>
    <t>2024-08-20T00:27:17.000Z</t>
  </si>
  <si>
    <t>f10503cc-3d58-4354-8019-f4f18e52a492</t>
  </si>
  <si>
    <t>2024-08-05T14:39:46.000Z</t>
  </si>
  <si>
    <t>2024-08-20T00:27:15.000Z</t>
  </si>
  <si>
    <t>8139e961-be8e-4446-9a3a-56241bf314e6</t>
  </si>
  <si>
    <t>2024-08-05T14:37:22.000Z</t>
  </si>
  <si>
    <t>2024-08-20T00:27:11.000Z</t>
  </si>
  <si>
    <t>cb67fe58-85d6-4b75-b227-cb4836558b76</t>
  </si>
  <si>
    <t>2024-08-05T14:36:49.000Z</t>
  </si>
  <si>
    <t>2024-08-20T00:27:14.000Z</t>
  </si>
  <si>
    <t>a0b8b8f0-6eb7-4b3b-a0ca-df06b26aae13</t>
  </si>
  <si>
    <t>2024-08-02T20:11:19.000Z</t>
  </si>
  <si>
    <t>2024-08-20T00:30:47.000Z</t>
  </si>
  <si>
    <t>2d36eaa9-97e1-4ae3-b06b-f1bb5e40669a</t>
  </si>
  <si>
    <t>2024-08-02T20:11:04.000Z</t>
  </si>
  <si>
    <t>2024-08-20T00:30:45.000Z</t>
  </si>
  <si>
    <t>33ba3b47-af83-4e80-b982-a24bb808352d</t>
  </si>
  <si>
    <t>2024-08-02T20:10:47.000Z</t>
  </si>
  <si>
    <t>2024-08-20T00:30:44.000Z</t>
  </si>
  <si>
    <t>f1f15515-6bab-4fc4-9a61-f0a0f01165e9</t>
  </si>
  <si>
    <t>2024-08-02T19:43:44.000Z</t>
  </si>
  <si>
    <t>2024-08-20T00:30:39.000Z</t>
  </si>
  <si>
    <t>d12c559f-bb6d-4d97-8644-884b9c817f47</t>
  </si>
  <si>
    <t>2024-08-02T19:35:32.000Z</t>
  </si>
  <si>
    <t>2024-08-20T00:30:37.000Z</t>
  </si>
  <si>
    <t>058e2c6a-c412-43e8-941f-c637b2b4b3c9</t>
  </si>
  <si>
    <t>2024-08-02T19:24:31.000Z</t>
  </si>
  <si>
    <t>2024-08-20T00:30:33.000Z</t>
  </si>
  <si>
    <t>94e9f28d-0dd6-44b9-bc11-af9d13cb7b89</t>
  </si>
  <si>
    <t>2024-08-02T19:24:06.000Z</t>
  </si>
  <si>
    <t>2024-08-20T00:30:31.000Z</t>
  </si>
  <si>
    <t>b71c7b1e-6686-47bd-b916-ee064e8564c1</t>
  </si>
  <si>
    <t>2024-08-02T19:03:23.000Z</t>
  </si>
  <si>
    <t>2024-08-20T00:30:28.000Z</t>
  </si>
  <si>
    <t>064ca339-2a0b-4c4f-8f5a-caa5bde2f2a2</t>
  </si>
  <si>
    <t>2024-08-02T19:02:53.000Z</t>
  </si>
  <si>
    <t>2024-08-20T00:30:26.000Z</t>
  </si>
  <si>
    <t>93b4dffb-2cdb-4ea7-b7e2-8214664a1ccf</t>
  </si>
  <si>
    <t>2024-08-02T19:01:29.000Z</t>
  </si>
  <si>
    <t>2024-08-20T00:30:23.000Z</t>
  </si>
  <si>
    <t>d91881f1-43c6-48cc-ae80-521dfc9550cc</t>
  </si>
  <si>
    <t>2024-08-02T18:58:31.000Z</t>
  </si>
  <si>
    <t>2024-08-20T00:30:22.000Z</t>
  </si>
  <si>
    <t>5ab4be91-a2a3-4b64-90cf-a1b5dbdd8317</t>
  </si>
  <si>
    <t>2024-08-02T18:57:21.000Z</t>
  </si>
  <si>
    <t>2024-08-20T00:30:21.000Z</t>
  </si>
  <si>
    <t>bb77e5a2-1eb2-4e24-869c-636f00e51469</t>
  </si>
  <si>
    <t>2024-08-02T18:55:50.000Z</t>
  </si>
  <si>
    <t>2024-08-20T00:30:18.000Z</t>
  </si>
  <si>
    <t>89e2d424-19d3-4f4b-9aed-7dcdd621718a</t>
  </si>
  <si>
    <t>2024-08-02T18:53:15.000Z</t>
  </si>
  <si>
    <t>2024-08-20T00:30:17.000Z</t>
  </si>
  <si>
    <t>23507037-02a8-45cd-bab5-1d66e77216c9</t>
  </si>
  <si>
    <t>2024-08-02T18:45:51.000Z</t>
  </si>
  <si>
    <t>2024-08-20T00:30:15.000Z</t>
  </si>
  <si>
    <t>01c72a4d-08c4-4e9f-b0d9-e0e1e4ebc386</t>
  </si>
  <si>
    <t>2024-08-02T17:48:53.000Z</t>
  </si>
  <si>
    <t>2024-08-20T00:30:10.000Z</t>
  </si>
  <si>
    <t>713e2e38-e7ac-4772-8887-e5404b73d8e9</t>
  </si>
  <si>
    <t>2024-08-02T17:47:54.000Z</t>
  </si>
  <si>
    <t>2024-08-20T00:30:08.000Z</t>
  </si>
  <si>
    <t>ad7d8da8-411d-41ad-97c5-4f0e2b3fffdd</t>
  </si>
  <si>
    <t>2024-08-02T17:46:51.000Z</t>
  </si>
  <si>
    <t>2024-08-20T00:30:07.000Z</t>
  </si>
  <si>
    <t>c22581c4-0f41-4319-9ef7-3ea965b6408f</t>
  </si>
  <si>
    <t>2024-08-02T17:46:10.000Z</t>
  </si>
  <si>
    <t>2024-08-20T00:30:04.000Z</t>
  </si>
  <si>
    <t>6aeeb955-d445-4a26-8933-530576c3761e</t>
  </si>
  <si>
    <t>2024-08-02T17:45:57.000Z</t>
  </si>
  <si>
    <t>2024-08-20T00:30:02.000Z</t>
  </si>
  <si>
    <t>ddb281a9-32a1-4cff-874e-4e075fde99bb</t>
  </si>
  <si>
    <t>2024-08-02T17:45:41.000Z</t>
  </si>
  <si>
    <t>2024-08-20T00:30:00.000Z</t>
  </si>
  <si>
    <t>65a799f9-63fe-460c-9e6b-47b1a00e95d7</t>
  </si>
  <si>
    <t>2024-08-02T17:45:21.000Z</t>
  </si>
  <si>
    <t>2024-08-20T00:29:59.000Z</t>
  </si>
  <si>
    <t>1a8d05d0-df06-4fbe-9421-69fc568b3998</t>
  </si>
  <si>
    <t>2024-08-02T17:45:06.000Z</t>
  </si>
  <si>
    <t>2024-08-20T00:29:56.000Z</t>
  </si>
  <si>
    <t>b8356515-b424-4a2b-8256-7587bff64863</t>
  </si>
  <si>
    <t>2024-08-02T17:44:46.000Z</t>
  </si>
  <si>
    <t>2024-08-20T00:29:55.000Z</t>
  </si>
  <si>
    <t>36f92099-8d61-4b64-9f03-bbef3e5e0c2b</t>
  </si>
  <si>
    <t>2024-08-02T17:44:30.000Z</t>
  </si>
  <si>
    <t>2024-08-20T00:29:53.000Z</t>
  </si>
  <si>
    <t>bdd20cc7-53ac-4b3c-940b-a67badb9fc97</t>
  </si>
  <si>
    <t>2024-08-02T17:43:59.000Z</t>
  </si>
  <si>
    <t>2024-08-20T00:29:52.000Z</t>
  </si>
  <si>
    <t>6a806554-d0e5-41fd-8b22-38b4c4125362</t>
  </si>
  <si>
    <t>2024-08-02T17:43:39.000Z</t>
  </si>
  <si>
    <t>2024-08-20T00:29:50.000Z</t>
  </si>
  <si>
    <t>5e2d2275-83a9-4470-91e1-65560fbe18d3</t>
  </si>
  <si>
    <t>2024-08-02T15:44:13.000Z</t>
  </si>
  <si>
    <t>2024-08-20T00:29:47.000Z</t>
  </si>
  <si>
    <t>357947a3-6319-40a1-a20a-e26eec6bc624</t>
  </si>
  <si>
    <t>2024-08-02T15:44:03.000Z</t>
  </si>
  <si>
    <t>2024-08-20T00:29:45.000Z</t>
  </si>
  <si>
    <t>9f9d8caf-3558-4caf-9854-7104f4eef60b</t>
  </si>
  <si>
    <t>2024-08-02T15:43:44.000Z</t>
  </si>
  <si>
    <t>2024-08-20T00:29:43.000Z</t>
  </si>
  <si>
    <t>e9a4a923-f05d-4ca2-8bca-e0de4bd63178</t>
  </si>
  <si>
    <t>2024-08-02T15:43:25.000Z</t>
  </si>
  <si>
    <t>2024-08-20T00:29:42.000Z</t>
  </si>
  <si>
    <t>32a803b3-34a5-4b89-ac28-13c33b04e70c</t>
  </si>
  <si>
    <t>2024-08-02T15:43:06.000Z</t>
  </si>
  <si>
    <t>2024-08-20T00:29:41.000Z</t>
  </si>
  <si>
    <t>da40fe2a-abe5-4d69-919b-ee869d7a1cd1</t>
  </si>
  <si>
    <t>2024-08-02T15:42:49.000Z</t>
  </si>
  <si>
    <t>2024-08-20T00:29:39.000Z</t>
  </si>
  <si>
    <t>327f82f5-95e8-4e72-9d0c-887f67b80288</t>
  </si>
  <si>
    <t>2024-08-02T15:41:38.000Z</t>
  </si>
  <si>
    <t>2024-08-20T00:29:37.000Z</t>
  </si>
  <si>
    <t>08381737-9e32-42c1-aebb-f32c26113e73</t>
  </si>
  <si>
    <t>2024-08-02T15:41:23.000Z</t>
  </si>
  <si>
    <t>2024-08-20T00:29:36.000Z</t>
  </si>
  <si>
    <t>bfa0697b-ed5e-497e-99c1-9916c9c3efc2</t>
  </si>
  <si>
    <t>2024-08-02T15:41:07.000Z</t>
  </si>
  <si>
    <t>2024-08-20T00:29:34.000Z</t>
  </si>
  <si>
    <t>1faec435-8bb7-474a-a1d2-9eed912e379f</t>
  </si>
  <si>
    <t>2024-08-02T15:40:17.000Z</t>
  </si>
  <si>
    <t>2024-08-20T00:29:33.000Z</t>
  </si>
  <si>
    <t>1ac2c9f2-09d8-4474-a927-1f41f584ec34</t>
  </si>
  <si>
    <t>2024-08-02T13:40:00.000Z</t>
  </si>
  <si>
    <t>2024-08-20T00:29:31.000Z</t>
  </si>
  <si>
    <t>adc77628-718d-4b1e-a2c2-e4d7b519f754</t>
  </si>
  <si>
    <t>2024-08-02T13:39:50.000Z</t>
  </si>
  <si>
    <t>2024-08-20T00:29:29.000Z</t>
  </si>
  <si>
    <t>c1d8bed1-0918-4a49-b7f3-53af17719281</t>
  </si>
  <si>
    <t>2024-08-02T13:22:22.000Z</t>
  </si>
  <si>
    <t>2024-08-20T00:29:26.000Z</t>
  </si>
  <si>
    <t>e659d6d1-d67d-4eb3-abd9-bf13d1973abb</t>
  </si>
  <si>
    <t>2024-08-02T13:22:10.000Z</t>
  </si>
  <si>
    <t>2024-08-20T00:29:24.000Z</t>
  </si>
  <si>
    <t>6226ba4d-978f-492c-b041-15d8fb8bf2de</t>
  </si>
  <si>
    <t>2024-08-01T21:33:38.000Z</t>
  </si>
  <si>
    <t>2024-08-20T00:25:28.000Z</t>
  </si>
  <si>
    <t>bcbd02d0-d1e5-4074-923f-06728f8a7eae</t>
  </si>
  <si>
    <t>2024-08-01T21:32:15.000Z</t>
  </si>
  <si>
    <t>2024-08-20T00:25:25.000Z</t>
  </si>
  <si>
    <t>Vocalización Alarma</t>
  </si>
  <si>
    <t>fef514b9-c245-4dfd-8b0b-c17634df863c</t>
  </si>
  <si>
    <t>2024-08-01T21:30:58.000Z</t>
  </si>
  <si>
    <t>2024-08-20T00:25:24.000Z</t>
  </si>
  <si>
    <t>0f9a82dd-4f6d-480b-9e2d-a9562f2d4739</t>
  </si>
  <si>
    <t>2024-08-01T21:29:45.000Z</t>
  </si>
  <si>
    <t>2024-08-20T00:25:22.000Z</t>
  </si>
  <si>
    <t>ebcb61c5-7fe0-4abb-a41e-d5f8fd0eb2a8</t>
  </si>
  <si>
    <t>2024-08-01T21:28:32.000Z</t>
  </si>
  <si>
    <t>2024-08-20T00:25:21.000Z</t>
  </si>
  <si>
    <t>e06316b8-b509-464e-a614-7427f8529eec</t>
  </si>
  <si>
    <t>2024-08-01T21:24:52.000Z</t>
  </si>
  <si>
    <t>2024-08-20T00:25:18.000Z</t>
  </si>
  <si>
    <t>00d89d77-5a81-41bb-be4d-d052e2994178</t>
  </si>
  <si>
    <t>2024-08-01T21:23:34.000Z</t>
  </si>
  <si>
    <t>2024-08-20T00:25:17.000Z</t>
  </si>
  <si>
    <t>a66a2e27-ea0d-4f0d-a232-673281938685</t>
  </si>
  <si>
    <t>2024-08-01T21:22:32.000Z</t>
  </si>
  <si>
    <t>2024-08-20T00:25:15.000Z</t>
  </si>
  <si>
    <t>a3ca9593-16ea-47d4-aa93-fa6a2a4f40d7</t>
  </si>
  <si>
    <t>2024-08-01T21:20:37.000Z</t>
  </si>
  <si>
    <t>2024-08-20T00:25:14.000Z</t>
  </si>
  <si>
    <t>b431d52f-c078-4e2a-90cd-73ada28e2bc5</t>
  </si>
  <si>
    <t>2024-08-01T20:07:01.000Z</t>
  </si>
  <si>
    <t>2024-08-20T00:25:08.000Z</t>
  </si>
  <si>
    <t>62223af6-4cea-4136-b012-691e54760aae</t>
  </si>
  <si>
    <t>2024-08-01T19:55:52.000Z</t>
  </si>
  <si>
    <t>2024-08-20T00:25:06.000Z</t>
  </si>
  <si>
    <t>a2da43ce-7054-4414-a874-521aea8ed2c6</t>
  </si>
  <si>
    <t>2024-08-01T19:42:35.000Z</t>
  </si>
  <si>
    <t>2024-08-20T00:25:04.000Z</t>
  </si>
  <si>
    <t>9da62634-8e18-4981-9d43-f531c477c335</t>
  </si>
  <si>
    <t>2024-08-01T19:41:57.000Z</t>
  </si>
  <si>
    <t>2024-08-20T00:25:03.000Z</t>
  </si>
  <si>
    <t>c96ff49c-069b-45a0-a650-8748402a8aaf</t>
  </si>
  <si>
    <t>2024-08-01T19:41:11.000Z</t>
  </si>
  <si>
    <t>2024-08-20T00:25:00.000Z</t>
  </si>
  <si>
    <t>b90adedd-29dd-4111-8616-e539e42a98a4</t>
  </si>
  <si>
    <t>2024-08-01T19:40:27.000Z</t>
  </si>
  <si>
    <t>2024-08-20T00:24:58.000Z</t>
  </si>
  <si>
    <t>808bbf9a-b4a6-4750-b436-03258f808ad1</t>
  </si>
  <si>
    <t>2024-08-01T19:39:39.000Z</t>
  </si>
  <si>
    <t>2024-08-20T00:24:57.000Z</t>
  </si>
  <si>
    <t>2952b693-6e36-40b2-a4a2-97b045d3a786</t>
  </si>
  <si>
    <t>2024-08-01T19:39:04.000Z</t>
  </si>
  <si>
    <t>2024-08-20T00:24:56.000Z</t>
  </si>
  <si>
    <t>cab93ec8-7ce1-4858-8107-2b04a99f4b1d</t>
  </si>
  <si>
    <t>2024-08-01T19:38:25.000Z</t>
  </si>
  <si>
    <t>2024-08-20T00:24:53.000Z</t>
  </si>
  <si>
    <t>676f24f0-8bc9-44d4-88c2-3867cbdb38a7</t>
  </si>
  <si>
    <t>2024-08-01T19:37:47.000Z</t>
  </si>
  <si>
    <t>2024-08-20T00:24:52.000Z</t>
  </si>
  <si>
    <t>53fb9cf2-73b5-4825-8831-30179b116b1d</t>
  </si>
  <si>
    <t>2024-08-01T19:37:14.000Z</t>
  </si>
  <si>
    <t>2024-08-20T00:24:50.000Z</t>
  </si>
  <si>
    <t>c3c4a7e3-816b-4ec3-a93c-0ac5860f7342</t>
  </si>
  <si>
    <t>2024-08-01T18:15:14.000Z</t>
  </si>
  <si>
    <t>2024-08-20T00:24:49.000Z</t>
  </si>
  <si>
    <t>1dd2904f-85ed-4727-bc67-d100d64daef2</t>
  </si>
  <si>
    <t>2024-08-01T18:14:41.000Z</t>
  </si>
  <si>
    <t>2024-08-20T00:24:46.000Z</t>
  </si>
  <si>
    <t>d3ed2a71-9844-49e2-8d6c-33d2ee015756</t>
  </si>
  <si>
    <t>2024-08-01T17:56:19.000Z</t>
  </si>
  <si>
    <t>2024-08-20T00:24:45.000Z</t>
  </si>
  <si>
    <t>f32705d5-c7a7-426e-b9e7-89c1b63f627b</t>
  </si>
  <si>
    <t>2024-08-01T17:55:52.000Z</t>
  </si>
  <si>
    <t>2024-08-20T00:24:44.000Z</t>
  </si>
  <si>
    <t>2e8fa64b-9783-43c0-b04e-4bbbde8b2e4f</t>
  </si>
  <si>
    <t>2024-08-01T17:54:54.000Z</t>
  </si>
  <si>
    <t>2024-08-20T00:24:42.000Z</t>
  </si>
  <si>
    <t>2d173246-0e50-40e4-8651-16cdcf08fa2e</t>
  </si>
  <si>
    <t>2024-08-01T17:54:13.000Z</t>
  </si>
  <si>
    <t>2024-08-20T00:24:39.000Z</t>
  </si>
  <si>
    <t>af698288-1683-455b-9095-eb9cfd6bc143</t>
  </si>
  <si>
    <t>2024-08-01T17:53:14.000Z</t>
  </si>
  <si>
    <t>2024-08-20T00:24:38.000Z</t>
  </si>
  <si>
    <t>4a762409-bccf-4e56-8743-88078a2ba585</t>
  </si>
  <si>
    <t>2024-08-01T17:52:49.000Z</t>
  </si>
  <si>
    <t>2024-08-20T00:24:36.000Z</t>
  </si>
  <si>
    <t>1bff25dd-0642-408b-bd96-5929ec49a112</t>
  </si>
  <si>
    <t>2024-08-01T17:50:51.000Z</t>
  </si>
  <si>
    <t>2024-08-20T00:24:35.000Z</t>
  </si>
  <si>
    <t>5bb12f5d-1d22-4ead-8408-c323842727f0</t>
  </si>
  <si>
    <t>2024-08-01T17:50:30.000Z</t>
  </si>
  <si>
    <t>2024-08-20T00:24:33.000Z</t>
  </si>
  <si>
    <t>7da48ef1-8201-4a2e-8d4d-6f828906525a</t>
  </si>
  <si>
    <t>2024-08-01T16:30:18.000Z</t>
  </si>
  <si>
    <t>2024-08-20T00:24:26.000Z</t>
  </si>
  <si>
    <t>ecdd10b5-5a1b-490b-94ef-137f228d7454</t>
  </si>
  <si>
    <t>2024-08-01T16:29:52.000Z</t>
  </si>
  <si>
    <t>2024-08-20T00:24:25.000Z</t>
  </si>
  <si>
    <t>0bfcb951-7505-4971-9d7e-7f424317cacd</t>
  </si>
  <si>
    <t>2024-08-01T16:29:01.000Z</t>
  </si>
  <si>
    <t>2024-08-20T00:24:23.000Z</t>
  </si>
  <si>
    <t>c7824c54-94a0-41bf-9776-61a11406cb67</t>
  </si>
  <si>
    <t>2024-08-01T16:28:02.000Z</t>
  </si>
  <si>
    <t>2024-08-20T00:24:20.000Z</t>
  </si>
  <si>
    <t>c2b21410-e566-49db-b811-61f0488b3d27</t>
  </si>
  <si>
    <t>2024-08-01T16:27:23.000Z</t>
  </si>
  <si>
    <t>2024-08-20T00:24:19.000Z</t>
  </si>
  <si>
    <t>b74725fa-a141-4988-8ebd-aacaf648f6a7</t>
  </si>
  <si>
    <t>2024-08-01T16:26:00.000Z</t>
  </si>
  <si>
    <t>2024-08-20T00:24:17.000Z</t>
  </si>
  <si>
    <t>c4e95629-73ef-4e7c-8b0a-8963595d65a7</t>
  </si>
  <si>
    <t>2024-08-01T15:37:20.000Z</t>
  </si>
  <si>
    <t>2024-08-20T00:24:14.000Z</t>
  </si>
  <si>
    <t>e2d8a128-20a6-458a-bed3-ac8d7cb4e498</t>
  </si>
  <si>
    <t>2024-08-01T15:36:53.000Z</t>
  </si>
  <si>
    <t>2024-08-20T00:24:13.000Z</t>
  </si>
  <si>
    <t>a1919f57-1ccd-41b5-8db3-d88e10e74220</t>
  </si>
  <si>
    <t>2024-08-01T15:35:23.000Z</t>
  </si>
  <si>
    <t>2024-08-20T00:24:11.000Z</t>
  </si>
  <si>
    <t>2b3f398b-df16-4638-ac30-41089f22d342</t>
  </si>
  <si>
    <t>2024-08-01T15:34:19.000Z</t>
  </si>
  <si>
    <t>2024-08-20T00:24:10.000Z</t>
  </si>
  <si>
    <t>823be0c3-c692-4931-95a1-1beae5ebb2bd</t>
  </si>
  <si>
    <t>2024-08-01T15:33:35.000Z</t>
  </si>
  <si>
    <t>2024-08-20T00:24:08.000Z</t>
  </si>
  <si>
    <t>da453aaf-737a-4c5a-9f77-06de9bc32a0b</t>
  </si>
  <si>
    <t>2024-08-01T15:32:42.000Z</t>
  </si>
  <si>
    <t>2024-08-20T00:24:06.000Z</t>
  </si>
  <si>
    <t>c61e7072-e9bb-4791-9144-e20dc6c6e60d</t>
  </si>
  <si>
    <t>2024-08-01T15:32:09.000Z</t>
  </si>
  <si>
    <t>2024-08-20T00:24:05.000Z</t>
  </si>
  <si>
    <t>07132f28-533f-4b72-a252-c625492d59e7</t>
  </si>
  <si>
    <t>2024-08-01T14:20:28.000Z</t>
  </si>
  <si>
    <t>2024-08-20T00:24:00.000Z</t>
  </si>
  <si>
    <t>Ceranos fuera de vista</t>
  </si>
  <si>
    <t>a3411aa1-230c-4e8e-a9c2-d5993f64b434</t>
  </si>
  <si>
    <t>2024-08-01T14:19:31.000Z</t>
  </si>
  <si>
    <t>2024-08-20T00:23:59.000Z</t>
  </si>
  <si>
    <t>aea679d1-9774-4fd6-9c88-c40dc4fa25f5</t>
  </si>
  <si>
    <t>2024-08-01T14:17:13.000Z</t>
  </si>
  <si>
    <t>2024-08-20T00:23:57.000Z</t>
  </si>
  <si>
    <t>Cercanos fuera de vista</t>
  </si>
  <si>
    <t>9fb4486b-53a1-4bd5-aeab-b93002d0589c</t>
  </si>
  <si>
    <t>2024-08-01T14:16:49.000Z</t>
  </si>
  <si>
    <t>2024-08-20T00:23:55.000Z</t>
  </si>
  <si>
    <t>ae7612b2-494e-4a0d-a4bc-10bb3e8d499f</t>
  </si>
  <si>
    <t>2024-08-01T14:16:34.000Z</t>
  </si>
  <si>
    <t>2024-08-20T00:23:53.000Z</t>
  </si>
  <si>
    <t>d64022e5-ded8-4b10-8de2-885adeca6c9a</t>
  </si>
  <si>
    <t>2024-07-31T18:33:19.000Z</t>
  </si>
  <si>
    <t>2024-08-20T00:29:14.000Z</t>
  </si>
  <si>
    <t>a782bb2b-53ad-4f7e-8490-d782e8824458</t>
  </si>
  <si>
    <t>2024-07-31T18:32:56.000Z</t>
  </si>
  <si>
    <t>2024-08-20T00:29:12.000Z</t>
  </si>
  <si>
    <t>a4f0455b-b7f4-4d19-81af-caab8cd1ecf1</t>
  </si>
  <si>
    <t>2024-07-31T18:32:44.000Z</t>
  </si>
  <si>
    <t>2024-08-20T00:29:11.000Z</t>
  </si>
  <si>
    <t>baf6d841-fa36-470f-b2d4-73eb330e22d3</t>
  </si>
  <si>
    <t>2024-07-31T18:32:33.000Z</t>
  </si>
  <si>
    <t>2024-08-20T00:29:09.000Z</t>
  </si>
  <si>
    <t>4f1a8c61-3814-4728-987e-b98ce6ff365c</t>
  </si>
  <si>
    <t>2024-07-31T17:50:12.000Z</t>
  </si>
  <si>
    <t>2024-08-20T00:29:08.000Z</t>
  </si>
  <si>
    <t>1f17737a-f707-48e5-9192-b8ebbf636a28</t>
  </si>
  <si>
    <t>2024-07-31T17:50:02.000Z</t>
  </si>
  <si>
    <t>2024-08-20T00:29:06.000Z</t>
  </si>
  <si>
    <t>ea413932-7182-4eab-81c9-fc6c9f0fd942</t>
  </si>
  <si>
    <t>2024-07-31T17:49:23.000Z</t>
  </si>
  <si>
    <t>2024-08-20T00:29:05.000Z</t>
  </si>
  <si>
    <t>f0951758-cd18-4d83-afb0-33fe65b57797</t>
  </si>
  <si>
    <t>2024-07-31T17:48:20.000Z</t>
  </si>
  <si>
    <t>2024-08-20T00:28:59.000Z</t>
  </si>
  <si>
    <t>4fd8dc39-807a-4219-8af5-33fafc44e69d</t>
  </si>
  <si>
    <t>2024-07-31T17:46:38.000Z</t>
  </si>
  <si>
    <t>2024-08-20T00:29:03.000Z</t>
  </si>
  <si>
    <t>aad27a5b-5cd5-461f-82b8-9d96dbc460a0</t>
  </si>
  <si>
    <t>2024-07-31T17:02:29.000Z</t>
  </si>
  <si>
    <t>2024-08-20T00:28:54.000Z</t>
  </si>
  <si>
    <t>6a8eae02-3ad7-40ff-8b78-ab8aa3377118</t>
  </si>
  <si>
    <t>2024-07-31T17:02:10.000Z</t>
  </si>
  <si>
    <t>2024-08-20T00:28:53.000Z</t>
  </si>
  <si>
    <t>ed053595-075f-436e-9aa1-4717da15415e</t>
  </si>
  <si>
    <t>2024-07-31T17:01:50.000Z</t>
  </si>
  <si>
    <t>2024-08-20T00:28:52.000Z</t>
  </si>
  <si>
    <t>0165a982-851e-4380-982a-9e36edf35dbb</t>
  </si>
  <si>
    <t>2024-07-31T17:01:28.000Z</t>
  </si>
  <si>
    <t>2024-08-20T00:28:50.000Z</t>
  </si>
  <si>
    <t>4ff0c1f1-947b-4328-8c40-d11bdb7b86c4</t>
  </si>
  <si>
    <t>2024-07-31T17:01:10.000Z</t>
  </si>
  <si>
    <t>2024-08-20T00:28:47.000Z</t>
  </si>
  <si>
    <t>f68b50a2-aa14-4e7d-ab53-a937ba7d0252</t>
  </si>
  <si>
    <t>2024-07-31T17:00:29.000Z</t>
  </si>
  <si>
    <t>2024-08-20T00:28:46.000Z</t>
  </si>
  <si>
    <t>8fd7f74f-0991-4e92-9ef9-62e93a6bafaf</t>
  </si>
  <si>
    <t>2024-07-31T16:59:39.000Z</t>
  </si>
  <si>
    <t>2024-08-20T00:28:45.000Z</t>
  </si>
  <si>
    <t>bf795ce3-943e-40d7-8435-a14308e92dc2</t>
  </si>
  <si>
    <t>2024-07-31T16:58:24.000Z</t>
  </si>
  <si>
    <t>2024-08-20T00:28:43.000Z</t>
  </si>
  <si>
    <t>6354391f-12e5-4735-a0d1-cbc1e0933f1a</t>
  </si>
  <si>
    <t>2024-07-31T16:57:33.000Z</t>
  </si>
  <si>
    <t>2024-08-20T00:28:41.000Z</t>
  </si>
  <si>
    <t>f5096a3c-7b6a-4f56-a2ba-ffaeeaece893</t>
  </si>
  <si>
    <t>2024-07-31T15:36:10.000Z</t>
  </si>
  <si>
    <t>2024-08-20T00:28:39.000Z</t>
  </si>
  <si>
    <t>4f732c1d-2dd7-46b5-8e11-10850c489131</t>
  </si>
  <si>
    <t>2024-07-31T15:34:17.000Z</t>
  </si>
  <si>
    <t>2024-08-20T00:28:38.000Z</t>
  </si>
  <si>
    <t>249f8f12-d5b8-40d9-ae6e-4c45e9590f57</t>
  </si>
  <si>
    <t>2024-07-31T15:32:38.000Z</t>
  </si>
  <si>
    <t>2024-08-20T00:28:36.000Z</t>
  </si>
  <si>
    <t>39aef40e-5d1f-404f-a6bf-4fd708500b3b</t>
  </si>
  <si>
    <t>2024-07-31T15:30:53.000Z</t>
  </si>
  <si>
    <t>2024-08-20T00:28:34.000Z</t>
  </si>
  <si>
    <t>f4987dda-a2b3-4349-86a9-cd7c6410a80e</t>
  </si>
  <si>
    <t>2024-07-31T15:28:50.000Z</t>
  </si>
  <si>
    <t>2024-08-20T00:28:33.000Z</t>
  </si>
  <si>
    <t>75f80f10-8997-4a2f-8ae7-c7136e18753d</t>
  </si>
  <si>
    <t>2024-07-31T15:27:30.000Z</t>
  </si>
  <si>
    <t>2024-08-20T00:28:31.000Z</t>
  </si>
  <si>
    <t>1929861b-3c05-4d29-b8e6-457bdf3adb05</t>
  </si>
  <si>
    <t>2024-07-31T15:22:10.000Z</t>
  </si>
  <si>
    <t>2024-08-20T00:28:30.000Z</t>
  </si>
  <si>
    <t>b9887f98-84c4-4be9-a14a-9965533183cd</t>
  </si>
  <si>
    <t>2024-07-31T15:05:47.000Z</t>
  </si>
  <si>
    <t>2024-08-20T00:28:28.000Z</t>
  </si>
  <si>
    <t>e9dc475b-d096-454a-badb-8e5cf2272cb4</t>
  </si>
  <si>
    <t>2024-07-31T14:08:47.000Z</t>
  </si>
  <si>
    <t>2024-08-20T00:28:25.000Z</t>
  </si>
  <si>
    <t>c5fff547-52d3-4dbb-98a5-09e66e10b05d</t>
  </si>
  <si>
    <t>2024-07-30T21:23:22.000Z</t>
  </si>
  <si>
    <t>2024-08-20T00:23:40.000Z</t>
  </si>
  <si>
    <t>0ccc7bde-7f16-4dc3-bad8-b819f855a1b8</t>
  </si>
  <si>
    <t>2024-07-30T21:23:03.000Z</t>
  </si>
  <si>
    <t>2024-08-20T00:23:38.000Z</t>
  </si>
  <si>
    <t>b1f4aa5e-9de1-4ae2-a115-8ff8188dc005</t>
  </si>
  <si>
    <t>2024-07-30T21:22:39.000Z</t>
  </si>
  <si>
    <t>2024-08-20T00:23:37.000Z</t>
  </si>
  <si>
    <t>abbdd0ba-aa70-4658-8edb-f59a73ee2522</t>
  </si>
  <si>
    <t>2024-07-30T21:22:22.000Z</t>
  </si>
  <si>
    <t>2024-08-20T00:23:35.000Z</t>
  </si>
  <si>
    <t>75b00e36-55e4-4ba4-9c80-8e11eed13b13</t>
  </si>
  <si>
    <t>2024-07-30T21:22:03.000Z</t>
  </si>
  <si>
    <t>2024-08-20T00:23:33.000Z</t>
  </si>
  <si>
    <t>7395deaf-8da6-4732-93b9-5f641b25d403</t>
  </si>
  <si>
    <t>2024-07-30T21:21:31.000Z</t>
  </si>
  <si>
    <t>2024-08-20T00:23:32.000Z</t>
  </si>
  <si>
    <t>7dc664eb-8b28-4348-8b50-c0e2ea3c65e5</t>
  </si>
  <si>
    <t>2024-07-30T21:21:20.000Z</t>
  </si>
  <si>
    <t>2024-08-20T00:23:31.000Z</t>
  </si>
  <si>
    <t>f37dd40d-a6c6-4952-adc5-1598d8396f00</t>
  </si>
  <si>
    <t>2024-07-30T21:20:56.000Z</t>
  </si>
  <si>
    <t>2024-08-20T00:23:28.000Z</t>
  </si>
  <si>
    <t>9ccc32a9-ee93-4997-9cc6-cfe2906ab3f4</t>
  </si>
  <si>
    <t>2024-07-30T21:20:41.000Z</t>
  </si>
  <si>
    <t>2024-08-20T00:23:27.000Z</t>
  </si>
  <si>
    <t>52ff8fe6-83b5-4d0f-b32c-ff3053916829</t>
  </si>
  <si>
    <t>2024-07-30T19:50:47.000Z</t>
  </si>
  <si>
    <t>2024-08-20T00:23:25.000Z</t>
  </si>
  <si>
    <t>075d8df4-2124-4817-8d96-8e0b733c10b2</t>
  </si>
  <si>
    <t>2024-07-30T19:50:02.000Z</t>
  </si>
  <si>
    <t>2024-08-20T00:23:24.000Z</t>
  </si>
  <si>
    <t>ef8f18bb-7929-4f06-971c-4a612ae0852f</t>
  </si>
  <si>
    <t>2024-07-30T19:48:28.000Z</t>
  </si>
  <si>
    <t>2024-08-20T00:23:20.000Z</t>
  </si>
  <si>
    <t>caff3fae-80da-4101-b01d-ab6989c457b8</t>
  </si>
  <si>
    <t>2024-07-30T19:47:38.000Z</t>
  </si>
  <si>
    <t>2024-08-20T00:23:19.000Z</t>
  </si>
  <si>
    <t>2f0104f6-548f-427b-85e4-82e2a6a6828a</t>
  </si>
  <si>
    <t>2024-07-30T19:46:09.000Z</t>
  </si>
  <si>
    <t>2024-08-20T00:23:17.000Z</t>
  </si>
  <si>
    <t>31127982-d45e-4db1-bae7-a9121aaea505</t>
  </si>
  <si>
    <t>2024-07-30T19:44:40.000Z</t>
  </si>
  <si>
    <t>2024-08-20T00:20:52.000Z</t>
  </si>
  <si>
    <t>cff73b6f-3c0c-4a2a-b439-a31239bfa4fb</t>
  </si>
  <si>
    <t>2024-07-30T19:42:04.000Z</t>
  </si>
  <si>
    <t>2024-08-20T00:20:51.000Z</t>
  </si>
  <si>
    <t>d27e30bd-1fbf-45ac-b404-b5e52034550b</t>
  </si>
  <si>
    <t>2024-07-30T19:37:27.000Z</t>
  </si>
  <si>
    <t>2024-08-20T00:20:49.000Z</t>
  </si>
  <si>
    <t>13:40 Medio</t>
  </si>
  <si>
    <t>9628dbd8-db40-4fb6-ab1a-abd5b60d6a9c</t>
  </si>
  <si>
    <t>2024-07-30T19:33:12.000Z</t>
  </si>
  <si>
    <t>2024-08-20T00:20:48.000Z</t>
  </si>
  <si>
    <t>cd6fd9fa-c451-4d94-89fe-383d95b430b2</t>
  </si>
  <si>
    <t>2024-07-30T18:12:16.000Z</t>
  </si>
  <si>
    <t>2024-08-20T00:20:43.000Z</t>
  </si>
  <si>
    <t>1f96a59c-f9f0-4de7-91eb-e01819befdd9</t>
  </si>
  <si>
    <t>2024-07-30T18:00:43.000Z</t>
  </si>
  <si>
    <t>2024-08-20T00:20:39.000Z</t>
  </si>
  <si>
    <t>13:00 Medio</t>
  </si>
  <si>
    <t>e738cfb9-e673-4c7e-b844-16139c995b42</t>
  </si>
  <si>
    <t>2024-07-30T17:59:53.000Z</t>
  </si>
  <si>
    <t>2024-08-20T00:20:38.000Z</t>
  </si>
  <si>
    <t>12:50 Bajo</t>
  </si>
  <si>
    <t>1b713e6d-e1c4-4a8a-8ac9-77e65ce91d55</t>
  </si>
  <si>
    <t>2024-07-30T17:43:57.000Z</t>
  </si>
  <si>
    <t>2024-08-20T00:20:35.000Z</t>
  </si>
  <si>
    <t>d50e0694-ffe9-4dae-9c50-bcac949a346f</t>
  </si>
  <si>
    <t>2024-07-30T17:43:03.000Z</t>
  </si>
  <si>
    <t>2024-08-20T00:18:58.000Z</t>
  </si>
  <si>
    <t>de368567-0db9-4eac-93eb-d552e78985f5</t>
  </si>
  <si>
    <t>2024-07-30T17:41:15.000Z</t>
  </si>
  <si>
    <t>2024-08-20T00:18:56.000Z</t>
  </si>
  <si>
    <t>0027a77a-713f-42d3-addd-d0e6faa17748</t>
  </si>
  <si>
    <t>2024-07-30T17:39:13.000Z</t>
  </si>
  <si>
    <t>2024-08-20T00:18:55.000Z</t>
  </si>
  <si>
    <t>5a80fd2a-4269-4dae-a6f1-ee60344d078b</t>
  </si>
  <si>
    <t>2024-07-26T12:19:28.000Z</t>
  </si>
  <si>
    <t>2024-07-30T00:45:04.000Z</t>
  </si>
  <si>
    <t>77194cfb-62d9-459f-8043-2e2a9b81c36e</t>
  </si>
  <si>
    <t>2024-07-25T20:53:52.000Z</t>
  </si>
  <si>
    <t>2024-07-30T00:44:47.000Z</t>
  </si>
  <si>
    <t>40a8b974-63a1-4ae0-a789-87544133a09a</t>
  </si>
  <si>
    <t>2024-07-25T20:53:38.000Z</t>
  </si>
  <si>
    <t>2024-07-30T00:44:45.000Z</t>
  </si>
  <si>
    <t>133a2bbd-68c2-423b-a8b1-e5bd027cb6f4</t>
  </si>
  <si>
    <t>2024-07-25T20:53:24.000Z</t>
  </si>
  <si>
    <t>2024-07-30T00:44:43.000Z</t>
  </si>
  <si>
    <t>7de0c7b6-552f-4e1f-96b6-b77d6c76b1b4</t>
  </si>
  <si>
    <t>2024-07-25T20:53:04.000Z</t>
  </si>
  <si>
    <t>2024-07-30T00:44:41.000Z</t>
  </si>
  <si>
    <t>29905f21-7bf1-42e2-bcc8-1d458af50eae</t>
  </si>
  <si>
    <t>2024-07-25T20:52:49.000Z</t>
  </si>
  <si>
    <t>2024-07-30T00:44:40.000Z</t>
  </si>
  <si>
    <t>6f9059b5-e2d9-480b-96e1-fa39dbd06818</t>
  </si>
  <si>
    <t>2024-07-25T20:52:34.000Z</t>
  </si>
  <si>
    <t>2024-07-30T00:44:39.000Z</t>
  </si>
  <si>
    <t>e015b070-1b8b-4b17-a923-22ad0cc10739</t>
  </si>
  <si>
    <t>2024-07-25T20:52:16.000Z</t>
  </si>
  <si>
    <t>2024-07-30T00:44:37.000Z</t>
  </si>
  <si>
    <t>9c4eef4e-8164-45b3-8689-ae6827b79a88</t>
  </si>
  <si>
    <t>2024-07-25T20:51:43.000Z</t>
  </si>
  <si>
    <t>2024-07-30T00:44:35.000Z</t>
  </si>
  <si>
    <t>37209ffa-4c3b-4f96-8824-935b2cdc0d1f</t>
  </si>
  <si>
    <t>2024-07-25T20:51:27.000Z</t>
  </si>
  <si>
    <t>2024-07-30T00:44:34.000Z</t>
  </si>
  <si>
    <t>7fc67a25-faf8-4e9a-afa6-daff284f3895</t>
  </si>
  <si>
    <t>2024-07-25T20:50:38.000Z</t>
  </si>
  <si>
    <t>2024-07-30T00:44:32.000Z</t>
  </si>
  <si>
    <t>54f53722-2e56-4f3a-bad9-9c122ebaea76</t>
  </si>
  <si>
    <t>2024-07-25T20:50:24.000Z</t>
  </si>
  <si>
    <t>2024-07-30T00:44:31.000Z</t>
  </si>
  <si>
    <t>40d750b3-3af4-4110-b602-525e09d831f9</t>
  </si>
  <si>
    <t>2024-07-25T20:50:07.000Z</t>
  </si>
  <si>
    <t>2024-07-30T00:44:29.000Z</t>
  </si>
  <si>
    <t>7c733edf-4c08-4c9f-9ca6-ce1711cab4ea</t>
  </si>
  <si>
    <t>2024-07-25T20:49:09.000Z</t>
  </si>
  <si>
    <t>2024-07-30T00:44:27.000Z</t>
  </si>
  <si>
    <t>9102fc5c-13d1-4b5a-a056-e0606e4503cd</t>
  </si>
  <si>
    <t>2024-07-25T18:41:02.000Z</t>
  </si>
  <si>
    <t>2024-07-30T00:44:24.000Z</t>
  </si>
  <si>
    <t>fae68551-49be-42e1-a73d-0a2a49640e77</t>
  </si>
  <si>
    <t>2024-07-25T14:57:15.000Z</t>
  </si>
  <si>
    <t>2024-07-30T00:44:13.000Z</t>
  </si>
  <si>
    <t>f10aa117-4104-4f89-bfc8-439a19d967d1</t>
  </si>
  <si>
    <t>2024-07-25T14:47:50.000Z</t>
  </si>
  <si>
    <t>2024-07-30T00:44:11.000Z</t>
  </si>
  <si>
    <t>Juego</t>
  </si>
  <si>
    <t>Mutuo</t>
  </si>
  <si>
    <t>Ambar/Juv</t>
  </si>
  <si>
    <t>726a5de2-ba7a-42fa-85b2-9d4fef1e9794</t>
  </si>
  <si>
    <t>2024-07-25T14:37:14.000Z</t>
  </si>
  <si>
    <t>2024-07-30T00:44:08.000Z</t>
  </si>
  <si>
    <t>5eea3a99-ea09-4336-8649-52b27203957c</t>
  </si>
  <si>
    <t>2024-07-25T14:36:07.000Z</t>
  </si>
  <si>
    <t>2024-07-30T00:44:06.000Z</t>
  </si>
  <si>
    <t>7ad4480a-4b3f-4bda-9a6e-c994c04787c3</t>
  </si>
  <si>
    <t>2024-07-25T14:35:03.000Z</t>
  </si>
  <si>
    <t>2024-07-30T00:44:05.000Z</t>
  </si>
  <si>
    <t>4261b467-f768-4f7e-bc85-c6dbc18e5a93</t>
  </si>
  <si>
    <t>2024-07-25T14:33:30.000Z</t>
  </si>
  <si>
    <t>2024-07-30T00:44:01.000Z</t>
  </si>
  <si>
    <t>65c4a7f1-810d-4899-b9aa-4970ce790ad9</t>
  </si>
  <si>
    <t>2024-07-25T14:31:17.000Z</t>
  </si>
  <si>
    <t>2024-07-30T00:44:00.000Z</t>
  </si>
  <si>
    <t>95cbc616-d21c-4868-86c9-f5604571e893</t>
  </si>
  <si>
    <t>2024-07-25T14:28:47.000Z</t>
  </si>
  <si>
    <t>2024-07-30T00:43:58.000Z</t>
  </si>
  <si>
    <t>465df08a-5841-475c-9af1-5953b848020b</t>
  </si>
  <si>
    <t>2024-07-25T13:18:50.000Z</t>
  </si>
  <si>
    <t>2024-07-30T00:43:48.000Z</t>
  </si>
  <si>
    <t>9d7ffa67-9d16-4c76-ab4a-0efb97ba93c9</t>
  </si>
  <si>
    <t>2024-07-25T13:01:30.000Z</t>
  </si>
  <si>
    <t>2024-07-30T00:43:47.000Z</t>
  </si>
  <si>
    <t>0c5af8dd-fa57-4300-ae5a-1cae8458b0ae</t>
  </si>
  <si>
    <t>2024-07-25T12:59:13.000Z</t>
  </si>
  <si>
    <t>2024-07-30T00:43:45.000Z</t>
  </si>
  <si>
    <t>ec6da395-a957-46c9-b196-5c956c055c91</t>
  </si>
  <si>
    <t>2024-07-25T12:58:03.000Z</t>
  </si>
  <si>
    <t>2024-07-30T00:43:40.000Z</t>
  </si>
  <si>
    <t>6a782750-2c63-4381-a00a-e9fb3d05719b</t>
  </si>
  <si>
    <t>2024-07-25T12:34:49.000Z</t>
  </si>
  <si>
    <t>2024-07-30T00:43:39.000Z</t>
  </si>
  <si>
    <t>6bae02b9-ee06-48c4-8b4d-46975a3e825d</t>
  </si>
  <si>
    <t>2024-07-25T12:31:36.000Z</t>
  </si>
  <si>
    <t>2024-07-30T00:43:35.000Z</t>
  </si>
  <si>
    <t>8a200699-e05e-4c00-b940-7726212fb443</t>
  </si>
  <si>
    <t>2024-07-25T12:15:45.000Z</t>
  </si>
  <si>
    <t>2024-07-30T00:43:34.000Z</t>
  </si>
  <si>
    <t>Ambar/AFL</t>
  </si>
  <si>
    <t>86bc3ca0-f5a3-44e8-b893-d2c6ed748494</t>
  </si>
  <si>
    <t>2024-07-24T22:43:37.000Z</t>
  </si>
  <si>
    <t>2024-07-30T00:40:27.000Z</t>
  </si>
  <si>
    <t>b1bd9e7d-49ac-4680-8461-ce93110a71f6</t>
  </si>
  <si>
    <t>2024-07-24T22:35:50.000Z</t>
  </si>
  <si>
    <t>2024-07-30T00:40:25.000Z</t>
  </si>
  <si>
    <t>484c729a-f8f7-401c-a113-e980462d15d8</t>
  </si>
  <si>
    <t>2024-07-24T22:21:13.000Z</t>
  </si>
  <si>
    <t>2024-07-30T00:40:23.000Z</t>
  </si>
  <si>
    <t>654e5751-b67b-4573-8693-311683cef54f</t>
  </si>
  <si>
    <t>2024-07-24T22:10:24.000Z</t>
  </si>
  <si>
    <t>2024-07-30T00:40:20.000Z</t>
  </si>
  <si>
    <t>108a95ab-e34d-480e-b34d-0bbc844b65b9</t>
  </si>
  <si>
    <t>2024-07-24T22:06:49.000Z</t>
  </si>
  <si>
    <t>2024-07-30T00:40:18.000Z</t>
  </si>
  <si>
    <t>c09d628d-5412-4336-94c6-a280df0a1f40</t>
  </si>
  <si>
    <t>2024-07-24T17:14:27.000Z</t>
  </si>
  <si>
    <t>2024-07-30T00:40:10.000Z</t>
  </si>
  <si>
    <t>9aceeaf6-025d-46f2-ad40-bddb5bb9c332</t>
  </si>
  <si>
    <t>2024-07-24T17:13:33.000Z</t>
  </si>
  <si>
    <t>2024-07-30T00:40:09.000Z</t>
  </si>
  <si>
    <t>caf7a389-d144-4ec1-8908-362b9cd9244e</t>
  </si>
  <si>
    <t>2024-07-24T17:12:20.000Z</t>
  </si>
  <si>
    <t>2024-07-30T00:40:07.000Z</t>
  </si>
  <si>
    <t>1e9ef9b7-d868-4ba3-bfe3-07e132dc6b13</t>
  </si>
  <si>
    <t>2024-07-24T17:11:16.000Z</t>
  </si>
  <si>
    <t>2024-07-30T00:40:05.000Z</t>
  </si>
  <si>
    <t>17493cb0-2474-41e9-9061-9b0be815e7a9</t>
  </si>
  <si>
    <t>2024-07-24T17:08:01.000Z</t>
  </si>
  <si>
    <t>2024-07-30T00:40:02.000Z</t>
  </si>
  <si>
    <t>b5d5a329-ac33-4ce5-8759-745ec73e8882</t>
  </si>
  <si>
    <t>2024-07-24T17:05:16.000Z</t>
  </si>
  <si>
    <t>2024-07-30T00:40:00.000Z</t>
  </si>
  <si>
    <t>Madera</t>
  </si>
  <si>
    <t>Al. Madera</t>
  </si>
  <si>
    <t>bb19d709-bc10-4590-a1a2-9e49bb0463b5</t>
  </si>
  <si>
    <t>2024-07-24T17:04:13.000Z</t>
  </si>
  <si>
    <t>2024-07-30T00:39:58.000Z</t>
  </si>
  <si>
    <t>9af1cd3b-6b1a-469c-90ab-669f382e175e</t>
  </si>
  <si>
    <t>2024-07-24T17:02:22.000Z</t>
  </si>
  <si>
    <t>2024-07-30T00:39:57.000Z</t>
  </si>
  <si>
    <t>46eb80f0-0215-4f75-a746-1e8f2c59161a</t>
  </si>
  <si>
    <t>2024-07-24T16:58:06.000Z</t>
  </si>
  <si>
    <t>2024-07-30T00:39:55.000Z</t>
  </si>
  <si>
    <t>1ee2db90-8cc5-48f0-a090-5211e547931f</t>
  </si>
  <si>
    <t>2024-07-24T16:56:20.000Z</t>
  </si>
  <si>
    <t>2024-07-30T00:39:54.000Z</t>
  </si>
  <si>
    <t>22eaaba0-6882-452f-9717-0994925764f8</t>
  </si>
  <si>
    <t>2024-07-24T16:53:26.000Z</t>
  </si>
  <si>
    <t>2024-07-30T00:39:51.000Z</t>
  </si>
  <si>
    <t>b8eb8d3e-a6a9-4df1-926c-ebf25ae5cf00</t>
  </si>
  <si>
    <t>2024-07-24T16:51:49.000Z</t>
  </si>
  <si>
    <t>2024-07-30T00:39:50.000Z</t>
  </si>
  <si>
    <t>93642369-cae9-47b2-bdc6-49a58c62d43f</t>
  </si>
  <si>
    <t>2024-07-24T16:48:10.000Z</t>
  </si>
  <si>
    <t>2024-07-30T00:39:49.000Z</t>
  </si>
  <si>
    <t>7561131c-ad0f-4890-b912-febae151c72d</t>
  </si>
  <si>
    <t>2024-07-24T16:46:21.000Z</t>
  </si>
  <si>
    <t>2024-07-30T00:39:48.000Z</t>
  </si>
  <si>
    <t>5a9c4dff-ad15-4afb-aef6-7e17401b9321</t>
  </si>
  <si>
    <t>2024-07-24T16:42:57.000Z</t>
  </si>
  <si>
    <t>2024-07-30T00:39:45.000Z</t>
  </si>
  <si>
    <t>d8738744-73f8-4d12-ac19-e0c08105e7e9</t>
  </si>
  <si>
    <t>2024-07-24T14:45:31.000Z</t>
  </si>
  <si>
    <t>2024-07-30T00:39:35.000Z</t>
  </si>
  <si>
    <t>9d8e7f74-cb03-40f3-8f82-bac06c21b763</t>
  </si>
  <si>
    <t>2024-07-24T14:44:51.000Z</t>
  </si>
  <si>
    <t>2024-07-30T00:39:33.000Z</t>
  </si>
  <si>
    <t>3877117c-4ac8-42cf-a35b-8371a7eb7df6</t>
  </si>
  <si>
    <t>2024-07-24T14:21:41.000Z</t>
  </si>
  <si>
    <t>2024-07-30T00:39:28.000Z</t>
  </si>
  <si>
    <t>91c1cd60-3de9-481e-b27e-cc443ed8f148</t>
  </si>
  <si>
    <t>2024-07-24T14:18:51.000Z</t>
  </si>
  <si>
    <t>2024-07-30T00:39:25.000Z</t>
  </si>
  <si>
    <t>96fa9997-9e10-4060-a2d2-a097b0af4d75</t>
  </si>
  <si>
    <t>2024-07-24T14:04:59.000Z</t>
  </si>
  <si>
    <t>2024-07-30T00:39:24.000Z</t>
  </si>
  <si>
    <t>63652e9d-ad99-4df3-a308-7fa1cb5a8720</t>
  </si>
  <si>
    <t>2024-07-24T13:41:14.000Z</t>
  </si>
  <si>
    <t>2024-07-30T00:39:13.000Z</t>
  </si>
  <si>
    <t>69db25c1-66bb-43c9-9ea3-fc59f1fb7ad6</t>
  </si>
  <si>
    <t>2024-07-24T13:31:37.000Z</t>
  </si>
  <si>
    <t>2024-07-30T00:39:11.000Z</t>
  </si>
  <si>
    <t>871a77c7-9296-47bf-9db6-65576d803b2a</t>
  </si>
  <si>
    <t>2024-07-24T13:22:23.000Z</t>
  </si>
  <si>
    <t>2024-07-30T00:39:10.000Z</t>
  </si>
  <si>
    <t>31fa834a-91c1-4e4e-ba26-27df57eb312b</t>
  </si>
  <si>
    <t>2024-07-24T13:20:29.000Z</t>
  </si>
  <si>
    <t>2024-07-30T00:39:08.000Z</t>
  </si>
  <si>
    <t>78f550f8-88d7-4707-b4a2-446e6b6fe2ad</t>
  </si>
  <si>
    <t>2024-07-24T13:04:42.000Z</t>
  </si>
  <si>
    <t>2024-07-30T00:39:07.000Z</t>
  </si>
  <si>
    <t>b0adabd1-43b3-478d-bdda-42b770f50ef5</t>
  </si>
  <si>
    <t>2024-07-23T23:23:41.000Z</t>
  </si>
  <si>
    <t>2024-07-30T00:43:23.000Z</t>
  </si>
  <si>
    <t>18:20 Alto</t>
  </si>
  <si>
    <t>24a828fc-e98d-40d9-bc7a-233967b82e48</t>
  </si>
  <si>
    <t>2024-07-23T23:22:55.000Z</t>
  </si>
  <si>
    <t>2024-07-30T00:43:22.000Z</t>
  </si>
  <si>
    <t>18:10 Alto</t>
  </si>
  <si>
    <t>8e5c5f73-4aac-494f-aa20-8fbf23575798</t>
  </si>
  <si>
    <t>2024-07-23T23:22:24.000Z</t>
  </si>
  <si>
    <t>2024-07-30T00:43:20.000Z</t>
  </si>
  <si>
    <t>18:00 Alto</t>
  </si>
  <si>
    <t>4d91ad93-b3fc-4e32-ba89-1be18de32c08</t>
  </si>
  <si>
    <t>2024-07-23T23:21:48.000Z</t>
  </si>
  <si>
    <t>2024-07-30T00:43:19.000Z</t>
  </si>
  <si>
    <t>8b38f804-6d2c-403f-adf8-a7f6c2aca179</t>
  </si>
  <si>
    <t>2024-07-23T23:21:16.000Z</t>
  </si>
  <si>
    <t>2024-07-30T00:43:17.000Z</t>
  </si>
  <si>
    <t>00019693-f782-4336-869b-186b0f73b7b7</t>
  </si>
  <si>
    <t>2024-07-23T22:32:30.000Z</t>
  </si>
  <si>
    <t>2024-07-30T00:43:12.000Z</t>
  </si>
  <si>
    <t>8542d7b8-e684-4ca6-bc65-82ae6cf3e0ec</t>
  </si>
  <si>
    <t>2024-07-23T22:32:04.000Z</t>
  </si>
  <si>
    <t>2024-07-30T00:43:10.000Z</t>
  </si>
  <si>
    <t>f386d797-1766-4629-98e7-ea52d2fb088d</t>
  </si>
  <si>
    <t>2024-07-23T22:17:04.000Z</t>
  </si>
  <si>
    <t>2024-07-30T00:43:07.000Z</t>
  </si>
  <si>
    <t>c75d6719-00aa-4ec6-8a4d-ca8598b31e73</t>
  </si>
  <si>
    <t>2024-07-23T22:15:06.000Z</t>
  </si>
  <si>
    <t>2024-07-30T00:43:05.000Z</t>
  </si>
  <si>
    <t>e24f48e6-6ddb-4d5e-a743-a510288135c7</t>
  </si>
  <si>
    <t>2024-07-23T22:10:22.000Z</t>
  </si>
  <si>
    <t>2024-07-30T00:43:03.000Z</t>
  </si>
  <si>
    <t>c22a388c-9444-48a2-ab4e-dc3f9359affb</t>
  </si>
  <si>
    <t>2024-07-23T21:43:10.000Z</t>
  </si>
  <si>
    <t>2024-07-30T00:42:52.000Z</t>
  </si>
  <si>
    <t>f1c99094-e5ba-46a3-a3c8-863f4b806a87</t>
  </si>
  <si>
    <t>2024-07-23T21:40:51.000Z</t>
  </si>
  <si>
    <t>2024-07-30T00:42:51.000Z</t>
  </si>
  <si>
    <t>16:30 Medio</t>
  </si>
  <si>
    <t>6da7c63e-94f3-4d2c-ae3e-280f17cf9712</t>
  </si>
  <si>
    <t>2024-07-23T21:39:28.000Z</t>
  </si>
  <si>
    <t>2024-07-30T00:42:49.000Z</t>
  </si>
  <si>
    <t>7847c563-44e2-4ed7-bfdb-6afb87d56e11</t>
  </si>
  <si>
    <t>2024-07-23T21:37:55.000Z</t>
  </si>
  <si>
    <t>2024-07-30T00:42:47.000Z</t>
  </si>
  <si>
    <t>050eff84-602d-4259-aaa1-d1eee9a5f42e</t>
  </si>
  <si>
    <t>2024-07-23T21:35:37.000Z</t>
  </si>
  <si>
    <t>2024-07-30T00:42:45.000Z</t>
  </si>
  <si>
    <t>6da09ed8-b4ec-4fa1-9f4a-4380395cea58</t>
  </si>
  <si>
    <t>2024-07-23T20:53:18.000Z</t>
  </si>
  <si>
    <t>2024-07-30T00:42:40.000Z</t>
  </si>
  <si>
    <t>3c247370-c049-4969-9f9d-211f8b8c2a8c</t>
  </si>
  <si>
    <t>2024-07-23T20:52:29.000Z</t>
  </si>
  <si>
    <t>2024-07-30T00:42:39.000Z</t>
  </si>
  <si>
    <t>922b7844-397f-4dad-91df-b32625253be8</t>
  </si>
  <si>
    <t>2024-07-23T20:48:38.000Z</t>
  </si>
  <si>
    <t>2024-07-30T00:42:37.000Z</t>
  </si>
  <si>
    <t>02ccc4af-9c4d-4eb3-84ac-adfd02d9a014</t>
  </si>
  <si>
    <t>2024-07-23T20:25:43.000Z</t>
  </si>
  <si>
    <t>2024-07-30T00:42:31.000Z</t>
  </si>
  <si>
    <t>cc65fa0d-2f6a-4963-9d7c-3bf0bd6aa73f</t>
  </si>
  <si>
    <t>2024-07-23T20:10:11.000Z</t>
  </si>
  <si>
    <t>2024-07-30T00:42:30.000Z</t>
  </si>
  <si>
    <t>d3689d7c-09e6-40f0-b5a8-3adee5b7f876</t>
  </si>
  <si>
    <t>2024-07-23T20:09:38.000Z</t>
  </si>
  <si>
    <t>2024-07-30T00:42:28.000Z</t>
  </si>
  <si>
    <t>c21caee2-ed8a-473a-b133-8028c5c47007</t>
  </si>
  <si>
    <t>2024-07-23T19:48:52.000Z</t>
  </si>
  <si>
    <t>2024-07-30T00:42:25.000Z</t>
  </si>
  <si>
    <t>231f8924-be1a-48cc-aa73-92c163ddad12</t>
  </si>
  <si>
    <t>2024-07-23T19:42:21.000Z</t>
  </si>
  <si>
    <t>2024-07-30T00:42:23.000Z</t>
  </si>
  <si>
    <t>2d0872dc-72c5-48fd-8c82-bfac2eb9dd7d</t>
  </si>
  <si>
    <t>2024-07-23T19:42:06.000Z</t>
  </si>
  <si>
    <t>2024-07-30T00:42:21.000Z</t>
  </si>
  <si>
    <t>e34fe4da-38ef-4e9b-b326-62eb1c990d0b</t>
  </si>
  <si>
    <t>2024-07-23T19:21:14.000Z</t>
  </si>
  <si>
    <t>2024-07-30T00:42:20.000Z</t>
  </si>
  <si>
    <t>b3ca6884-118b-41bd-83d5-55445b4f321b</t>
  </si>
  <si>
    <t>2024-07-23T19:11:00.000Z</t>
  </si>
  <si>
    <t>2024-07-30T00:42:18.000Z</t>
  </si>
  <si>
    <t>118d3622-cda6-459d-b683-6855691fca92</t>
  </si>
  <si>
    <t>2024-07-23T18:59:55.000Z</t>
  </si>
  <si>
    <t>2024-07-30T00:42:17.000Z</t>
  </si>
  <si>
    <t>31f0d6e7-3d4f-4af2-b45e-321c540b82b5</t>
  </si>
  <si>
    <t>2024-07-23T18:51:27.000Z</t>
  </si>
  <si>
    <t>2024-07-30T00:42:14.000Z</t>
  </si>
  <si>
    <t>24ae1d00-7e66-418e-a8ab-2558cb2f512b</t>
  </si>
  <si>
    <t>2024-07-23T18:40:38.000Z</t>
  </si>
  <si>
    <t>2024-07-30T00:42:13.000Z</t>
  </si>
  <si>
    <t>d346e56e-c1ad-43e4-af4a-328ba0399de6</t>
  </si>
  <si>
    <t>2024-07-23T18:29:45.000Z</t>
  </si>
  <si>
    <t>2024-07-30T00:42:12.000Z</t>
  </si>
  <si>
    <t>9992835d-06ed-4885-9ef3-8f959c11d45f</t>
  </si>
  <si>
    <t>2024-07-23T18:20:49.000Z</t>
  </si>
  <si>
    <t>2024-07-30T00:42:10.000Z</t>
  </si>
  <si>
    <t>82d31c6c-588e-43dd-8a43-90218498e1c8</t>
  </si>
  <si>
    <t>2024-07-23T18:09:46.000Z</t>
  </si>
  <si>
    <t>2024-07-30T00:42:08.000Z</t>
  </si>
  <si>
    <t>7a273417-4fc2-4384-8543-9a2373047c35</t>
  </si>
  <si>
    <t>2024-07-23T18:03:44.000Z</t>
  </si>
  <si>
    <t>2024-07-30T00:42:05.000Z</t>
  </si>
  <si>
    <t>2bc91a80-a555-4087-a98f-f8cd885c583b</t>
  </si>
  <si>
    <t>2024-07-23T18:03:19.000Z</t>
  </si>
  <si>
    <t>2024-07-30T00:42:03.000Z</t>
  </si>
  <si>
    <t>5aaf5da0-3a5c-4ca5-bb91-5d9fec33fe11</t>
  </si>
  <si>
    <t>2024-07-23T18:02:55.000Z</t>
  </si>
  <si>
    <t>2024-07-30T00:42:01.000Z</t>
  </si>
  <si>
    <t>3b0ae591-847e-4033-b9bc-1139726b05ac</t>
  </si>
  <si>
    <t>2024-07-23T18:01:30.000Z</t>
  </si>
  <si>
    <t>2024-07-30T00:42:00.000Z</t>
  </si>
  <si>
    <t>AFL/JF</t>
  </si>
  <si>
    <t>b7a20fb6-c71f-40de-b516-172fb3d04d9d</t>
  </si>
  <si>
    <t>2024-07-23T18:00:42.000Z</t>
  </si>
  <si>
    <t>2024-07-30T00:41:57.000Z</t>
  </si>
  <si>
    <t>71b5648a-aa74-45a2-afbc-f0c0676dd35e</t>
  </si>
  <si>
    <t>2024-07-23T17:59:11.000Z</t>
  </si>
  <si>
    <t>2024-07-30T00:41:58.000Z</t>
  </si>
  <si>
    <t>3499baca-58ad-407d-b13f-f18f750a6d26</t>
  </si>
  <si>
    <t>2024-07-23T17:57:21.000Z</t>
  </si>
  <si>
    <t>2024-07-30T00:41:53.000Z</t>
  </si>
  <si>
    <t>568adad3-b8e1-4d18-ad49-157974ccec95</t>
  </si>
  <si>
    <t>2024-07-23T17:56:51.000Z</t>
  </si>
  <si>
    <t>2024-07-30T00:41:52.000Z</t>
  </si>
  <si>
    <t>b826097a-56cf-4181-8842-4bbc666536ca</t>
  </si>
  <si>
    <t>2024-07-23T17:55:51.000Z</t>
  </si>
  <si>
    <t>2024-07-30T00:41:50.000Z</t>
  </si>
  <si>
    <t>e7e82296-28c8-4d61-b103-87fa6c6577db</t>
  </si>
  <si>
    <t>2024-07-23T17:49:10.000Z</t>
  </si>
  <si>
    <t>2024-07-30T00:41:46.000Z</t>
  </si>
  <si>
    <t>fb28bad6-d508-42e6-8a22-1e14ae30e2cd</t>
  </si>
  <si>
    <t>2024-07-23T17:48:13.000Z</t>
  </si>
  <si>
    <t>2024-07-30T00:41:45.000Z</t>
  </si>
  <si>
    <t>4094e97f-0025-423f-a35d-0ace1ac45342</t>
  </si>
  <si>
    <t>2024-07-23T17:47:34.000Z</t>
  </si>
  <si>
    <t>2024-07-30T00:41:44.000Z</t>
  </si>
  <si>
    <t>828a037c-f05d-4c7d-be47-b0ed87f638e1</t>
  </si>
  <si>
    <t>2024-07-23T17:44:27.000Z</t>
  </si>
  <si>
    <t>2024-07-30T00:41:38.000Z</t>
  </si>
  <si>
    <t>fc33d4a2-5403-49f0-a2db-3c64c432617c</t>
  </si>
  <si>
    <t>2024-07-23T17:41:54.000Z</t>
  </si>
  <si>
    <t>2024-07-30T00:41:42.000Z</t>
  </si>
  <si>
    <t>78033619-4e5b-40aa-a1e7-550baa805a13</t>
  </si>
  <si>
    <t>2024-07-23T17:41:15.000Z</t>
  </si>
  <si>
    <t>2024-07-30T00:41:39.000Z</t>
  </si>
  <si>
    <t>ba5950a4-9355-4da5-a9dd-9ee72f8ccb27</t>
  </si>
  <si>
    <t>2024-07-23T17:40:39.000Z</t>
  </si>
  <si>
    <t>2024-07-30T00:41:37.000Z</t>
  </si>
  <si>
    <t>3a2c6103-a126-4544-abec-167b4a288d98</t>
  </si>
  <si>
    <t>2024-07-23T15:38:08.000Z</t>
  </si>
  <si>
    <t>2024-07-30T00:41:21.000Z</t>
  </si>
  <si>
    <t>d367e417-9fb6-4aeb-acd8-43b12fccfdd0</t>
  </si>
  <si>
    <t>2024-07-23T15:36:35.000Z</t>
  </si>
  <si>
    <t>2024-07-30T00:41:19.000Z</t>
  </si>
  <si>
    <t>dc5d57fb-a2fa-41ce-9b5e-5178dc25264c</t>
  </si>
  <si>
    <t>2024-07-23T15:06:04.000Z</t>
  </si>
  <si>
    <t>2024-07-30T00:41:18.000Z</t>
  </si>
  <si>
    <t>be658d71-2f8a-44af-b7aa-4c6a85b3a009</t>
  </si>
  <si>
    <t>2024-07-23T14:50:59.000Z</t>
  </si>
  <si>
    <t>2024-07-30T00:41:14.000Z</t>
  </si>
  <si>
    <t>afb22b26-e6fb-4d39-86a1-5cf7dd82c7ae</t>
  </si>
  <si>
    <t>2024-07-23T14:50:14.000Z</t>
  </si>
  <si>
    <t>2024-07-30T00:41:12.000Z</t>
  </si>
  <si>
    <t>80374281-caa2-46ac-9b0e-3c2703a4d070</t>
  </si>
  <si>
    <t>2024-07-23T14:49:37.000Z</t>
  </si>
  <si>
    <t>2024-07-30T00:41:11.000Z</t>
  </si>
  <si>
    <t>91eaa456-d720-4f52-85d6-4aee124af645</t>
  </si>
  <si>
    <t>2024-07-23T14:48:14.000Z</t>
  </si>
  <si>
    <t>2024-07-30T00:41:09.000Z</t>
  </si>
  <si>
    <t>0fe463bf-4468-4ef5-8705-a410f9b82e06</t>
  </si>
  <si>
    <t>2024-07-23T14:47:21.000Z</t>
  </si>
  <si>
    <t>2024-07-30T00:41:08.000Z</t>
  </si>
  <si>
    <t>bdd071e0-f0cf-483a-a7ce-85750c1be6bc</t>
  </si>
  <si>
    <t>2024-07-23T14:45:53.000Z</t>
  </si>
  <si>
    <t>2024-07-30T00:41:05.000Z</t>
  </si>
  <si>
    <t>55484853-88db-4a99-81bf-6f749a521be7</t>
  </si>
  <si>
    <t>2024-07-23T14:42:28.000Z</t>
  </si>
  <si>
    <t>2024-07-30T00:41:04.000Z</t>
  </si>
  <si>
    <t>70a9a16d-c173-42d1-a99e-622fa294e19e</t>
  </si>
  <si>
    <t>2024-07-23T14:38:55.000Z</t>
  </si>
  <si>
    <t>2024-07-30T00:41:01.000Z</t>
  </si>
  <si>
    <t>a841e5ad-7ee8-4df4-8a45-297610eec938</t>
  </si>
  <si>
    <t>2024-07-23T14:37:46.000Z</t>
  </si>
  <si>
    <t>2024-07-30T00:41:03.000Z</t>
  </si>
  <si>
    <t>5d508f3c-0bb1-4b56-9df0-2b393a2ec98b</t>
  </si>
  <si>
    <t>2024-07-23T14:35:27.000Z</t>
  </si>
  <si>
    <t>2024-07-30T00:40:59.000Z</t>
  </si>
  <si>
    <t>698451b8-b494-46f0-a389-d2ab22811f4f</t>
  </si>
  <si>
    <t>2024-07-23T14:33:21.000Z</t>
  </si>
  <si>
    <t>2024-07-30T00:40:58.000Z</t>
  </si>
  <si>
    <t>af41339f-01f3-45ac-a8cc-38ea4dc53fc2</t>
  </si>
  <si>
    <t>2024-07-23T14:32:35.000Z</t>
  </si>
  <si>
    <t>2024-07-30T00:40:56.000Z</t>
  </si>
  <si>
    <t>1c0531df-0031-4c0d-afb6-2cb1bcf41b54</t>
  </si>
  <si>
    <t>2024-07-23T14:31:08.000Z</t>
  </si>
  <si>
    <t>2024-07-30T00:40:55.000Z</t>
  </si>
  <si>
    <t>57a74d08-c62a-4d62-ade3-67ff216f64ee</t>
  </si>
  <si>
    <t>2024-07-23T13:53:30.000Z</t>
  </si>
  <si>
    <t>2024-07-30T00:40:53.000Z</t>
  </si>
  <si>
    <t>63de2456-7ec9-46cd-b6e4-faf69f2e615a</t>
  </si>
  <si>
    <t>2024-07-22T20:21:47.000Z</t>
  </si>
  <si>
    <t>2024-08-20T00:18:16.000Z</t>
  </si>
  <si>
    <t>12a9916b-4e9f-47f2-a469-985a6fdd1a98</t>
  </si>
  <si>
    <t>2024-07-22T20:20:29.000Z</t>
  </si>
  <si>
    <t>2024-08-20T00:18:14.000Z</t>
  </si>
  <si>
    <t>74924226-8d9b-4edd-b960-e8d719dcdc15</t>
  </si>
  <si>
    <t>2024-07-22T20:20:18.000Z</t>
  </si>
  <si>
    <t>2024-08-20T00:18:13.000Z</t>
  </si>
  <si>
    <t>0f04cc28-41ad-4229-846a-8ce070029c5c</t>
  </si>
  <si>
    <t>2024-07-22T20:20:09.000Z</t>
  </si>
  <si>
    <t>2024-08-20T00:18:12.000Z</t>
  </si>
  <si>
    <t>568b5df7-8a69-490e-b764-3ae67cf34abe</t>
  </si>
  <si>
    <t>2024-07-22T19:49:23.000Z</t>
  </si>
  <si>
    <t>2024-08-20T00:18:07.000Z</t>
  </si>
  <si>
    <t>e7eee609-e932-4c0a-8137-483db3e48d70</t>
  </si>
  <si>
    <t>2024-07-22T19:29:40.000Z</t>
  </si>
  <si>
    <t>2024-08-20T00:18:05.000Z</t>
  </si>
  <si>
    <t>06e1ccda-ca17-4f49-8f0c-d4b3e71b8846</t>
  </si>
  <si>
    <t>2024-07-22T19:21:45.000Z</t>
  </si>
  <si>
    <t>2024-07-30T00:38:55.000Z</t>
  </si>
  <si>
    <t>0edbbccc-87ce-4b9e-bb37-b4961106e85e</t>
  </si>
  <si>
    <t>2024-07-22T18:24:00.000Z</t>
  </si>
  <si>
    <t>2024-07-30T00:38:53.000Z</t>
  </si>
  <si>
    <t>9300ce9b-5ba8-4207-95d2-ed525ae8a61f</t>
  </si>
  <si>
    <t>2024-07-22T18:22:45.000Z</t>
  </si>
  <si>
    <t>2024-07-30T00:38:51.000Z</t>
  </si>
  <si>
    <t>037fdba2-473d-457c-b22e-3ac80667881c</t>
  </si>
  <si>
    <t>2024-07-22T18:19:11.000Z</t>
  </si>
  <si>
    <t>2024-07-30T00:38:48.000Z</t>
  </si>
  <si>
    <t>e85356f6-9958-4993-935d-2adc7859e652</t>
  </si>
  <si>
    <t>2024-07-22T18:14:37.000Z</t>
  </si>
  <si>
    <t>2024-07-30T00:38:49.000Z</t>
  </si>
  <si>
    <t>becbed6a-3ab1-40a8-b250-3a5f3fcbba4c</t>
  </si>
  <si>
    <t>2024-07-22T17:52:04.000Z</t>
  </si>
  <si>
    <t>2024-07-30T00:38:41.000Z</t>
  </si>
  <si>
    <t>a17bdc7e-03e1-4bc6-bf61-da3dd3899f7f</t>
  </si>
  <si>
    <t>2024-07-22T17:45:39.000Z</t>
  </si>
  <si>
    <t>2024-07-30T00:38:37.000Z</t>
  </si>
  <si>
    <t>27680bc1-935b-4bea-8c73-9c25154e4c17</t>
  </si>
  <si>
    <t>2024-07-22T17:41:06.000Z</t>
  </si>
  <si>
    <t>2024-07-30T00:38:36.000Z</t>
  </si>
  <si>
    <t>ff8a18ca-49fd-43bf-8d67-e98bc3196b41</t>
  </si>
  <si>
    <t>2024-07-22T17:39:08.000Z</t>
  </si>
  <si>
    <t>2024-07-30T00:38:34.000Z</t>
  </si>
  <si>
    <t>d8814bb2-1820-4641-a982-e42022545d33</t>
  </si>
  <si>
    <t>2024-07-22T17:36:11.000Z</t>
  </si>
  <si>
    <t>2024-07-30T00:38:33.000Z</t>
  </si>
  <si>
    <t>14a5fcde-b008-416f-b143-fec5a5247aa4</t>
  </si>
  <si>
    <t>2024-07-22T17:34:10.000Z</t>
  </si>
  <si>
    <t>2024-07-30T00:38:31.000Z</t>
  </si>
  <si>
    <t>c7c2179c-7d08-4a50-96ce-3f085ede972e</t>
  </si>
  <si>
    <t>2024-07-22T17:26:37.000Z</t>
  </si>
  <si>
    <t>2024-07-30T00:38:29.000Z</t>
  </si>
  <si>
    <t>00a8a157-15df-4eba-adce-c36051b6e266</t>
  </si>
  <si>
    <t>2024-07-22T17:22:18.000Z</t>
  </si>
  <si>
    <t>2024-07-30T00:38:28.000Z</t>
  </si>
  <si>
    <t>55b377d0-8ba9-447b-88bf-e06a10024391</t>
  </si>
  <si>
    <t>2024-07-22T17:08:29.000Z</t>
  </si>
  <si>
    <t>2024-07-30T00:38:23.000Z</t>
  </si>
  <si>
    <t>91df860c-7f1f-4e9b-8267-ad3b1cf038b5</t>
  </si>
  <si>
    <t>2024-07-22T16:24:36.000Z</t>
  </si>
  <si>
    <t>2024-07-30T00:38:20.000Z</t>
  </si>
  <si>
    <t>c2505d01-5281-4428-b91a-27c5b34320ac</t>
  </si>
  <si>
    <t>2024-07-22T16:19:21.000Z</t>
  </si>
  <si>
    <t>2024-07-30T00:38:18.000Z</t>
  </si>
  <si>
    <t>fbb5fa2a-b673-49b1-b2db-7a3e9215b55f</t>
  </si>
  <si>
    <t>2024-07-22T16:18:10.000Z</t>
  </si>
  <si>
    <t>2024-07-30T00:38:16.000Z</t>
  </si>
  <si>
    <t>5767880c-8491-4d3b-a367-a8c13eeaabd0</t>
  </si>
  <si>
    <t>2024-07-22T16:15:41.000Z</t>
  </si>
  <si>
    <t>2024-07-30T00:38:21.000Z</t>
  </si>
  <si>
    <t>341fc61d-77d3-4fb3-a89c-94e53a47c71a</t>
  </si>
  <si>
    <t>2024-07-22T16:15:24.000Z</t>
  </si>
  <si>
    <t>2024-07-30T00:38:15.000Z</t>
  </si>
  <si>
    <t>10930740-d026-4ff6-be25-0ec74dfe57b1</t>
  </si>
  <si>
    <t>2024-07-22T16:07:05.000Z</t>
  </si>
  <si>
    <t>2024-07-30T00:38:13.000Z</t>
  </si>
  <si>
    <t>ba644343-843c-4056-b3f4-e9c6f6a768ee</t>
  </si>
  <si>
    <t>2024-07-22T16:02:16.000Z</t>
  </si>
  <si>
    <t>2024-07-30T00:38:11.000Z</t>
  </si>
  <si>
    <t>101e7048-b522-4911-97c9-09528f825368</t>
  </si>
  <si>
    <t>2024-07-22T15:42:08.000Z</t>
  </si>
  <si>
    <t>2024-07-30T00:38:09.000Z</t>
  </si>
  <si>
    <t>c52ecee5-2169-499d-9a25-3e27fb574123</t>
  </si>
  <si>
    <t>2024-07-22T15:39:25.000Z</t>
  </si>
  <si>
    <t>2024-07-30T00:38:08.000Z</t>
  </si>
  <si>
    <t>6deaee5f-405e-4881-8cfe-11fe7f3f4130</t>
  </si>
  <si>
    <t>2024-07-22T15:21:46.000Z</t>
  </si>
  <si>
    <t>2024-07-30T00:38:07.000Z</t>
  </si>
  <si>
    <t>bba37cf0-dc45-46e4-acdf-2527d9d5a6a8</t>
  </si>
  <si>
    <t>2024-07-22T14:50:14.000Z</t>
  </si>
  <si>
    <t>2024-07-30T00:38:04.000Z</t>
  </si>
  <si>
    <t>930f13df-7d20-4b11-a925-500716ed4bea</t>
  </si>
  <si>
    <t>2024-07-17T22:11:01.000Z</t>
  </si>
  <si>
    <t>2024-07-22T00:51:33.000Z</t>
  </si>
  <si>
    <t>6c79442b-56c7-4621-ab82-b8e318e6d393</t>
  </si>
  <si>
    <t>2024-07-17T22:09:53.000Z</t>
  </si>
  <si>
    <t>2024-07-22T00:51:32.000Z</t>
  </si>
  <si>
    <t>44259b1a-2485-4bcc-874b-2132dc78f94c</t>
  </si>
  <si>
    <t>2024-07-17T22:07:28.000Z</t>
  </si>
  <si>
    <t>2024-07-22T00:51:30.000Z</t>
  </si>
  <si>
    <t>2e9357e4-cdae-4140-8a06-84f80609f532</t>
  </si>
  <si>
    <t>2024-07-17T21:38:41.000Z</t>
  </si>
  <si>
    <t>2024-07-22T00:51:29.000Z</t>
  </si>
  <si>
    <t>f5d1a21e-451b-4e0f-acc4-69a85dc358e8</t>
  </si>
  <si>
    <t>2024-07-17T21:28:38.000Z</t>
  </si>
  <si>
    <t>2024-07-22T00:51:27.000Z</t>
  </si>
  <si>
    <t>5a601724-51a4-4d9b-8ad7-fec8096560ef</t>
  </si>
  <si>
    <t>2024-07-17T21:26:23.000Z</t>
  </si>
  <si>
    <t>2024-07-22T00:51:25.000Z</t>
  </si>
  <si>
    <t>68fef567-dcff-474b-afd7-1889f273a2c6</t>
  </si>
  <si>
    <t>2024-07-17T21:25:51.000Z</t>
  </si>
  <si>
    <t>2024-07-22T00:51:24.000Z</t>
  </si>
  <si>
    <t>8fd9ebe4-a73a-4a2a-b233-50420dc53277</t>
  </si>
  <si>
    <t>2024-07-17T21:25:06.000Z</t>
  </si>
  <si>
    <t>2024-07-22T00:51:22.000Z</t>
  </si>
  <si>
    <t>8c85d9de-84a5-456c-8820-6ffc91eb2a26</t>
  </si>
  <si>
    <t>2024-07-17T21:17:05.000Z</t>
  </si>
  <si>
    <t>2024-07-22T00:51:17.000Z</t>
  </si>
  <si>
    <t>af1bac71-90dd-43ee-ad98-3ef33ef371ad</t>
  </si>
  <si>
    <t>2024-07-17T20:34:59.000Z</t>
  </si>
  <si>
    <t>2024-07-22T00:51:16.000Z</t>
  </si>
  <si>
    <t>3fa24cfb-fa49-422f-ba6e-1d3d64150940</t>
  </si>
  <si>
    <t>2024-07-17T20:13:59.000Z</t>
  </si>
  <si>
    <t>2024-07-22T00:51:12.000Z</t>
  </si>
  <si>
    <t>a21d77b1-7109-4212-aa00-460bbe6beff4</t>
  </si>
  <si>
    <t>2024-07-17T20:11:51.000Z</t>
  </si>
  <si>
    <t>2024-07-22T00:51:10.000Z</t>
  </si>
  <si>
    <t>49597e59-22e8-4b36-a174-06ea96ad240d</t>
  </si>
  <si>
    <t>2024-07-17T20:08:38.000Z</t>
  </si>
  <si>
    <t>2024-07-22T00:51:09.000Z</t>
  </si>
  <si>
    <t>c29ad905-2872-4c9d-9a53-385fe5aa7fc5</t>
  </si>
  <si>
    <t>2024-07-17T20:01:23.000Z</t>
  </si>
  <si>
    <t>2024-07-22T00:51:06.000Z</t>
  </si>
  <si>
    <t>84842a90-aa43-4e6a-820d-efc437e42b8c</t>
  </si>
  <si>
    <t>2024-07-17T19:45:07.000Z</t>
  </si>
  <si>
    <t>2024-07-22T00:51:04.000Z</t>
  </si>
  <si>
    <t>861a5549-ab0d-43ce-baee-1ed171e812ff</t>
  </si>
  <si>
    <t>2024-07-17T19:37:02.000Z</t>
  </si>
  <si>
    <t>2024-07-22T00:51:03.000Z</t>
  </si>
  <si>
    <t>b819f262-71b8-472d-9761-36037ba8dab4</t>
  </si>
  <si>
    <t>2024-07-17T19:35:38.000Z</t>
  </si>
  <si>
    <t>2024-07-22T00:51:01.000Z</t>
  </si>
  <si>
    <t>1ffcbc8c-9fe2-428c-8a44-80f8659f1452</t>
  </si>
  <si>
    <t>2024-07-17T19:05:29.000Z</t>
  </si>
  <si>
    <t>2024-07-22T00:50:59.000Z</t>
  </si>
  <si>
    <t>b49b7ea9-7878-4700-ab09-f3509cd595b2</t>
  </si>
  <si>
    <t>2024-07-17T18:53:14.000Z</t>
  </si>
  <si>
    <t>2024-07-22T00:50:57.000Z</t>
  </si>
  <si>
    <t>08708790-e78d-40b2-88c1-8d7c722e58f4</t>
  </si>
  <si>
    <t>2024-07-17T18:52:07.000Z</t>
  </si>
  <si>
    <t>2024-07-22T00:50:56.000Z</t>
  </si>
  <si>
    <t>c4d1af4a-7ce2-48d6-a353-b20cd7ae8a67</t>
  </si>
  <si>
    <t>2024-07-17T18:30:28.000Z</t>
  </si>
  <si>
    <t>2024-07-22T00:50:54.000Z</t>
  </si>
  <si>
    <t>069bf65e-72ee-4f5f-818c-e0d909f4fc17</t>
  </si>
  <si>
    <t>2024-07-17T18:22:31.000Z</t>
  </si>
  <si>
    <t>2024-07-22T00:50:52.000Z</t>
  </si>
  <si>
    <t>ef8f75c9-2a11-4dce-a441-1147b2fb8501</t>
  </si>
  <si>
    <t>2024-07-17T18:13:36.000Z</t>
  </si>
  <si>
    <t>2024-07-22T00:50:51.000Z</t>
  </si>
  <si>
    <t>9478bffd-a14f-415f-ad84-72c5df8e8ddf</t>
  </si>
  <si>
    <t>2024-07-17T18:04:33.000Z</t>
  </si>
  <si>
    <t>2024-07-22T00:50:48.000Z</t>
  </si>
  <si>
    <t>a0ba1a98-711a-4ae8-a6e1-f8d3f5b79e03</t>
  </si>
  <si>
    <t>2024-07-17T17:52:37.000Z</t>
  </si>
  <si>
    <t>2024-07-22T00:50:46.000Z</t>
  </si>
  <si>
    <t>c1c49120-b632-4094-a918-4b337dd647e2</t>
  </si>
  <si>
    <t>2024-07-17T17:40:26.000Z</t>
  </si>
  <si>
    <t>2024-07-22T00:50:44.000Z</t>
  </si>
  <si>
    <t>ad9900ca-6002-430c-aa9a-32580eeac844</t>
  </si>
  <si>
    <t>2024-07-17T17:39:15.000Z</t>
  </si>
  <si>
    <t>2024-07-22T00:50:42.000Z</t>
  </si>
  <si>
    <t>acdf41e6-0ab6-4c9f-8daa-7ba0baa8c1d2</t>
  </si>
  <si>
    <t>2024-07-17T17:38:42.000Z</t>
  </si>
  <si>
    <t>2024-07-22T00:50:41.000Z</t>
  </si>
  <si>
    <t>ab7c5ecd-bd99-497c-9b32-ab60bf1524a0</t>
  </si>
  <si>
    <t>2024-07-17T17:38:12.000Z</t>
  </si>
  <si>
    <t>2024-07-22T00:50:38.000Z</t>
  </si>
  <si>
    <t>c06a45da-c2b0-464b-b0aa-646a35b03ee8</t>
  </si>
  <si>
    <t>2024-07-17T17:33:20.000Z</t>
  </si>
  <si>
    <t>2024-07-22T00:50:36.000Z</t>
  </si>
  <si>
    <t>7e6eca65-178f-4769-af56-bf29ae371d5f</t>
  </si>
  <si>
    <t>2024-07-17T17:32:38.000Z</t>
  </si>
  <si>
    <t>2024-07-22T00:50:35.000Z</t>
  </si>
  <si>
    <t>2cfdd5fc-0b89-4c6c-b56e-1ca88bc09ee2</t>
  </si>
  <si>
    <t>2024-07-17T17:30:51.000Z</t>
  </si>
  <si>
    <t>2024-07-22T00:50:34.000Z</t>
  </si>
  <si>
    <t>e23651d0-ac48-4608-8149-727dce29cd02</t>
  </si>
  <si>
    <t>2024-07-17T17:30:34.000Z</t>
  </si>
  <si>
    <t>2024-07-22T00:50:31.000Z</t>
  </si>
  <si>
    <t>040d7c6c-ad67-4d52-a23d-990882565b70</t>
  </si>
  <si>
    <t>2024-07-17T17:26:39.000Z</t>
  </si>
  <si>
    <t>2024-07-22T00:50:30.000Z</t>
  </si>
  <si>
    <t>ba54be99-740a-4bb4-a0c2-3464cc436140</t>
  </si>
  <si>
    <t>2024-07-17T16:16:06.000Z</t>
  </si>
  <si>
    <t>2024-07-22T00:50:23.000Z</t>
  </si>
  <si>
    <t>89547a30-5f05-4464-aa9d-dc16aeb72192</t>
  </si>
  <si>
    <t>2024-07-17T16:14:14.000Z</t>
  </si>
  <si>
    <t>2024-07-22T00:50:22.000Z</t>
  </si>
  <si>
    <t>e528cd3d-100e-4d67-ae83-2d762f994242</t>
  </si>
  <si>
    <t>2024-07-17T15:51:50.000Z</t>
  </si>
  <si>
    <t>2024-07-22T00:50:17.000Z</t>
  </si>
  <si>
    <t>a6029d84-81ea-4cea-9c72-5be859ed3f5b</t>
  </si>
  <si>
    <t>2024-07-17T15:50:10.000Z</t>
  </si>
  <si>
    <t>2024-07-22T00:50:16.000Z</t>
  </si>
  <si>
    <t>b2a82c36-75c5-4c35-86ef-dd11dcfb7b47</t>
  </si>
  <si>
    <t>2024-07-17T15:46:43.000Z</t>
  </si>
  <si>
    <t>2024-07-22T00:50:14.000Z</t>
  </si>
  <si>
    <t>7d4e9d11-ceb3-48be-9ea6-8bbf394f8800</t>
  </si>
  <si>
    <t>2024-07-17T15:44:40.000Z</t>
  </si>
  <si>
    <t>2024-07-22T00:50:13.000Z</t>
  </si>
  <si>
    <t>dd68189a-a494-4ce8-bc79-9b2340a89736</t>
  </si>
  <si>
    <t>2024-07-17T15:14:07.000Z</t>
  </si>
  <si>
    <t>2024-07-22T00:50:09.000Z</t>
  </si>
  <si>
    <t>0cae2fc6-7cbb-464c-b0ef-4db1b5aa0741</t>
  </si>
  <si>
    <t>2024-07-17T15:12:45.000Z</t>
  </si>
  <si>
    <t>2024-07-22T00:50:08.000Z</t>
  </si>
  <si>
    <t>43f3967d-baad-4f5a-a63d-d1550b506d3a</t>
  </si>
  <si>
    <t>2024-07-17T14:56:09.000Z</t>
  </si>
  <si>
    <t>2024-07-22T00:50:03.000Z</t>
  </si>
  <si>
    <t>78fa81bb-534b-4330-b882-405951cdf6ad</t>
  </si>
  <si>
    <t>2024-07-17T14:42:25.000Z</t>
  </si>
  <si>
    <t>2024-07-22T00:50:02.000Z</t>
  </si>
  <si>
    <t>648f43d5-7176-423c-b031-578dab6585f0</t>
  </si>
  <si>
    <t>2024-07-17T14:40:38.000Z</t>
  </si>
  <si>
    <t>2024-07-22T00:50:00.000Z</t>
  </si>
  <si>
    <t>1f13d5bb-27ff-4e96-b971-e460a6be877d</t>
  </si>
  <si>
    <t>2024-07-17T14:39:31.000Z</t>
  </si>
  <si>
    <t>2024-07-22T00:49:59.000Z</t>
  </si>
  <si>
    <t>108077ed-cf50-4330-901b-9c102b696d4c</t>
  </si>
  <si>
    <t>2024-07-17T14:38:11.000Z</t>
  </si>
  <si>
    <t>2024-07-22T00:49:56.000Z</t>
  </si>
  <si>
    <t>2c0c3f12-6bf9-4163-b752-0a8825906153</t>
  </si>
  <si>
    <t>2024-07-17T14:37:01.000Z</t>
  </si>
  <si>
    <t>2024-07-22T00:49:55.000Z</t>
  </si>
  <si>
    <t>c0786543-adb6-4fad-9b9d-bac5b532290b</t>
  </si>
  <si>
    <t>2024-07-16T17:24:46.000Z</t>
  </si>
  <si>
    <t>2024-07-22T00:49:25.000Z</t>
  </si>
  <si>
    <t>522ae150-925e-4028-ae3b-2b3d39b4fff1</t>
  </si>
  <si>
    <t>2024-07-16T17:24:00.000Z</t>
  </si>
  <si>
    <t>2024-07-22T00:49:24.000Z</t>
  </si>
  <si>
    <t>dc380dd7-c48a-42e1-8113-a60d68d4dbf3</t>
  </si>
  <si>
    <t>2024-07-16T17:03:49.000Z</t>
  </si>
  <si>
    <t>2024-07-22T00:49:22.000Z</t>
  </si>
  <si>
    <t>21bd4e09-693e-4180-b73d-0a1f3870ed5e</t>
  </si>
  <si>
    <t>2024-07-16T16:54:10.000Z</t>
  </si>
  <si>
    <t>2024-07-22T00:49:20.000Z</t>
  </si>
  <si>
    <t>3b06b340-e270-4690-b7cd-ddb581ac1760</t>
  </si>
  <si>
    <t>2024-07-16T16:40:54.000Z</t>
  </si>
  <si>
    <t>2024-07-22T00:49:19.000Z</t>
  </si>
  <si>
    <t>34281853-00f4-46ce-a455-8167fdbfae7b</t>
  </si>
  <si>
    <t>2024-07-16T16:34:06.000Z</t>
  </si>
  <si>
    <t>2024-07-22T00:49:17.000Z</t>
  </si>
  <si>
    <t>86438646-5e1a-447a-bde3-c0b284b2fc30</t>
  </si>
  <si>
    <t>2024-07-16T16:28:07.000Z</t>
  </si>
  <si>
    <t>2024-07-22T00:49:15.000Z</t>
  </si>
  <si>
    <t>5dda5ab8-56a7-4555-bd04-f95e3c1104e2</t>
  </si>
  <si>
    <t>2024-07-16T16:11:01.000Z</t>
  </si>
  <si>
    <t>2024-07-22T00:49:14.000Z</t>
  </si>
  <si>
    <t>e0d3f5c2-6b61-439c-980d-692f86b00a3f</t>
  </si>
  <si>
    <t>2024-07-16T16:01:28.000Z</t>
  </si>
  <si>
    <t>2024-07-22T00:49:13.000Z</t>
  </si>
  <si>
    <t>bf46843f-4814-4199-8bd5-308a048a92a2</t>
  </si>
  <si>
    <t>2024-07-16T15:53:14.000Z</t>
  </si>
  <si>
    <t>2024-07-22T00:49:11.000Z</t>
  </si>
  <si>
    <t>9e2026e5-43fd-4701-9309-72f7dbecdceb</t>
  </si>
  <si>
    <t>2024-07-16T15:47:44.000Z</t>
  </si>
  <si>
    <t>2024-07-22T00:49:09.000Z</t>
  </si>
  <si>
    <t>baa3986c-065f-4fc3-9be8-a26db837aa77</t>
  </si>
  <si>
    <t>2024-07-16T15:31:41.000Z</t>
  </si>
  <si>
    <t>2024-07-22T00:49:07.000Z</t>
  </si>
  <si>
    <t>fb4264a2-1213-474c-966f-51b4b1f993fc</t>
  </si>
  <si>
    <t>2024-07-16T15:21:39.000Z</t>
  </si>
  <si>
    <t>2024-07-22T00:49:06.000Z</t>
  </si>
  <si>
    <t>9a74241e-7845-4806-a463-145e259d6dc6</t>
  </si>
  <si>
    <t>2024-07-16T15:12:44.000Z</t>
  </si>
  <si>
    <t>2024-07-22T00:49:04.000Z</t>
  </si>
  <si>
    <t>f2cc317f-fd71-4704-9fca-8604419a0ea5</t>
  </si>
  <si>
    <t>2024-07-16T15:02:21.000Z</t>
  </si>
  <si>
    <t>2024-07-22T00:49:02.000Z</t>
  </si>
  <si>
    <t>1d0d132e-46c7-4953-ac22-c0ce1598a550</t>
  </si>
  <si>
    <t>2024-07-16T15:01:11.000Z</t>
  </si>
  <si>
    <t>2024-07-22T00:49:00.000Z</t>
  </si>
  <si>
    <t>7aeccca1-cdd9-40de-a2ea-1a67be687c26</t>
  </si>
  <si>
    <t>2024-07-16T15:00:04.000Z</t>
  </si>
  <si>
    <t>2024-07-22T00:48:59.000Z</t>
  </si>
  <si>
    <t>45f3b268-5a0a-43f0-b9c5-255d5ac434b7</t>
  </si>
  <si>
    <t>2024-07-16T14:59:04.000Z</t>
  </si>
  <si>
    <t>2024-07-22T00:48:57.000Z</t>
  </si>
  <si>
    <t>f6e0cea6-51d3-4529-ad6d-510b98badd14</t>
  </si>
  <si>
    <t>2024-07-16T14:55:50.000Z</t>
  </si>
  <si>
    <t>2024-07-22T00:48:55.000Z</t>
  </si>
  <si>
    <t>f3c82c7c-aa66-40aa-8c10-5996e5f5a8a5</t>
  </si>
  <si>
    <t>2024-07-16T14:54:11.000Z</t>
  </si>
  <si>
    <t>2024-07-22T00:48:53.000Z</t>
  </si>
  <si>
    <t>6391ab6f-0210-4032-a442-ac9856816d28</t>
  </si>
  <si>
    <t>2024-07-16T14:52:49.000Z</t>
  </si>
  <si>
    <t>2024-07-22T00:48:52.000Z</t>
  </si>
  <si>
    <t>5e41e45f-3e38-44f2-862c-304f175dcf20</t>
  </si>
  <si>
    <t>2024-07-16T13:58:09.000Z</t>
  </si>
  <si>
    <t>2024-07-22T00:48:39.000Z</t>
  </si>
  <si>
    <t>571d3677-dae7-4d42-97d0-80a5da51c609</t>
  </si>
  <si>
    <t>2024-07-16T13:53:14.000Z</t>
  </si>
  <si>
    <t>2024-07-22T00:48:37.000Z</t>
  </si>
  <si>
    <t>496f424e-a71a-4c5a-8421-8d7dfb47de87</t>
  </si>
  <si>
    <t>2024-07-16T13:31:34.000Z</t>
  </si>
  <si>
    <t>2024-07-22T00:48:32.000Z</t>
  </si>
  <si>
    <t>8ce1b678-6b4a-44f0-bae5-894c4358a15a</t>
  </si>
  <si>
    <t>2024-07-16T13:29:32.000Z</t>
  </si>
  <si>
    <t>2024-07-22T00:48:31.000Z</t>
  </si>
  <si>
    <t>4a2e0c97-f544-4c5f-8a17-09f4b437e75a</t>
  </si>
  <si>
    <t>2024-07-16T13:27:44.000Z</t>
  </si>
  <si>
    <t>2024-07-22T00:48:29.000Z</t>
  </si>
  <si>
    <t>4baff4dd-49af-4eb5-8d67-3a5d4575c9de</t>
  </si>
  <si>
    <t>2024-07-13T17:33:56.000Z</t>
  </si>
  <si>
    <t>2024-07-22T00:45:46.000Z</t>
  </si>
  <si>
    <t>fe93be64-73b9-4245-a41e-d609c3772719</t>
  </si>
  <si>
    <t>2024-07-13T17:32:51.000Z</t>
  </si>
  <si>
    <t>2024-07-22T00:45:44.000Z</t>
  </si>
  <si>
    <t>e6b3c799-b84c-4a30-827c-bbab58d298a1</t>
  </si>
  <si>
    <t>2024-07-13T17:32:24.000Z</t>
  </si>
  <si>
    <t>2024-07-22T00:45:43.000Z</t>
  </si>
  <si>
    <t>8c200445-23c1-4594-bc3f-9b2f0fc50a64</t>
  </si>
  <si>
    <t>2024-07-13T17:32:07.000Z</t>
  </si>
  <si>
    <t>2024-07-22T00:45:41.000Z</t>
  </si>
  <si>
    <t>0e71a790-19ce-4938-adea-9508700935ff</t>
  </si>
  <si>
    <t>2024-07-13T17:31:49.000Z</t>
  </si>
  <si>
    <t>2024-07-22T00:45:39.000Z</t>
  </si>
  <si>
    <t>c54870f5-23d3-405c-aee8-aca9d5d3e854</t>
  </si>
  <si>
    <t>2024-07-13T16:50:33.000Z</t>
  </si>
  <si>
    <t>2024-07-22T00:45:36.000Z</t>
  </si>
  <si>
    <t>b5b5bb2c-b883-4c14-90eb-6e285499b172</t>
  </si>
  <si>
    <t>2024-07-13T16:45:34.000Z</t>
  </si>
  <si>
    <t>2024-07-22T00:45:34.000Z</t>
  </si>
  <si>
    <t>b9cee5a5-f3f6-4ea6-b3af-b488d65fad42</t>
  </si>
  <si>
    <t>2024-07-13T16:23:06.000Z</t>
  </si>
  <si>
    <t>2024-07-22T00:45:31.000Z</t>
  </si>
  <si>
    <t>e26605dd-a5c9-4bbe-9344-bd4b6b109b3f</t>
  </si>
  <si>
    <t>2024-07-13T16:22:08.000Z</t>
  </si>
  <si>
    <t>2024-07-22T00:45:38.000Z</t>
  </si>
  <si>
    <t>Al. Indterminada</t>
  </si>
  <si>
    <t>4c064a0c-5b48-4425-98f1-474dfae5d4fe</t>
  </si>
  <si>
    <t>2024-07-13T16:02:22.000Z</t>
  </si>
  <si>
    <t>2024-07-22T00:45:29.000Z</t>
  </si>
  <si>
    <t>2439e70a-56fa-4598-adb7-c668d8b8bf94</t>
  </si>
  <si>
    <t>2024-07-13T16:01:30.000Z</t>
  </si>
  <si>
    <t>2024-07-22T00:45:32.000Z</t>
  </si>
  <si>
    <t>601f5814-f1e9-4c53-9105-fa42eff063cb</t>
  </si>
  <si>
    <t>2024-07-13T15:42:54.000Z</t>
  </si>
  <si>
    <t>2024-07-22T00:45:23.000Z</t>
  </si>
  <si>
    <t>e9582fc5-e152-46be-ad14-976c255770ac</t>
  </si>
  <si>
    <t>2024-07-13T15:41:41.000Z</t>
  </si>
  <si>
    <t>2024-07-22T00:45:21.000Z</t>
  </si>
  <si>
    <t>0ad0e28d-4b43-40db-8d2c-9f198c64fa3e</t>
  </si>
  <si>
    <t>2024-07-13T15:15:00.000Z</t>
  </si>
  <si>
    <t>2024-07-22T00:45:12.000Z</t>
  </si>
  <si>
    <t>304ba34b-49f2-40a7-9712-a85b2fbb5c18</t>
  </si>
  <si>
    <t>2024-07-13T14:48:12.000Z</t>
  </si>
  <si>
    <t>2024-07-22T00:45:06.000Z</t>
  </si>
  <si>
    <t>a7de7364-d457-465d-8142-cf88d5d2ad6d</t>
  </si>
  <si>
    <t>2024-07-13T14:40:58.000Z</t>
  </si>
  <si>
    <t>2024-07-22T00:45:03.000Z</t>
  </si>
  <si>
    <t>bd426db6-d5e5-40e2-9ed4-7f04be383637</t>
  </si>
  <si>
    <t>2024-07-12T22:05:28.000Z</t>
  </si>
  <si>
    <t>2024-07-22T00:47:57.000Z</t>
  </si>
  <si>
    <t>dbe95d0b-e14d-4b82-86fe-bfaed4903a90</t>
  </si>
  <si>
    <t>2024-07-12T22:03:12.000Z</t>
  </si>
  <si>
    <t>2024-07-22T00:47:56.000Z</t>
  </si>
  <si>
    <t>a81835c1-dab8-4dbe-9f44-da9e759e69aa</t>
  </si>
  <si>
    <t>2024-07-12T21:40:54.000Z</t>
  </si>
  <si>
    <t>2024-07-22T00:47:49.000Z</t>
  </si>
  <si>
    <t>bc280da3-aa85-49d6-8170-23d30ded1d1d</t>
  </si>
  <si>
    <t>2024-07-12T21:39:15.000Z</t>
  </si>
  <si>
    <t>2024-07-22T00:47:48.000Z</t>
  </si>
  <si>
    <t>580ebf98-ec55-4ee7-906a-19369d543e25</t>
  </si>
  <si>
    <t>2024-07-12T21:36:14.000Z</t>
  </si>
  <si>
    <t>2024-07-22T00:47:46.000Z</t>
  </si>
  <si>
    <t>63889543-29b2-40ae-ac45-f2c3ba6b42f5</t>
  </si>
  <si>
    <t>2024-07-12T21:32:52.000Z</t>
  </si>
  <si>
    <t>2024-07-22T00:47:42.000Z</t>
  </si>
  <si>
    <t>f71681b2-5ee8-4067-8288-aad7e404718f</t>
  </si>
  <si>
    <t>2024-07-12T21:26:25.000Z</t>
  </si>
  <si>
    <t>2024-07-22T00:47:41.000Z</t>
  </si>
  <si>
    <t>c85324a0-1bf5-4484-bae5-638affbb3732</t>
  </si>
  <si>
    <t>2024-07-12T21:24:20.000Z</t>
  </si>
  <si>
    <t>2024-07-22T00:47:39.000Z</t>
  </si>
  <si>
    <t>9afb90b0-b5af-464b-b93d-c375f92b5395</t>
  </si>
  <si>
    <t>2024-07-12T20:42:08.000Z</t>
  </si>
  <si>
    <t>2024-07-22T00:47:34.000Z</t>
  </si>
  <si>
    <t>eee0632f-ba4a-4915-86e2-59c1f0cdc6b2</t>
  </si>
  <si>
    <t>2024-07-12T20:40:18.000Z</t>
  </si>
  <si>
    <t>2024-07-22T00:47:33.000Z</t>
  </si>
  <si>
    <t>Amenazar</t>
  </si>
  <si>
    <t>AF/Af solit</t>
  </si>
  <si>
    <t>Otro</t>
  </si>
  <si>
    <t>66aa273b-b684-4df3-8510-43c0204748fa</t>
  </si>
  <si>
    <t>2024-07-12T20:37:32.000Z</t>
  </si>
  <si>
    <t>2024-07-22T00:47:31.000Z</t>
  </si>
  <si>
    <t>83fef358-bd14-48d2-96a5-65d132196d4e</t>
  </si>
  <si>
    <t>2024-07-12T20:36:21.000Z</t>
  </si>
  <si>
    <t>2024-07-22T00:47:29.000Z</t>
  </si>
  <si>
    <t>4efbc5a9-6243-4d1e-a44a-2dcb3211f338</t>
  </si>
  <si>
    <t>2024-07-12T20:33:09.000Z</t>
  </si>
  <si>
    <t>2024-07-22T00:47:26.000Z</t>
  </si>
  <si>
    <t>56991bd2-e774-4ad6-8cc5-c09e595b1581</t>
  </si>
  <si>
    <t>2024-07-12T20:30:44.000Z</t>
  </si>
  <si>
    <t>2024-07-22T00:47:28.000Z</t>
  </si>
  <si>
    <t>351af942-4fdd-44fd-aa8f-2e71082ef8a5</t>
  </si>
  <si>
    <t>2024-07-12T20:29:15.000Z</t>
  </si>
  <si>
    <t>2024-07-22T00:47:24.000Z</t>
  </si>
  <si>
    <t>a7d3316d-ad59-4203-ab16-1afde7696441</t>
  </si>
  <si>
    <t>2024-07-12T20:26:16.000Z</t>
  </si>
  <si>
    <t>2024-07-22T00:47:23.000Z</t>
  </si>
  <si>
    <t>e9a2ce84-8f33-481a-a377-b0db123f7e7b</t>
  </si>
  <si>
    <t>2024-07-12T19:45:44.000Z</t>
  </si>
  <si>
    <t>2024-07-22T00:47:13.000Z</t>
  </si>
  <si>
    <t>53011030-0b61-4c46-af6a-c8eca37af9b3</t>
  </si>
  <si>
    <t>2024-07-12T19:16:45.000Z</t>
  </si>
  <si>
    <t>2024-07-22T00:47:08.000Z</t>
  </si>
  <si>
    <t>79e6da28-8afd-411b-aa54-537152a8f409</t>
  </si>
  <si>
    <t>2024-07-12T19:02:50.000Z</t>
  </si>
  <si>
    <t>2024-07-22T00:47:00.000Z</t>
  </si>
  <si>
    <t>c65413cb-3582-4767-9937-4a67593faf51</t>
  </si>
  <si>
    <t>2024-07-12T18:58:08.000Z</t>
  </si>
  <si>
    <t>2024-07-22T00:46:58.000Z</t>
  </si>
  <si>
    <t>0cf842e3-b781-4a21-a524-1f7ccaced37c</t>
  </si>
  <si>
    <t>2024-07-12T18:56:40.000Z</t>
  </si>
  <si>
    <t>2024-07-22T00:46:56.000Z</t>
  </si>
  <si>
    <t>4e01885b-7ed3-403b-bdb2-78dbaae43d56</t>
  </si>
  <si>
    <t>2024-07-12T18:55:31.000Z</t>
  </si>
  <si>
    <t>2024-07-22T00:46:55.000Z</t>
  </si>
  <si>
    <t>58b7d46b-93c0-4827-aeb4-a0e0424bd8fd</t>
  </si>
  <si>
    <t>2024-07-12T18:25:14.000Z</t>
  </si>
  <si>
    <t>2024-07-22T00:46:48.000Z</t>
  </si>
  <si>
    <t>219c3587-cf49-4a67-86bf-90136f1c3a09</t>
  </si>
  <si>
    <t>2024-07-12T18:12:21.000Z</t>
  </si>
  <si>
    <t>2024-07-22T00:46:47.000Z</t>
  </si>
  <si>
    <t>904a194f-c754-4c31-bb33-ade0c55a6f06</t>
  </si>
  <si>
    <t>2024-07-12T18:04:24.000Z</t>
  </si>
  <si>
    <t>2024-07-22T00:46:45.000Z</t>
  </si>
  <si>
    <t>10b76ade-2a9f-4512-abda-4ef28ecdac0a</t>
  </si>
  <si>
    <t>2024-07-12T17:51:19.000Z</t>
  </si>
  <si>
    <t>2024-07-22T00:46:42.000Z</t>
  </si>
  <si>
    <t>7aeffe99-7c9e-4d8c-a9dd-0c30d6c6d898</t>
  </si>
  <si>
    <t>2024-07-12T17:49:59.000Z</t>
  </si>
  <si>
    <t>2024-07-22T00:46:41.000Z</t>
  </si>
  <si>
    <t>3c7afca5-f479-476f-b2af-559de6ef482e</t>
  </si>
  <si>
    <t>2024-07-12T17:32:56.000Z</t>
  </si>
  <si>
    <t>2024-07-22T00:46:38.000Z</t>
  </si>
  <si>
    <t>56cdcf4d-4c30-46d0-84e7-7eb8c4d909bc</t>
  </si>
  <si>
    <t>2024-07-12T17:22:22.000Z</t>
  </si>
  <si>
    <t>2024-07-22T00:46:34.000Z</t>
  </si>
  <si>
    <t>f8ec30a8-c10d-4a89-9f33-dc120969d3ac</t>
  </si>
  <si>
    <t>2024-07-12T17:17:33.000Z</t>
  </si>
  <si>
    <t>2024-07-22T00:46:32.000Z</t>
  </si>
  <si>
    <t>ba7de1f1-dbca-4d5c-aa7e-4b02a0835d37</t>
  </si>
  <si>
    <t>2024-07-12T17:14:54.000Z</t>
  </si>
  <si>
    <t>2024-07-22T00:46:35.000Z</t>
  </si>
  <si>
    <t>21f8f224-67b9-4637-b982-705cc9a84f64</t>
  </si>
  <si>
    <t>2024-07-12T17:13:18.000Z</t>
  </si>
  <si>
    <t>2024-07-22T00:46:30.000Z</t>
  </si>
  <si>
    <t>3c7bbb68-72d5-4d4a-ad8d-99bda2c9d364</t>
  </si>
  <si>
    <t>2024-07-12T17:12:48.000Z</t>
  </si>
  <si>
    <t>2024-07-22T00:46:29.000Z</t>
  </si>
  <si>
    <t>11:40 Medio</t>
  </si>
  <si>
    <t>31cb22c8-ef74-4680-8ac2-ce7461d4bbc4</t>
  </si>
  <si>
    <t>2024-07-12T17:10:43.000Z</t>
  </si>
  <si>
    <t>2024-07-22T00:46:28.000Z</t>
  </si>
  <si>
    <t>11:30 Medio</t>
  </si>
  <si>
    <t>da0989fb-aa6e-41e3-9238-3e6d7beb232e</t>
  </si>
  <si>
    <t>2024-07-12T16:35:19.000Z</t>
  </si>
  <si>
    <t>2024-07-22T00:46:23.000Z</t>
  </si>
  <si>
    <t>93b91c24-2e74-4886-9036-f39f70eef8ad</t>
  </si>
  <si>
    <t>2024-07-12T16:34:12.000Z</t>
  </si>
  <si>
    <t>2024-07-22T00:46:21.000Z</t>
  </si>
  <si>
    <t>fa2b4a79-f34d-490b-af23-e0175076f9b0</t>
  </si>
  <si>
    <t>2024-07-12T16:31:07.000Z</t>
  </si>
  <si>
    <t>2024-07-22T00:46:19.000Z</t>
  </si>
  <si>
    <t>1fcbed73-ffc5-4db0-9550-e838f6906c99</t>
  </si>
  <si>
    <t>2024-07-12T16:30:06.000Z</t>
  </si>
  <si>
    <t>2024-07-22T00:46:18.000Z</t>
  </si>
  <si>
    <t>36f58e7f-c72d-4972-b370-061318ff942c</t>
  </si>
  <si>
    <t>2024-07-12T15:56:13.000Z</t>
  </si>
  <si>
    <t>2024-07-22T00:46:15.000Z</t>
  </si>
  <si>
    <t>707471a9-bcb0-462e-aade-9bb6039624ef</t>
  </si>
  <si>
    <t>2024-07-12T15:36:20.000Z</t>
  </si>
  <si>
    <t>2024-07-22T00:46:13.000Z</t>
  </si>
  <si>
    <t>261f3f35-f7ac-48d6-b68f-7030b6d928ab</t>
  </si>
  <si>
    <t>2024-07-12T15:27:31.000Z</t>
  </si>
  <si>
    <t>2024-07-22T00:46:11.000Z</t>
  </si>
  <si>
    <t>6ceb7732-7976-40f8-a0be-ee191235972d</t>
  </si>
  <si>
    <t>2024-07-12T15:26:28.000Z</t>
  </si>
  <si>
    <t>2024-07-22T00:46:09.000Z</t>
  </si>
  <si>
    <t>ff970373-c489-4064-870b-445524701ab3</t>
  </si>
  <si>
    <t>2024-07-12T15:25:34.000Z</t>
  </si>
  <si>
    <t>2024-07-22T00:46:07.000Z</t>
  </si>
  <si>
    <t>AM/AF/SAF</t>
  </si>
  <si>
    <t>6c7765e7-a38c-4461-bd69-a6475542df16</t>
  </si>
  <si>
    <t>2024-07-12T15:06:39.000Z</t>
  </si>
  <si>
    <t>2024-07-22T00:46:05.000Z</t>
  </si>
  <si>
    <t>AM/AF</t>
  </si>
  <si>
    <t>c638f713-9f9c-47d7-9ce2-f50a6a673584</t>
  </si>
  <si>
    <t>2024-07-12T15:04:32.000Z</t>
  </si>
  <si>
    <t>2024-07-22T00:46:02.000Z</t>
  </si>
  <si>
    <t>bedf5292-8682-4a5b-aa57-f6f33226ac27</t>
  </si>
  <si>
    <t>2024-07-12T15:00:22.000Z</t>
  </si>
  <si>
    <t>2024-07-22T00:46:04.000Z</t>
  </si>
  <si>
    <t>c4e3b805-317e-4a55-bcbc-fed08b7d7276</t>
  </si>
  <si>
    <t>2024-07-12T14:20:14.000Z</t>
  </si>
  <si>
    <t>2024-07-22T00:45:59.000Z</t>
  </si>
  <si>
    <t>104_Hora_de_inicio</t>
  </si>
  <si>
    <t>105_Empez_antes</t>
  </si>
  <si>
    <t>106_tem_consumido</t>
  </si>
  <si>
    <t>107_tem_otro</t>
  </si>
  <si>
    <t>108_Hora_fin</t>
  </si>
  <si>
    <t>109_Cdigo_rbol</t>
  </si>
  <si>
    <t>110_Punto_GPS_rbol</t>
  </si>
  <si>
    <t>111_CAP_cm</t>
  </si>
  <si>
    <t>112_Altura_m</t>
  </si>
  <si>
    <t>113_Familia</t>
  </si>
  <si>
    <t>114_Gnero</t>
  </si>
  <si>
    <t>115_Especie</t>
  </si>
  <si>
    <t>116_Nombre_comn</t>
  </si>
  <si>
    <t>117_Notas</t>
  </si>
  <si>
    <t>8432200d-2c6d-4813-8c7a-ccc90fc727f8</t>
  </si>
  <si>
    <t>2024-10-10T18:27:32.000Z</t>
  </si>
  <si>
    <t>2024-10-11T20:05:03.000Z</t>
  </si>
  <si>
    <t>13:27 Hojas nuevas 13:37</t>
  </si>
  <si>
    <t>Guaba</t>
  </si>
  <si>
    <t>4e5abd62-7f77-4b11-955b-d7f641fad36b</t>
  </si>
  <si>
    <t>2024-10-10T17:49:30.000Z</t>
  </si>
  <si>
    <t>2024-10-11T20:04:45.000Z</t>
  </si>
  <si>
    <t>12:41 Hojas nuevas 12:49</t>
  </si>
  <si>
    <t>b51df76d-620c-4180-8809-f8f05b9a00a7</t>
  </si>
  <si>
    <t>2024-10-10T16:33:53.000Z</t>
  </si>
  <si>
    <t>2024-10-11T20:04:36.000Z</t>
  </si>
  <si>
    <t>11:29 Hojas maduras - Hojas nuevas 12:06</t>
  </si>
  <si>
    <t>AP071</t>
  </si>
  <si>
    <t>Saman</t>
  </si>
  <si>
    <t>f2767025-ac8e-47b1-b367-6a9a30561894</t>
  </si>
  <si>
    <t>2024-10-10T16:12:52.000Z</t>
  </si>
  <si>
    <t>2024-10-11T20:04:14.000Z</t>
  </si>
  <si>
    <t>11:08 Fruto inmaduro 11:12</t>
  </si>
  <si>
    <t>AP246</t>
  </si>
  <si>
    <t>a0149dca-854a-4309-804c-93c0072994ed</t>
  </si>
  <si>
    <t>2024-10-10T15:49:57.000Z</t>
  </si>
  <si>
    <t>2024-10-11T20:04:12.000Z</t>
  </si>
  <si>
    <t>10:40 Hojas maduras 10:55</t>
  </si>
  <si>
    <t>AP250</t>
  </si>
  <si>
    <t>a488f13d-f935-46a7-b32f-d14e446743e8</t>
  </si>
  <si>
    <t>2024-10-09T22:04:08.000Z</t>
  </si>
  <si>
    <t>2024-10-11T20:03:51.000Z</t>
  </si>
  <si>
    <t>16:14 Hojas nuevas - Hojas maduras 17:00</t>
  </si>
  <si>
    <t>AP177</t>
  </si>
  <si>
    <t>8e2142ea-3671-40c9-9459-8ac00c03c988</t>
  </si>
  <si>
    <t>2024-10-09T20:17:02.000Z</t>
  </si>
  <si>
    <t>2024-10-11T20:03:49.000Z</t>
  </si>
  <si>
    <t>15:00 Frutos - hojas 16:00</t>
  </si>
  <si>
    <t>AP249</t>
  </si>
  <si>
    <t>Fruto verde con gusanos naranjas dentro</t>
  </si>
  <si>
    <t>e5390a26-3567-47f9-ac78-c3c92b3211bb</t>
  </si>
  <si>
    <t>2024-10-09T15:00:29.000Z</t>
  </si>
  <si>
    <t>2024-10-11T20:02:55.000Z</t>
  </si>
  <si>
    <t>09:37 Hojas maduras 10:08</t>
  </si>
  <si>
    <t>319ec375-760d-4a23-90b0-9eed3235c047</t>
  </si>
  <si>
    <t>2024-10-09T14:32:15.000Z</t>
  </si>
  <si>
    <t>2024-10-11T20:02:30.000Z</t>
  </si>
  <si>
    <t>09:23 Flores 09:30</t>
  </si>
  <si>
    <t>AP245</t>
  </si>
  <si>
    <t>2c638d20-c613-4627-ac65-35055575dfe6</t>
  </si>
  <si>
    <t>2024-10-09T13:57:13.000Z</t>
  </si>
  <si>
    <t>2024-10-11T20:02:19.000Z</t>
  </si>
  <si>
    <t>08:50 Hojas - peciolo 09:07</t>
  </si>
  <si>
    <t>Chivin</t>
  </si>
  <si>
    <t>b17b9709-9f4c-43a8-b401-2edc8c3e3e5b</t>
  </si>
  <si>
    <t>2024-10-09T13:13:06.000Z</t>
  </si>
  <si>
    <t>2024-10-11T20:02:05.000Z</t>
  </si>
  <si>
    <t>08:08 Fruto inmaduro 08:13</t>
  </si>
  <si>
    <t>AP244</t>
  </si>
  <si>
    <t>84321d63-2bfd-42c6-83de-6a8a897553e0</t>
  </si>
  <si>
    <t>2024-10-08T22:23:58.000Z</t>
  </si>
  <si>
    <t>2024-10-09T00:49:37.000Z</t>
  </si>
  <si>
    <t>17:21 Flores 17:26</t>
  </si>
  <si>
    <t>2f7ab30c-a7d8-44c7-8437-7269ac59154d</t>
  </si>
  <si>
    <t>2024-10-08T22:06:56.000Z</t>
  </si>
  <si>
    <t>2024-10-10T21:39:29.000Z</t>
  </si>
  <si>
    <t>17:06 Hojas maduras 17:14</t>
  </si>
  <si>
    <t>AP242</t>
  </si>
  <si>
    <t>Cacao</t>
  </si>
  <si>
    <t>(Cacao del saman)</t>
  </si>
  <si>
    <t>37936018-efbc-4b5e-b3c6-9f49de9deb03</t>
  </si>
  <si>
    <t>2024-10-08T15:50:00.000Z</t>
  </si>
  <si>
    <t>2024-10-09T00:47:47.000Z</t>
  </si>
  <si>
    <t>10:45 Hojas nuevas 10:59</t>
  </si>
  <si>
    <t>Guarumo</t>
  </si>
  <si>
    <t>3a78db7b-cc36-4990-8026-f6c4a3b617c3</t>
  </si>
  <si>
    <t>2024-10-08T15:25:55.000Z</t>
  </si>
  <si>
    <t>2024-10-09T00:49:42.000Z</t>
  </si>
  <si>
    <t>10:25 Fruto maduro 10:31</t>
  </si>
  <si>
    <t>AP240</t>
  </si>
  <si>
    <t>Guayaba</t>
  </si>
  <si>
    <t>Fruto verde inmadur/amarillo maduro con semillitas, hojas puntiagudas y vennadas. Tronco liso y gris-blanquecino</t>
  </si>
  <si>
    <t>842b9162-30c7-4e39-a2cd-3ae4f070e074</t>
  </si>
  <si>
    <t>2024-10-08T15:20:42.000Z</t>
  </si>
  <si>
    <t>2024-10-09T00:47:40.000Z</t>
  </si>
  <si>
    <t>10:17 Flores 10:21</t>
  </si>
  <si>
    <t>AP241</t>
  </si>
  <si>
    <t>Inflorescencia blanca</t>
  </si>
  <si>
    <t>58d950c4-5a02-4e37-b800-4b039c7b7c53</t>
  </si>
  <si>
    <t>2024-10-08T14:43:06.000Z</t>
  </si>
  <si>
    <t>2024-10-09T00:49:45.000Z</t>
  </si>
  <si>
    <t>09:43 Flores 09:49</t>
  </si>
  <si>
    <t>AP239</t>
  </si>
  <si>
    <t>AF871 Flores blancas en inflorescencia. Codigo 6177/6180/6181/6182/6183. Canon</t>
  </si>
  <si>
    <t>120ae588-2f1f-478b-9318-2f478e79d297</t>
  </si>
  <si>
    <t>2024-10-07T20:07:45.000Z</t>
  </si>
  <si>
    <t>2024-10-09T00:30:56.000Z</t>
  </si>
  <si>
    <t>14:58 Hojas maduras 15:28</t>
  </si>
  <si>
    <t>AP234</t>
  </si>
  <si>
    <t>a7b28b5e-2f9b-48e1-a6be-3e614f10d1bb</t>
  </si>
  <si>
    <t>2024-10-07T18:26:01.000Z</t>
  </si>
  <si>
    <t>2024-10-09T00:30:26.000Z</t>
  </si>
  <si>
    <t>13:25 Hojas maduras 13:45</t>
  </si>
  <si>
    <t>14106771-79b4-4224-80e6-86c1adbd8455</t>
  </si>
  <si>
    <t>2024-10-07T15:04:32.000Z</t>
  </si>
  <si>
    <t>2024-10-09T00:29:21.000Z</t>
  </si>
  <si>
    <t>10:58 Hojas maduras 10:26</t>
  </si>
  <si>
    <t>b217eae6-093a-422d-995b-1f18142f1a76</t>
  </si>
  <si>
    <t>2024-09-26T19:23:40.000Z</t>
  </si>
  <si>
    <t>2024-10-09T00:32:24.000Z</t>
  </si>
  <si>
    <t>14:18 Flores 14:23</t>
  </si>
  <si>
    <t>AP232</t>
  </si>
  <si>
    <t>eb5a929c-6ca4-434c-97a0-e868132ed7bf</t>
  </si>
  <si>
    <t>2024-09-26T19:14:05.000Z</t>
  </si>
  <si>
    <t>2024-10-09T00:32:23.000Z</t>
  </si>
  <si>
    <t>14:08 Hojas maduras 14:13</t>
  </si>
  <si>
    <t>AP230</t>
  </si>
  <si>
    <t>8eaea906-8ea0-4a06-8cb6-49bb55bf6bb0</t>
  </si>
  <si>
    <t>2024-09-26T18:57:08.000Z</t>
  </si>
  <si>
    <t>2024-10-09T00:32:26.000Z</t>
  </si>
  <si>
    <t>13:52 Flores 14:00</t>
  </si>
  <si>
    <t>AP179</t>
  </si>
  <si>
    <t>e579647a-2a09-4607-99c7-67151b5e5045</t>
  </si>
  <si>
    <t>2024-09-26T17:50:08.000Z</t>
  </si>
  <si>
    <t>2024-10-09T00:32:05.000Z</t>
  </si>
  <si>
    <t>12:49 Hojas maduras 13:28</t>
  </si>
  <si>
    <t>AP227</t>
  </si>
  <si>
    <t>Boya</t>
  </si>
  <si>
    <t>aebd86ce-d722-4ec9-866d-ff507fa44fea</t>
  </si>
  <si>
    <t>2024-09-26T16:42:05.000Z</t>
  </si>
  <si>
    <t>2024-10-09T00:31:51.000Z</t>
  </si>
  <si>
    <t>11:36 Hojas maduras 11:49</t>
  </si>
  <si>
    <t>Liana</t>
  </si>
  <si>
    <t>7f27f718-7071-4ff1-a7d0-f9de8d30cd65</t>
  </si>
  <si>
    <t>2024-09-26T16:06:52.000Z</t>
  </si>
  <si>
    <t>2024-10-09T00:31:45.000Z</t>
  </si>
  <si>
    <t>11:06 Hojas nuevas - Hojas maduras 11:32</t>
  </si>
  <si>
    <t>6bf5a904-b611-49a2-9c1b-400b4da957d1</t>
  </si>
  <si>
    <t>2024-09-26T15:52:47.000Z</t>
  </si>
  <si>
    <t>2024-10-09T00:31:32.000Z</t>
  </si>
  <si>
    <t>10:42 Fruto inmaduro 10:59</t>
  </si>
  <si>
    <t>AP095</t>
  </si>
  <si>
    <t>Fruto verde pequeño y amarillo grande</t>
  </si>
  <si>
    <t>f3b7328e-d4c8-4ac1-ac60-5caebca1f55e</t>
  </si>
  <si>
    <t>2024-09-25T19:40:18.000Z</t>
  </si>
  <si>
    <t>2024-10-09T00:34:08.000Z</t>
  </si>
  <si>
    <t>14:27 Hojas maduras 14:43</t>
  </si>
  <si>
    <t>Lianas</t>
  </si>
  <si>
    <t>e4ab1264-92cd-4e8d-8af3-101c002649d7</t>
  </si>
  <si>
    <t>2024-09-25T18:35:52.000Z</t>
  </si>
  <si>
    <t>2024-10-09T00:33:50.000Z</t>
  </si>
  <si>
    <t>13:21 Hojas maduras 13:41</t>
  </si>
  <si>
    <t>AP114</t>
  </si>
  <si>
    <t>0ca4b660-4413-45a3-90da-fb1b3e5b7bc6</t>
  </si>
  <si>
    <t>2024-09-25T13:20:40.000Z</t>
  </si>
  <si>
    <t>2024-10-09T00:33:00.000Z</t>
  </si>
  <si>
    <t>08:20 Flores 09:03</t>
  </si>
  <si>
    <t>c29ad9e0-9bfb-489d-8571-47ff048485eb</t>
  </si>
  <si>
    <t>2024-09-24T16:16:55.000Z</t>
  </si>
  <si>
    <t>2024-10-09T00:34:56.000Z</t>
  </si>
  <si>
    <t>11:08 Flores 11:28</t>
  </si>
  <si>
    <t>AP226</t>
  </si>
  <si>
    <t>9aefc417-272e-49e2-bd62-3f796df97737</t>
  </si>
  <si>
    <t>2024-09-24T16:01:16.000Z</t>
  </si>
  <si>
    <t>2024-10-09T00:34:48.000Z</t>
  </si>
  <si>
    <t>10:53 Fruto maduro 11:00</t>
  </si>
  <si>
    <t>52c624a8-6e75-4244-aa02-2836a28dd764</t>
  </si>
  <si>
    <t>2024-09-24T15:34:30.000Z</t>
  </si>
  <si>
    <t>2024-10-09T00:34:39.000Z</t>
  </si>
  <si>
    <t>10:30 Fruto maduro 10:39</t>
  </si>
  <si>
    <t>AP225</t>
  </si>
  <si>
    <t>94c27ce1-e33d-4859-bce9-1bfa4da6c4fd</t>
  </si>
  <si>
    <t>2024-09-24T15:22:52.000Z</t>
  </si>
  <si>
    <t>2024-10-09T00:34:34.000Z</t>
  </si>
  <si>
    <t>10:19 Flores 10:28</t>
  </si>
  <si>
    <t>641ae229-2ae2-4ddb-b1e1-7bf89fc4cdb0</t>
  </si>
  <si>
    <t>2024-09-24T15:05:57.000Z</t>
  </si>
  <si>
    <t>2024-10-09T00:34:25.000Z</t>
  </si>
  <si>
    <t>10:02 Flores 10:14</t>
  </si>
  <si>
    <t>AP023</t>
  </si>
  <si>
    <t>d002b1f8-607c-49dd-99f5-e383e21180bd</t>
  </si>
  <si>
    <t>2024-09-24T14:51:25.000Z</t>
  </si>
  <si>
    <t>2024-10-09T00:34:16.000Z</t>
  </si>
  <si>
    <t>09:41 Hojas maduras 09:45</t>
  </si>
  <si>
    <t>AP194</t>
  </si>
  <si>
    <t>Arbol pan</t>
  </si>
  <si>
    <t>27f90816-7846-4b79-9e47-f45b34d1a877</t>
  </si>
  <si>
    <t>2024-09-21T16:27:17.000Z</t>
  </si>
  <si>
    <t>2024-10-09T00:27:39.000Z</t>
  </si>
  <si>
    <t>11:26 Flores 12:03</t>
  </si>
  <si>
    <t>AP212</t>
  </si>
  <si>
    <t>dd477ec6-d323-477b-8630-850844bf8565</t>
  </si>
  <si>
    <t>2024-09-18T18:33:28.000Z</t>
  </si>
  <si>
    <t>2024-10-09T00:26:38.000Z</t>
  </si>
  <si>
    <t>13:28 Hojas maduras 13:51</t>
  </si>
  <si>
    <t>AP213</t>
  </si>
  <si>
    <t>Juahillo</t>
  </si>
  <si>
    <t>b902a6dd-9b76-4e41-afd9-f9919fa8184a</t>
  </si>
  <si>
    <t>2024-09-18T16:37:26.000Z</t>
  </si>
  <si>
    <t>2024-10-09T00:26:25.000Z</t>
  </si>
  <si>
    <t>10:27 Hojas maduras 10:58</t>
  </si>
  <si>
    <t>AP214</t>
  </si>
  <si>
    <t>3ed86cb2-9395-4aa0-adfd-ecae52e132e2</t>
  </si>
  <si>
    <t>2024-09-16T20:24:08.000Z</t>
  </si>
  <si>
    <t>2024-10-09T00:24:43.000Z</t>
  </si>
  <si>
    <t>15:10 Fruto inmaduro 15:40</t>
  </si>
  <si>
    <t>AP056</t>
  </si>
  <si>
    <t>2bbe6918-f30f-45ad-8043-547e1225a84f</t>
  </si>
  <si>
    <t>2024-09-16T18:39:04.000Z</t>
  </si>
  <si>
    <t>2024-10-09T00:24:20.000Z</t>
  </si>
  <si>
    <t>13:38 Hojas maduras 14:05</t>
  </si>
  <si>
    <t>AP052</t>
  </si>
  <si>
    <t>bb558de9-3909-4499-9968-70f814fbd4ea</t>
  </si>
  <si>
    <t>2024-09-12T15:52:57.000Z</t>
  </si>
  <si>
    <t>2024-10-09T00:43:20.000Z</t>
  </si>
  <si>
    <t>10:45 Hojas maduras 10:57</t>
  </si>
  <si>
    <t>575a74db-33b5-4ebb-92a2-ac39241efb5b</t>
  </si>
  <si>
    <t>2024-09-12T14:33:41.000Z</t>
  </si>
  <si>
    <t>2024-10-09T00:36:16.000Z</t>
  </si>
  <si>
    <t>08:44 Fruto maduro 08:59</t>
  </si>
  <si>
    <t>AP218</t>
  </si>
  <si>
    <t>Caimito</t>
  </si>
  <si>
    <t>97f2e548-fbb9-4558-8d9f-5b77b9193db1</t>
  </si>
  <si>
    <t>2024-09-11T20:42:10.000Z</t>
  </si>
  <si>
    <t>2024-10-09T00:23:23.000Z</t>
  </si>
  <si>
    <t>15:30 Hojas maduras 16:32</t>
  </si>
  <si>
    <t>AP054</t>
  </si>
  <si>
    <t>2807b558-0111-4678-9c15-264c22a34074</t>
  </si>
  <si>
    <t>2024-09-11T18:36:14.000Z</t>
  </si>
  <si>
    <t>2024-10-09T00:23:07.000Z</t>
  </si>
  <si>
    <t>13:12 Fruto maduro 13:23</t>
  </si>
  <si>
    <t>038df6a0-66c0-425d-b668-d7636389a833</t>
  </si>
  <si>
    <t>2024-09-11T15:57:20.000Z</t>
  </si>
  <si>
    <t>2024-10-09T00:22:18.000Z</t>
  </si>
  <si>
    <t>10:53 Hojas maduras 10:56</t>
  </si>
  <si>
    <t>AP221</t>
  </si>
  <si>
    <t>d9996823-1ba6-4909-87c2-71a7bf434a85</t>
  </si>
  <si>
    <t>2024-09-11T15:41:41.000Z</t>
  </si>
  <si>
    <t>2024-10-09T00:22:23.000Z</t>
  </si>
  <si>
    <t>10:41 Hojas maduras 10:54</t>
  </si>
  <si>
    <t>AP211</t>
  </si>
  <si>
    <t>fe9d53c6-24db-4a17-9f30-28b9fb77cf57</t>
  </si>
  <si>
    <t>2024-09-11T15:36:25.000Z</t>
  </si>
  <si>
    <t>2024-10-09T00:22:17.000Z</t>
  </si>
  <si>
    <t>10:33 Hojas maduras 10:36</t>
  </si>
  <si>
    <t>AP220</t>
  </si>
  <si>
    <t>08554c74-0f31-49ed-bc05-6c7923e6cce9</t>
  </si>
  <si>
    <t>2024-09-11T15:29:54.000Z</t>
  </si>
  <si>
    <t>2024-10-09T00:22:16.000Z</t>
  </si>
  <si>
    <t>10:21 Hojas maduras 10:27</t>
  </si>
  <si>
    <t>AP219</t>
  </si>
  <si>
    <t>c125dafb-e52d-4b03-8f8f-947f01968b37</t>
  </si>
  <si>
    <t>2024-09-10T21:15:32.000Z</t>
  </si>
  <si>
    <t>2024-10-09T00:21:50.000Z</t>
  </si>
  <si>
    <t>16:07 Flores 16:13</t>
  </si>
  <si>
    <t>5418dce7-4f70-4cc6-b996-21da57ec1e6e</t>
  </si>
  <si>
    <t>2024-09-10T20:29:36.000Z</t>
  </si>
  <si>
    <t>2024-10-09T00:22:04.000Z</t>
  </si>
  <si>
    <t>15:28 Flores 16:00</t>
  </si>
  <si>
    <t>AP216</t>
  </si>
  <si>
    <t>AF945</t>
  </si>
  <si>
    <t>4bb8359a-aea2-4e48-813a-75f6ef9561fa</t>
  </si>
  <si>
    <t>2024-09-10T20:01:42.000Z</t>
  </si>
  <si>
    <t>2024-10-09T00:22:07.000Z</t>
  </si>
  <si>
    <t>14:58 Hojas maduras 15:23</t>
  </si>
  <si>
    <t>AP217</t>
  </si>
  <si>
    <t>AF944</t>
  </si>
  <si>
    <t>80de742e-a628-4069-ac33-7f349b72747f</t>
  </si>
  <si>
    <t>2024-09-10T19:16:28.000Z</t>
  </si>
  <si>
    <t>2024-10-09T00:21:19.000Z</t>
  </si>
  <si>
    <t>14:10 Hojas nuevas 14:26</t>
  </si>
  <si>
    <t>AP202</t>
  </si>
  <si>
    <t>af358ded-6b87-4ebb-9bdf-70c6f2f86a6f</t>
  </si>
  <si>
    <t>2024-09-10T16:28:07.000Z</t>
  </si>
  <si>
    <t>2024-10-09T00:20:43.000Z</t>
  </si>
  <si>
    <t>11:27 Hojas maduras 11:41</t>
  </si>
  <si>
    <t>44eb9030-c45d-486c-a254-f58847cb1a4a</t>
  </si>
  <si>
    <t>2024-09-10T13:55:33.000Z</t>
  </si>
  <si>
    <t>2024-10-09T00:19:58.000Z</t>
  </si>
  <si>
    <t>08:51 Fruto maduro 09:57</t>
  </si>
  <si>
    <t>Mani AF844</t>
  </si>
  <si>
    <t>Bolitas pequeñas tronco leñoso</t>
  </si>
  <si>
    <t>7f7b64dc-533c-4b41-9241-441a6ba1e7dc</t>
  </si>
  <si>
    <t>2024-09-10T13:42:39.000Z</t>
  </si>
  <si>
    <t>2024-10-09T00:19:52.000Z</t>
  </si>
  <si>
    <t>08:40 Hojas maduras 08:49</t>
  </si>
  <si>
    <t>AP208</t>
  </si>
  <si>
    <t>c9f14519-a41d-49d3-976c-2ea3c2ad4c49</t>
  </si>
  <si>
    <t>2024-09-10T13:33:57.000Z</t>
  </si>
  <si>
    <t>2024-10-09T00:19:45.000Z</t>
  </si>
  <si>
    <t>08:30 Hojas maduras 08:34</t>
  </si>
  <si>
    <t>AP209</t>
  </si>
  <si>
    <t>df0be5df-8c37-4a41-9b0e-ffacd7dd93e1</t>
  </si>
  <si>
    <t>2024-09-10T13:27:30.000Z</t>
  </si>
  <si>
    <t>2024-10-09T00:19:43.000Z</t>
  </si>
  <si>
    <t>08:26 Hojas maduras 08:28</t>
  </si>
  <si>
    <t>AP191</t>
  </si>
  <si>
    <t>Ficus</t>
  </si>
  <si>
    <t>0a4fdd1d-6e32-43d2-92a3-c2a1d90519d5</t>
  </si>
  <si>
    <t>2024-09-09T21:25:10.000Z</t>
  </si>
  <si>
    <t>2024-10-09T00:19:34.000Z</t>
  </si>
  <si>
    <t>16:21 Hojas nuevas 16:36</t>
  </si>
  <si>
    <t>AP201</t>
  </si>
  <si>
    <t>82025acf-3e00-4594-b6fe-e1b216f305a0</t>
  </si>
  <si>
    <t>2024-09-09T21:16:40.000Z</t>
  </si>
  <si>
    <t>2024-10-09T00:19:09.000Z</t>
  </si>
  <si>
    <t>16:11 Fruto maduro 16:19</t>
  </si>
  <si>
    <t>AP200</t>
  </si>
  <si>
    <t>e941ea4f-aa26-4fcd-b649-df645ebefe50</t>
  </si>
  <si>
    <t>2024-09-09T21:15:39.000Z</t>
  </si>
  <si>
    <t>2024-10-09T00:19:07.000Z</t>
  </si>
  <si>
    <t>16:00 Hojas maduras 16:08</t>
  </si>
  <si>
    <t>AP205</t>
  </si>
  <si>
    <t>d9e6fe9b-7e6a-46f6-8a76-d7bf57e2502f</t>
  </si>
  <si>
    <t>2024-09-09T20:45:53.000Z</t>
  </si>
  <si>
    <t>2024-10-09T00:19:05.000Z</t>
  </si>
  <si>
    <t>15:39 Peciolo 15:46</t>
  </si>
  <si>
    <t>AP206</t>
  </si>
  <si>
    <t>91e2ab20-b4b0-423b-9fd4-a312bbea6047</t>
  </si>
  <si>
    <t>2024-09-09T19:41:05.000Z</t>
  </si>
  <si>
    <t>2024-10-09T00:19:01.000Z</t>
  </si>
  <si>
    <t>14:00 Hojas maduras 14:42</t>
  </si>
  <si>
    <t>Matapalos</t>
  </si>
  <si>
    <t>81a8b183-dbf3-4619-aab5-4dba41e043d8</t>
  </si>
  <si>
    <t>2024-09-09T18:54:28.000Z</t>
  </si>
  <si>
    <t>2024-10-09T00:18:30.000Z</t>
  </si>
  <si>
    <t>13:33 Hojas maduras 13:45</t>
  </si>
  <si>
    <t>AP207</t>
  </si>
  <si>
    <t>f96b790e-ae53-42a3-b8bb-e33a50fb8cda</t>
  </si>
  <si>
    <t>2024-09-09T16:11:10.000Z</t>
  </si>
  <si>
    <t>2024-10-09T00:18:19.000Z</t>
  </si>
  <si>
    <t>11:10 Hojas maduras 11:22</t>
  </si>
  <si>
    <t>AP033</t>
  </si>
  <si>
    <t>5beb168a-3b3f-4850-a7cd-61c28f27460e</t>
  </si>
  <si>
    <t>2024-09-06T18:00:20.000Z</t>
  </si>
  <si>
    <t>2024-10-09T00:45:05.000Z</t>
  </si>
  <si>
    <t>12:59 Hojas maduras 13:03</t>
  </si>
  <si>
    <t>AP031</t>
  </si>
  <si>
    <t>9d5c9cca-803b-4c64-8bdc-f826ef36937e</t>
  </si>
  <si>
    <t>2024-09-06T16:41:50.000Z</t>
  </si>
  <si>
    <t>2024-10-09T00:44:40.000Z</t>
  </si>
  <si>
    <t>11:40 Fruto maduro 11:53</t>
  </si>
  <si>
    <t>AP032</t>
  </si>
  <si>
    <t>b5f5ccca-2542-4080-a62f-6bb8b7c3dc9d</t>
  </si>
  <si>
    <t>2024-09-06T12:40:57.000Z</t>
  </si>
  <si>
    <t>2024-10-09T00:43:37.000Z</t>
  </si>
  <si>
    <t>07:40 Hojas maduras 07:50</t>
  </si>
  <si>
    <t>b5d3bfc9-d297-43f4-8e6a-a741dd5f2923</t>
  </si>
  <si>
    <t>2024-09-06T12:24:15.000Z</t>
  </si>
  <si>
    <t>2024-10-09T00:43:31.000Z</t>
  </si>
  <si>
    <t>07:20 Hojas maduras 07:24</t>
  </si>
  <si>
    <t>dfde387a-0b2a-4d09-996f-814f3784d941</t>
  </si>
  <si>
    <t>2024-09-03T17:46:03.000Z</t>
  </si>
  <si>
    <t>2024-10-09T00:46:38.000Z</t>
  </si>
  <si>
    <t>12:44 Flores 12:55</t>
  </si>
  <si>
    <t>fb5cb51e-6abe-46c7-8116-456cc8001a58</t>
  </si>
  <si>
    <t>2024-09-03T15:05:31.000Z</t>
  </si>
  <si>
    <t>2024-10-09T00:46:12.000Z</t>
  </si>
  <si>
    <t>10:04 Flores 10:17</t>
  </si>
  <si>
    <t>AP170</t>
  </si>
  <si>
    <t>64ba662c-21cb-45ea-b4b3-74225adf87fb</t>
  </si>
  <si>
    <t>2024-09-03T13:27:49.000Z</t>
  </si>
  <si>
    <t>2024-10-09T00:45:42.000Z</t>
  </si>
  <si>
    <t>08:25 Flores 08:35</t>
  </si>
  <si>
    <t>AP019</t>
  </si>
  <si>
    <t>b3ecbd0d-6400-4f31-9871-e483ff64f91a</t>
  </si>
  <si>
    <t>2024-09-03T12:23:57.000Z</t>
  </si>
  <si>
    <t>2024-10-09T00:15:43.000Z</t>
  </si>
  <si>
    <t>16:44 Fruto maduro 17:03</t>
  </si>
  <si>
    <t>AP162</t>
  </si>
  <si>
    <t>e06254fd-b19f-420c-8230-91f0bc0e4d19</t>
  </si>
  <si>
    <t>2024-08-31T13:43:46.000Z</t>
  </si>
  <si>
    <t>2024-10-09T00:17:04.000Z</t>
  </si>
  <si>
    <t>08:35 Flores 08:56</t>
  </si>
  <si>
    <t>AP185</t>
  </si>
  <si>
    <t>c09e7442-abb4-4dfb-aba0-23f516e15396</t>
  </si>
  <si>
    <t>2024-08-31T13:26:19.000Z</t>
  </si>
  <si>
    <t>2024-10-09T00:16:48.000Z</t>
  </si>
  <si>
    <t>08:04 Hojas maduras 08:17</t>
  </si>
  <si>
    <t>AP187</t>
  </si>
  <si>
    <t>528e7db7-5c69-4fe5-82ec-750d3a0c68ef</t>
  </si>
  <si>
    <t>2024-08-31T12:26:59.000Z</t>
  </si>
  <si>
    <t>2024-10-09T00:16:34.000Z</t>
  </si>
  <si>
    <t>07:24 Flores 07:50</t>
  </si>
  <si>
    <t>AP186</t>
  </si>
  <si>
    <t>d0a319f7-72b0-4ec6-81c1-770105f40923</t>
  </si>
  <si>
    <t>2024-08-31T12:19:49.000Z</t>
  </si>
  <si>
    <t>2024-10-09T00:16:25.000Z</t>
  </si>
  <si>
    <t>07:13 Flores 07:19</t>
  </si>
  <si>
    <t>AP199</t>
  </si>
  <si>
    <t>cbfa0e74-b976-48fd-84b6-9aa40b95d55c</t>
  </si>
  <si>
    <t>2024-08-30T20:10:20.000Z</t>
  </si>
  <si>
    <t>2024-10-09T00:15:41.000Z</t>
  </si>
  <si>
    <t>15:09 Flores 15:25</t>
  </si>
  <si>
    <t>Yemas</t>
  </si>
  <si>
    <t>Arbol seco en nueva trocha, con yemas o florecillas</t>
  </si>
  <si>
    <t>2e47b1ec-e124-41c2-9a58-853b717b0c83</t>
  </si>
  <si>
    <t>2024-08-30T20:06:43.000Z</t>
  </si>
  <si>
    <t>2024-10-09T00:15:33.000Z</t>
  </si>
  <si>
    <t>14:57 Flores 15:06</t>
  </si>
  <si>
    <t>AP130</t>
  </si>
  <si>
    <t>71d237b7-30b9-4b28-9ec5-3f4c6c704bd5</t>
  </si>
  <si>
    <t>2024-08-30T19:29:44.000Z</t>
  </si>
  <si>
    <t>2024-10-09T00:15:34.000Z</t>
  </si>
  <si>
    <t>14:17 Flores 14:29</t>
  </si>
  <si>
    <t>AP121</t>
  </si>
  <si>
    <t>273975e4-45b2-4b86-8f7c-5f4a33fb3a47</t>
  </si>
  <si>
    <t>2024-08-30T15:39:27.000Z</t>
  </si>
  <si>
    <t>2024-10-09T00:14:21.000Z</t>
  </si>
  <si>
    <t>10:38 Flores 10:43</t>
  </si>
  <si>
    <t>AP171</t>
  </si>
  <si>
    <t>6490cd37-2228-4b22-9ca6-07ab6b34e509</t>
  </si>
  <si>
    <t>2024-08-30T14:02:13.000Z</t>
  </si>
  <si>
    <t>2024-10-09T00:13:38.000Z</t>
  </si>
  <si>
    <t>09:01 Hojas maduras 09:20</t>
  </si>
  <si>
    <t>f9cef3db-acfe-48af-9b6c-7be59052b596</t>
  </si>
  <si>
    <t>2024-08-30T13:05:59.000Z</t>
  </si>
  <si>
    <t>2024-10-09T00:13:33.000Z</t>
  </si>
  <si>
    <t>08:05 Flores 08:41</t>
  </si>
  <si>
    <t>AP181</t>
  </si>
  <si>
    <t>ca9d3c3d-3a6a-4038-bc0d-d0d6a27ef9d5</t>
  </si>
  <si>
    <t>2024-08-28T16:43:43.000Z</t>
  </si>
  <si>
    <t>2024-10-09T00:12:49.000Z</t>
  </si>
  <si>
    <t>10:16 Fruto inmaduro 10:32</t>
  </si>
  <si>
    <t>Arbol parecido clavellin. Frutos alargados y rosaceos.</t>
  </si>
  <si>
    <t>f97b08a2-d5a7-47ac-95e6-da03169f27b6</t>
  </si>
  <si>
    <t>2024-08-28T12:41:15.000Z</t>
  </si>
  <si>
    <t>2024-10-09T00:12:21.000Z</t>
  </si>
  <si>
    <t>07:07 Fruto maduro 09:07</t>
  </si>
  <si>
    <t>8115abfb-bef6-48e0-8378-a05d25449b8e</t>
  </si>
  <si>
    <t>2024-08-27T18:27:04.000Z</t>
  </si>
  <si>
    <t>2024-10-09T00:11:13.000Z</t>
  </si>
  <si>
    <t>13:09 Fruto maduro 17:13</t>
  </si>
  <si>
    <t>96078ddf-3d99-4558-ad73-e0939f747120</t>
  </si>
  <si>
    <t>2024-08-27T18:23:04.000Z</t>
  </si>
  <si>
    <t>2024-10-09T00:11:00.000Z</t>
  </si>
  <si>
    <t>12:42 Hojas maduras 12:57</t>
  </si>
  <si>
    <t>cb4cc2d5-4a1a-4b0d-a6eb-ebeebce2f9eb</t>
  </si>
  <si>
    <t>2024-08-27T16:56:57.000Z</t>
  </si>
  <si>
    <t>2024-10-09T00:10:44.000Z</t>
  </si>
  <si>
    <t>11:49 Hojas maduras 11:58</t>
  </si>
  <si>
    <t>eed6ab05-ee79-41a2-98ab-247822264ff3</t>
  </si>
  <si>
    <t>2024-08-27T16:04:20.000Z</t>
  </si>
  <si>
    <t>2024-10-09T00:10:27.000Z</t>
  </si>
  <si>
    <t>10:43 Hojas maduras 11:04</t>
  </si>
  <si>
    <t>AP178</t>
  </si>
  <si>
    <t>45d7de25-aa5d-487e-a6ec-d8463ae5588e</t>
  </si>
  <si>
    <t>2024-08-27T15:52:34.000Z</t>
  </si>
  <si>
    <t>2024-10-09T00:10:24.000Z</t>
  </si>
  <si>
    <t>10:34 Fruto maduro 10:40</t>
  </si>
  <si>
    <t>AP196</t>
  </si>
  <si>
    <t>42c0e2fd-947a-400c-ae30-64ac4e985fc3</t>
  </si>
  <si>
    <t>2024-08-27T14:58:58.000Z</t>
  </si>
  <si>
    <t>2024-10-09T00:10:09.000Z</t>
  </si>
  <si>
    <t>09:54 Hojas nuevas - Hojas maduras 10:13</t>
  </si>
  <si>
    <t>29a5746c-1289-4bc0-b619-0e6b7293ae5f</t>
  </si>
  <si>
    <t>2024-08-27T14:45:36.000Z</t>
  </si>
  <si>
    <t>2024-10-09T00:10:05.000Z</t>
  </si>
  <si>
    <t>09:39 Hojas maduras 09:44</t>
  </si>
  <si>
    <t>52db576f-4389-4371-8593-0f0e67715609</t>
  </si>
  <si>
    <t>2024-08-24T21:29:01.000Z</t>
  </si>
  <si>
    <t>2024-10-09T00:53:01.000Z</t>
  </si>
  <si>
    <t>16:14 Hojas maduras 16:20</t>
  </si>
  <si>
    <t>c1e3fb44-fe15-49c9-a86f-c753424eac14</t>
  </si>
  <si>
    <t>2024-08-24T21:24:40.000Z</t>
  </si>
  <si>
    <t>2024-10-09T00:52:52.000Z</t>
  </si>
  <si>
    <t>15:48 Hojas maduras 16:05</t>
  </si>
  <si>
    <t>b6c61382-a02e-4efb-bbaf-04c989df520a</t>
  </si>
  <si>
    <t>2024-08-24T19:42:58.000Z</t>
  </si>
  <si>
    <t>2024-10-09T00:52:32.000Z</t>
  </si>
  <si>
    <t>14:29 Hojas nuevas 14:55</t>
  </si>
  <si>
    <t>AP169</t>
  </si>
  <si>
    <t>5d001f3d-fef3-4278-8852-eb026cbb27ac</t>
  </si>
  <si>
    <t>2024-08-24T19:27:20.000Z</t>
  </si>
  <si>
    <t>2024-10-09T00:52:30.000Z</t>
  </si>
  <si>
    <t>14:18 Hojas maduras 14:27</t>
  </si>
  <si>
    <t>bc4045bd-64fa-4472-bc3d-9a2e0581b888</t>
  </si>
  <si>
    <t>2024-08-24T18:45:13.000Z</t>
  </si>
  <si>
    <t>2024-10-09T00:52:01.000Z</t>
  </si>
  <si>
    <t>13:33 Hojas nuevas 13:45</t>
  </si>
  <si>
    <t>AP161</t>
  </si>
  <si>
    <t>Jahuillo</t>
  </si>
  <si>
    <t>41fef8b1-b81e-4ab7-8039-9746cf8bd285</t>
  </si>
  <si>
    <t>2024-08-24T17:55:02.000Z</t>
  </si>
  <si>
    <t>2024-10-09T00:51:58.000Z</t>
  </si>
  <si>
    <t>12:48 Hojas maduras 13:05</t>
  </si>
  <si>
    <t>1c178aef-315e-4c41-b919-dffca843e34c</t>
  </si>
  <si>
    <t>2024-08-24T12:23:56.000Z</t>
  </si>
  <si>
    <t>2024-10-09T00:09:00.000Z</t>
  </si>
  <si>
    <t>17:00 Fruto inmaduro 17:24</t>
  </si>
  <si>
    <t>AP160</t>
  </si>
  <si>
    <t>Guayabo</t>
  </si>
  <si>
    <t>2b99d377-2994-428e-9b0f-99d7431a58d4</t>
  </si>
  <si>
    <t>2024-08-24T12:21:53.000Z</t>
  </si>
  <si>
    <t>2024-10-09T00:08:37.000Z</t>
  </si>
  <si>
    <t>16:20 Fruto maduro 16:49</t>
  </si>
  <si>
    <t>f4feced2-d798-4ca1-b8ea-2d78037e409a</t>
  </si>
  <si>
    <t>2024-08-23T19:11:16.000Z</t>
  </si>
  <si>
    <t>2024-10-09T00:08:03.000Z</t>
  </si>
  <si>
    <t>14:00 Fruto maduro 14:45</t>
  </si>
  <si>
    <t>4043c703-e799-47a9-bdbc-b53ff8f55b85</t>
  </si>
  <si>
    <t>2024-08-23T17:54:26.000Z</t>
  </si>
  <si>
    <t>2024-10-09T00:07:35.000Z</t>
  </si>
  <si>
    <t>12:51 Hojas maduras 12:54</t>
  </si>
  <si>
    <t>AP126</t>
  </si>
  <si>
    <t>77f1d32f-36d6-41d2-9d29-d61a7e8dce9e</t>
  </si>
  <si>
    <t>2024-08-23T17:47:16.000Z</t>
  </si>
  <si>
    <t>2024-10-09T00:07:34.000Z</t>
  </si>
  <si>
    <t>12:43 Hojas nuevas 12:47</t>
  </si>
  <si>
    <t>AP167</t>
  </si>
  <si>
    <t>13f49ff5-0155-4cca-b1d5-936aea686dfc</t>
  </si>
  <si>
    <t>2024-08-22T21:55:26.000Z</t>
  </si>
  <si>
    <t>2024-10-09T00:06:58.000Z</t>
  </si>
  <si>
    <t>16:15 Hojas maduras 17:45</t>
  </si>
  <si>
    <t>9e4676a8-ba58-41e3-a993-b42523ebac87</t>
  </si>
  <si>
    <t>2024-08-22T20:53:16.000Z</t>
  </si>
  <si>
    <t>2024-10-09T00:06:55.000Z</t>
  </si>
  <si>
    <t>15:34 Hojas maduras 15:56</t>
  </si>
  <si>
    <t>1d88810f-616e-4a72-9c08-aa30e69e05ed</t>
  </si>
  <si>
    <t>2024-08-22T18:36:31.000Z</t>
  </si>
  <si>
    <t>2024-10-09T00:06:23.000Z</t>
  </si>
  <si>
    <t>13:22 Fruto maduro 13:45</t>
  </si>
  <si>
    <t>34e4e092-686e-49a1-923a-1c4a9d31635e</t>
  </si>
  <si>
    <t>2024-08-22T15:12:34.000Z</t>
  </si>
  <si>
    <t>2024-10-09T00:05:31.000Z</t>
  </si>
  <si>
    <t>10:11 Hojas maduras 10:17</t>
  </si>
  <si>
    <t>d22d3dd4-77d0-4971-87b4-67707010ba94</t>
  </si>
  <si>
    <t>2024-08-22T14:16:06.000Z</t>
  </si>
  <si>
    <t>2024-10-09T00:05:27.000Z</t>
  </si>
  <si>
    <t>09:15 Hojas maduras 09:27</t>
  </si>
  <si>
    <t>AP165</t>
  </si>
  <si>
    <t>21f0ae76-ac5e-4dff-9349-37ce95d52af1</t>
  </si>
  <si>
    <t>2024-08-07T20:54:36.000Z</t>
  </si>
  <si>
    <t>2024-08-20T00:26:53.000Z</t>
  </si>
  <si>
    <t>15:54 Fruto maduro 17:00</t>
  </si>
  <si>
    <t>4e7a440b-eb80-4d20-ab54-6a29daba576f</t>
  </si>
  <si>
    <t>2024-08-07T15:41:37.000Z</t>
  </si>
  <si>
    <t>2024-08-20T00:26:40.000Z</t>
  </si>
  <si>
    <t>09:43 Hojas maduras 11:13</t>
  </si>
  <si>
    <t>8bec17b1-a4e5-4ba3-9292-1e810baac358</t>
  </si>
  <si>
    <t>2024-08-06T16:29:19.000Z</t>
  </si>
  <si>
    <t>2024-08-20T00:27:03.000Z</t>
  </si>
  <si>
    <t>09:10 Hojas nuevas 09:33</t>
  </si>
  <si>
    <t>58a500e1-ea38-4984-a749-00c7fc01ad3e</t>
  </si>
  <si>
    <t>2024-08-02T19:45:43.000Z</t>
  </si>
  <si>
    <t>2024-08-20T00:30:48.000Z</t>
  </si>
  <si>
    <t>14:34 Hojas maduras 15:45</t>
  </si>
  <si>
    <t>acb2279e-4c37-408a-ad19-95629339db56</t>
  </si>
  <si>
    <t>2024-08-02T19:35:03.000Z</t>
  </si>
  <si>
    <t>2024-08-20T00:30:40.000Z</t>
  </si>
  <si>
    <t>14:27 Fruto maduro 14:32</t>
  </si>
  <si>
    <t>47c1418c-471f-47ef-bcb7-89616b8ac3de</t>
  </si>
  <si>
    <t>2024-08-02T17:43:08.000Z</t>
  </si>
  <si>
    <t>2024-08-20T00:30:14.000Z</t>
  </si>
  <si>
    <t>12:39 Flores 13:03</t>
  </si>
  <si>
    <t>Enfrente pluvimetro</t>
  </si>
  <si>
    <t>7372e86d-868a-4484-affd-964710b7a714</t>
  </si>
  <si>
    <t>2024-08-01T20:32:07.000Z</t>
  </si>
  <si>
    <t>2024-08-20T00:25:12.000Z</t>
  </si>
  <si>
    <t>15:30 Hojas maduras 16:04</t>
  </si>
  <si>
    <t>AP104</t>
  </si>
  <si>
    <t>df85597a-59ef-46fc-b165-dbe4a2ed193a</t>
  </si>
  <si>
    <t>2024-08-01T17:48:01.000Z</t>
  </si>
  <si>
    <t>2024-08-20T00:24:30.000Z</t>
  </si>
  <si>
    <t>12:36 Hojas maduras 12:48</t>
  </si>
  <si>
    <t>AP153</t>
  </si>
  <si>
    <t>6d08a992-0e62-4928-926e-36f588be72d4</t>
  </si>
  <si>
    <t>2024-08-01T17:37:24.000Z</t>
  </si>
  <si>
    <t>2024-08-20T00:24:29.000Z</t>
  </si>
  <si>
    <t>12:31 Hojas maduras 12:34</t>
  </si>
  <si>
    <t>AP154</t>
  </si>
  <si>
    <t>05c65dd9-bee8-4fee-915e-748cbe0cb99a</t>
  </si>
  <si>
    <t>2024-08-01T15:52:56.000Z</t>
  </si>
  <si>
    <t>2024-08-20T00:24:22.000Z</t>
  </si>
  <si>
    <t>10:46 Hojas nuevas 10:50</t>
  </si>
  <si>
    <t>AP155</t>
  </si>
  <si>
    <t>16c06474-23f0-491e-aade-7d0f62639ea9</t>
  </si>
  <si>
    <t>2024-08-01T14:22:02.000Z</t>
  </si>
  <si>
    <t>2024-08-20T00:24:04.000Z</t>
  </si>
  <si>
    <t>09:20 Flores 09:29</t>
  </si>
  <si>
    <t>AP157</t>
  </si>
  <si>
    <t>954c5d8f-9489-4369-b13d-2de1ed60b0a8</t>
  </si>
  <si>
    <t>2024-08-01T13:57:42.000Z</t>
  </si>
  <si>
    <t>2024-08-20T00:23:52.000Z</t>
  </si>
  <si>
    <t>08:53 Flores 09:01</t>
  </si>
  <si>
    <t>2c719022-486f-4337-8299-fee82775b95d</t>
  </si>
  <si>
    <t>2024-08-01T13:53:03.000Z</t>
  </si>
  <si>
    <t>2024-08-20T00:23:51.000Z</t>
  </si>
  <si>
    <t>08:46 Flores 08:50</t>
  </si>
  <si>
    <t>AP158</t>
  </si>
  <si>
    <t>d6b0a4dd-69a0-4e73-bc7e-32aad9c36736</t>
  </si>
  <si>
    <t>2024-08-01T13:42:12.000Z</t>
  </si>
  <si>
    <t>2024-08-20T00:23:48.000Z</t>
  </si>
  <si>
    <t>08:34 Flores 08:40</t>
  </si>
  <si>
    <t>a43ca4d3-2418-4e30-b1c5-af08437adfa9</t>
  </si>
  <si>
    <t>2024-07-31T19:22:38.000Z</t>
  </si>
  <si>
    <t>2024-08-20T00:29:16.000Z</t>
  </si>
  <si>
    <t>14:13 Hojas maduras 14:21</t>
  </si>
  <si>
    <t>AP159</t>
  </si>
  <si>
    <t>d7e34d98-51aa-4dfa-b26c-490291669806</t>
  </si>
  <si>
    <t>2024-07-30T22:38:19.000Z</t>
  </si>
  <si>
    <t>2024-08-20T00:18:50.000Z</t>
  </si>
  <si>
    <t>17:29 Hojas nuevas 17:38</t>
  </si>
  <si>
    <t>b9fb381c-0865-4ca3-80a3-d758af89dbb1</t>
  </si>
  <si>
    <t>2024-07-30T22:12:07.000Z</t>
  </si>
  <si>
    <t>2024-08-20T00:12:45.000Z</t>
  </si>
  <si>
    <t>17:03 Hojas maduras 17:13</t>
  </si>
  <si>
    <t>ac2c4f75-7daf-4580-a7b3-f8a6fbab756d</t>
  </si>
  <si>
    <t>2024-07-30T19:23:04.000Z</t>
  </si>
  <si>
    <t>2024-08-20T00:23:21.000Z</t>
  </si>
  <si>
    <t>14:15 Fruto inmaduro 14:45</t>
  </si>
  <si>
    <t>Secropia</t>
  </si>
  <si>
    <t>aa9536df-e8d0-4dda-aa6c-2e6cbd1b6d57</t>
  </si>
  <si>
    <t>2024-07-30T19:05:16.000Z</t>
  </si>
  <si>
    <t>2024-08-20T00:20:46.000Z</t>
  </si>
  <si>
    <t>13:55 Hojas maduras 14:06</t>
  </si>
  <si>
    <t>651f4469-6b63-4982-ab24-0d9deba44007</t>
  </si>
  <si>
    <t>2024-07-30T15:08:35.000Z</t>
  </si>
  <si>
    <t>2024-08-20T00:12:38.000Z</t>
  </si>
  <si>
    <t>10:00 Hojas maduras 10:15</t>
  </si>
  <si>
    <t>AP150</t>
  </si>
  <si>
    <t>983a01eb-cea8-46e2-849f-2e1df237f88d</t>
  </si>
  <si>
    <t>2024-07-30T14:52:20.000Z</t>
  </si>
  <si>
    <t>2024-08-20T00:12:37.000Z</t>
  </si>
  <si>
    <t>09:41 Flores 09:46</t>
  </si>
  <si>
    <t>AP142</t>
  </si>
  <si>
    <t>4dee4ee9-e755-4b73-8ba5-79d2e913b1c9</t>
  </si>
  <si>
    <t>2024-07-30T14:20:29.000Z</t>
  </si>
  <si>
    <t>2024-08-20T00:12:34.000Z</t>
  </si>
  <si>
    <t>09:11 Flores 09:18</t>
  </si>
  <si>
    <t>AP148</t>
  </si>
  <si>
    <t>7115c331-19c9-4290-a870-5e2a788b52f2</t>
  </si>
  <si>
    <t>2024-07-30T13:55:58.000Z</t>
  </si>
  <si>
    <t>2024-08-20T00:12:30.000Z</t>
  </si>
  <si>
    <t>08:53 Flores 08:59</t>
  </si>
  <si>
    <t>77ad3502-3d49-4c7b-a9bc-6dd06d3fda6c</t>
  </si>
  <si>
    <t>2024-07-30T12:37:08.000Z</t>
  </si>
  <si>
    <t>2024-08-20T00:12:27.000Z</t>
  </si>
  <si>
    <t>07:27 Hojas nuevas 07:36</t>
  </si>
  <si>
    <t>3164AP151</t>
  </si>
  <si>
    <t>82656036-f879-4d16-8192-109bcf7b9ef3</t>
  </si>
  <si>
    <t>2024-07-29T22:00:27.000Z</t>
  </si>
  <si>
    <t>2024-07-30T00:45:53.000Z</t>
  </si>
  <si>
    <t>16:46 Hojas maduras 17:04</t>
  </si>
  <si>
    <t>a5d356dc-93cc-42b6-a920-ccb0b1f0c7e2</t>
  </si>
  <si>
    <t>2024-07-29T22:00:06.000Z</t>
  </si>
  <si>
    <t>2024-07-30T00:45:51.000Z</t>
  </si>
  <si>
    <t>16:32 Fruto inmaduro 16:41</t>
  </si>
  <si>
    <t>e4aa5430-88a2-4051-b2e4-3960789f7d3c</t>
  </si>
  <si>
    <t>2024-07-29T20:09:25.000Z</t>
  </si>
  <si>
    <t>2024-07-30T00:45:48.000Z</t>
  </si>
  <si>
    <t>15:03 Hojas nuevas 15:50</t>
  </si>
  <si>
    <t>AP141</t>
  </si>
  <si>
    <t>79683a11-383e-4fd4-aa4c-766974b15285</t>
  </si>
  <si>
    <t>2024-07-29T19:43:48.000Z</t>
  </si>
  <si>
    <t>2024-07-30T00:45:41.000Z</t>
  </si>
  <si>
    <t>14:37 Fruto inmaduro 15:01</t>
  </si>
  <si>
    <t>AP143</t>
  </si>
  <si>
    <t>2c07cf9c-b74c-4a11-9479-3c83f77995fe</t>
  </si>
  <si>
    <t>2024-07-29T18:11:56.000Z</t>
  </si>
  <si>
    <t>2024-07-30T00:45:38.000Z</t>
  </si>
  <si>
    <t>13:02 Hojas maduras 13:42</t>
  </si>
  <si>
    <t>10e0c58a-e55a-4be8-a0fa-3e312aeaef43</t>
  </si>
  <si>
    <t>2024-07-29T17:45:26.000Z</t>
  </si>
  <si>
    <t>2024-07-30T00:45:34.000Z</t>
  </si>
  <si>
    <t>12:44 Hojas nuevas 12:55</t>
  </si>
  <si>
    <t>0a05ca9b-8ddd-4e39-abf2-793c2c813331</t>
  </si>
  <si>
    <t>2024-07-29T17:44:25.000Z</t>
  </si>
  <si>
    <t>2024-07-30T00:45:33.000Z</t>
  </si>
  <si>
    <t>12:35 Fruto inmaduro 12:56</t>
  </si>
  <si>
    <t>Arbol anillado con hojas palmadas en 8</t>
  </si>
  <si>
    <t>f957ea0f-ada1-4262-80d9-175b99b1438f</t>
  </si>
  <si>
    <t>2024-07-29T13:32:21.000Z</t>
  </si>
  <si>
    <t>2024-07-30T00:45:27.000Z</t>
  </si>
  <si>
    <t>08:25 Hojas nuevas - Hojas maduras 08:31</t>
  </si>
  <si>
    <t>AP145</t>
  </si>
  <si>
    <t>4d5071ab-b194-4b8c-9943-ed5d62df2189</t>
  </si>
  <si>
    <t>2024-07-29T12:46:09.000Z</t>
  </si>
  <si>
    <t>2024-07-30T00:45:26.000Z</t>
  </si>
  <si>
    <t>07:45 Flores 08:21</t>
  </si>
  <si>
    <t>AP137</t>
  </si>
  <si>
    <t>225889b2-f61d-4ec2-93fa-c25a6de47b2d</t>
  </si>
  <si>
    <t>2024-07-26T19:39:12.000Z</t>
  </si>
  <si>
    <t>2024-07-30T00:45:11.000Z</t>
  </si>
  <si>
    <t>14:32 Flores 15:01</t>
  </si>
  <si>
    <t>AP131</t>
  </si>
  <si>
    <t>f0763173-cc14-40c1-90a8-376f1a79a501</t>
  </si>
  <si>
    <t>2024-07-25T21:40:17.000Z</t>
  </si>
  <si>
    <t>2024-07-30T00:44:54.000Z</t>
  </si>
  <si>
    <t>16:08 Hojas maduras 17:36</t>
  </si>
  <si>
    <t>c63b3980-2ad6-40fd-a04c-56dced073777</t>
  </si>
  <si>
    <t>2024-07-25T15:53:52.000Z</t>
  </si>
  <si>
    <t>2024-07-30T00:44:21.000Z</t>
  </si>
  <si>
    <t>10:34 Fruto inmaduro 10:53</t>
  </si>
  <si>
    <t>Hojas palmeadas en 9 tronco anillado</t>
  </si>
  <si>
    <t>6e95863a-1635-48c7-a4c6-922087825a7f</t>
  </si>
  <si>
    <t>2024-07-25T15:05:55.000Z</t>
  </si>
  <si>
    <t>2024-07-30T00:44:22.000Z</t>
  </si>
  <si>
    <t>10:00 Hojas maduras 10:04</t>
  </si>
  <si>
    <t>AP139</t>
  </si>
  <si>
    <t>a886c651-45ab-4632-9238-bd0eaae9fa17</t>
  </si>
  <si>
    <t>2024-07-25T14:37:49.000Z</t>
  </si>
  <si>
    <t>2024-07-30T00:44:15.000Z</t>
  </si>
  <si>
    <t>09:32 Hojas maduras 09:36</t>
  </si>
  <si>
    <t>AP136</t>
  </si>
  <si>
    <t>1fe4284c-a46c-4ff3-9e02-b6ad0dbc1364</t>
  </si>
  <si>
    <t>2024-07-25T14:17:37.000Z</t>
  </si>
  <si>
    <t>2024-07-30T00:44:03.000Z</t>
  </si>
  <si>
    <t>09:16 Hojas nuevas - Hojas maduras 09:25</t>
  </si>
  <si>
    <t>AP132</t>
  </si>
  <si>
    <t>Hojas en punta</t>
  </si>
  <si>
    <t>1e4a99a2-2a78-4246-aa37-68b8e0a73a80</t>
  </si>
  <si>
    <t>2024-07-25T14:09:00.000Z</t>
  </si>
  <si>
    <t>2024-07-30T00:43:55.000Z</t>
  </si>
  <si>
    <t>09:01 Hojas maduras - Hojas nuevas 09:16</t>
  </si>
  <si>
    <t>AP138</t>
  </si>
  <si>
    <t>Hojas en pico</t>
  </si>
  <si>
    <t>3f18c3b6-6bc0-4249-8968-8edda5780b5e</t>
  </si>
  <si>
    <t>2024-07-25T13:03:42.000Z</t>
  </si>
  <si>
    <t>2024-07-30T00:43:52.000Z</t>
  </si>
  <si>
    <t>08:03 Hojas maduras 08:35</t>
  </si>
  <si>
    <t>AP135</t>
  </si>
  <si>
    <t>Potrero c</t>
  </si>
  <si>
    <t>cc584d47-0ce6-419f-8080-94bad840d2b9</t>
  </si>
  <si>
    <t>2024-07-24T21:01:07.000Z</t>
  </si>
  <si>
    <t>2024-07-30T00:40:16.000Z</t>
  </si>
  <si>
    <t>15:47 Hojas nuevas 16:37</t>
  </si>
  <si>
    <t>AP134</t>
  </si>
  <si>
    <t>699c7a7a-a95f-45fe-9f37-0531d065be4c</t>
  </si>
  <si>
    <t>2024-07-24T20:48:24.000Z</t>
  </si>
  <si>
    <t>2024-07-30T00:40:15.000Z</t>
  </si>
  <si>
    <t>15:44 Madera 15:47</t>
  </si>
  <si>
    <t>6b5279b7-7160-42c9-bd39-44438005e3fd</t>
  </si>
  <si>
    <t>2024-07-24T20:35:46.000Z</t>
  </si>
  <si>
    <t>2024-07-30T00:40:14.000Z</t>
  </si>
  <si>
    <t>15:15 Flores 15:40</t>
  </si>
  <si>
    <t>0384937b-4e62-494c-8b2a-78b24fca7bfc</t>
  </si>
  <si>
    <t>2024-07-24T17:08:48.000Z</t>
  </si>
  <si>
    <t>2024-07-30T00:40:03.000Z</t>
  </si>
  <si>
    <t>11:38 Hojas nuevas 11:42</t>
  </si>
  <si>
    <t>a7f5449c-e557-4a9b-bb8c-36e712556100</t>
  </si>
  <si>
    <t>2024-07-24T16:36:38.000Z</t>
  </si>
  <si>
    <t>2024-07-30T00:39:44.000Z</t>
  </si>
  <si>
    <t>11:22 Madera 11:36</t>
  </si>
  <si>
    <t>df02114c-0bba-480c-91c1-4556ac8407e3</t>
  </si>
  <si>
    <t>2024-07-24T13:54:39.000Z</t>
  </si>
  <si>
    <t>2024-07-30T00:39:16.000Z</t>
  </si>
  <si>
    <t>07:43 Hojas maduras 08:41</t>
  </si>
  <si>
    <t>AP133</t>
  </si>
  <si>
    <t>Caucho?</t>
  </si>
  <si>
    <t>7d398c9f-8365-48fb-95e1-070103c60fc3</t>
  </si>
  <si>
    <t>2024-07-23T23:02:37.000Z</t>
  </si>
  <si>
    <t>2024-07-30T00:43:25.000Z</t>
  </si>
  <si>
    <t>17:40 Hojas maduras 18:12</t>
  </si>
  <si>
    <t>689c27e7-8b3a-48c3-b2ca-f5cf44843ae4</t>
  </si>
  <si>
    <t>2024-07-23T22:06:23.000Z</t>
  </si>
  <si>
    <t>2024-07-30T00:43:15.000Z</t>
  </si>
  <si>
    <t>17:06 Hojas maduras 17:17</t>
  </si>
  <si>
    <t>a8f209dc-d207-4a74-813c-4c51488092d3</t>
  </si>
  <si>
    <t>2024-07-23T21:47:44.000Z</t>
  </si>
  <si>
    <t>2024-07-30T00:43:00.000Z</t>
  </si>
  <si>
    <t>16:37 Hojas nuevas 16:47</t>
  </si>
  <si>
    <t>08db7597-b4b0-4af3-9525-ebb49bc0759e</t>
  </si>
  <si>
    <t>2024-07-23T19:36:32.000Z</t>
  </si>
  <si>
    <t>2024-07-30T00:42:26.000Z</t>
  </si>
  <si>
    <t>14:28 Hojas maduras 14:41</t>
  </si>
  <si>
    <t>AP123</t>
  </si>
  <si>
    <t>67ea554b-eb93-4654-85f5-5054850b86c5</t>
  </si>
  <si>
    <t>2024-07-23T17:06:38.000Z</t>
  </si>
  <si>
    <t>2024-07-30T00:41:32.000Z</t>
  </si>
  <si>
    <t>11:57 Hojas maduras 12:04</t>
  </si>
  <si>
    <t>2c8b4b74-baff-4a7c-85f2-9d9f149d922f</t>
  </si>
  <si>
    <t>2024-07-23T16:49:28.000Z</t>
  </si>
  <si>
    <t>2024-07-30T00:41:30.000Z</t>
  </si>
  <si>
    <t>11:45 Hojas maduras 11:50</t>
  </si>
  <si>
    <t>AP125</t>
  </si>
  <si>
    <t>13873c71-2109-4745-bc43-e84e24d033c6</t>
  </si>
  <si>
    <t>2024-07-23T16:42:21.000Z</t>
  </si>
  <si>
    <t>2024-07-30T00:41:26.000Z</t>
  </si>
  <si>
    <t>11:29 Fruto maduro 11:41</t>
  </si>
  <si>
    <t>7e38352f-2459-42b4-bdcd-1ec6f6197a6f</t>
  </si>
  <si>
    <t>2024-07-23T15:44:51.000Z</t>
  </si>
  <si>
    <t>2024-07-30T00:41:25.000Z</t>
  </si>
  <si>
    <t>10:39 Hojas maduras 10:53</t>
  </si>
  <si>
    <t>AP122</t>
  </si>
  <si>
    <t>e8935eba-53b2-41e0-b0c8-4827dbf622d8</t>
  </si>
  <si>
    <t>2024-07-23T15:23:47.000Z</t>
  </si>
  <si>
    <t>2024-07-30T00:41:23.000Z</t>
  </si>
  <si>
    <t>10:21 Hojas maduras 10:25</t>
  </si>
  <si>
    <t>d1a0f9d1-839d-402d-83e5-49c08f9c54c3</t>
  </si>
  <si>
    <t>2024-07-23T13:30:02.000Z</t>
  </si>
  <si>
    <t>2024-07-30T00:40:50.000Z</t>
  </si>
  <si>
    <t>08:27 Flores 08:29</t>
  </si>
  <si>
    <t>AP129</t>
  </si>
  <si>
    <t>71ab28ee-09ca-4371-9b26-307aa7adb10e</t>
  </si>
  <si>
    <t>2024-07-23T13:15:15.000Z</t>
  </si>
  <si>
    <t>2024-07-30T00:40:46.000Z</t>
  </si>
  <si>
    <t>08:14 Hojas nuevas 08:17</t>
  </si>
  <si>
    <t>b14c393a-555b-413a-b03d-4fdf42b88138</t>
  </si>
  <si>
    <t>2024-07-23T13:04:13.000Z</t>
  </si>
  <si>
    <t>2024-07-30T00:40:44.000Z</t>
  </si>
  <si>
    <t>07:41 Flores 08:12</t>
  </si>
  <si>
    <t>081bd519-6f64-4dec-9c7a-0f80e6345791</t>
  </si>
  <si>
    <t>2024-07-22T19:52:41.000Z</t>
  </si>
  <si>
    <t>2024-08-20T00:18:40.000Z</t>
  </si>
  <si>
    <t>14:51 Hojas maduras 15:30</t>
  </si>
  <si>
    <t>AP128</t>
  </si>
  <si>
    <t>Hojas pequeñas onduladas</t>
  </si>
  <si>
    <t>dc72fcf6-e091-4905-942d-ad685712cb86</t>
  </si>
  <si>
    <t>2024-07-22T17:48:00.000Z</t>
  </si>
  <si>
    <t>2024-07-30T00:38:42.000Z</t>
  </si>
  <si>
    <t>12:32 Hojas maduras 12:41</t>
  </si>
  <si>
    <t>AP002</t>
  </si>
  <si>
    <t>c1db33a9-3688-420f-b0ed-43fe14fd79b4</t>
  </si>
  <si>
    <t>2024-07-22T14:30:27.000Z</t>
  </si>
  <si>
    <t>2024-07-30T00:38:03.000Z</t>
  </si>
  <si>
    <t>09:22 Flores 09:38</t>
  </si>
  <si>
    <t>8360bb1e-7908-4ee9-bb6b-dd5f955ad27f</t>
  </si>
  <si>
    <t>2024-07-22T14:19:05.000Z</t>
  </si>
  <si>
    <t>2024-07-30T00:38:00.000Z</t>
  </si>
  <si>
    <t>09:13 Hojas nuevas 09:19</t>
  </si>
  <si>
    <t>AP127</t>
  </si>
  <si>
    <t>1d183be7-54d5-41ca-9f93-37fedd329edd</t>
  </si>
  <si>
    <t>2024-07-19T15:41:35.000Z</t>
  </si>
  <si>
    <t>2024-07-22T00:51:50.000Z</t>
  </si>
  <si>
    <t>10:26 Hojas maduras 10:49</t>
  </si>
  <si>
    <t>AP120</t>
  </si>
  <si>
    <t>AF815</t>
  </si>
  <si>
    <t>a30c5a2c-4b74-4104-9f49-37235cf40bcd</t>
  </si>
  <si>
    <t>2024-07-19T14:59:03.000Z</t>
  </si>
  <si>
    <t>2024-07-22T00:51:47.000Z</t>
  </si>
  <si>
    <t>09:48 Hojas maduras 10:08</t>
  </si>
  <si>
    <t>AP119</t>
  </si>
  <si>
    <t>f5d475e4-3129-4da9-abf6-d20f9ed4a39f</t>
  </si>
  <si>
    <t>2024-07-17T21:23:40.000Z</t>
  </si>
  <si>
    <t>2024-07-22T00:51:36.000Z</t>
  </si>
  <si>
    <t>16:09 Hojas maduras 17:11</t>
  </si>
  <si>
    <t>AP115</t>
  </si>
  <si>
    <t>8254316e-de4a-4149-a8fa-96358c97a492</t>
  </si>
  <si>
    <t>2024-07-17T20:37:07.000Z</t>
  </si>
  <si>
    <t>2024-07-22T00:51:20.000Z</t>
  </si>
  <si>
    <t>15:30 Hojas nuevas - Hojas maduras 16:04</t>
  </si>
  <si>
    <t>Tronco liso hojas grandes  invertidas corazon</t>
  </si>
  <si>
    <t>f74edc45-c9ba-418a-a714-6a4d0fe51597</t>
  </si>
  <si>
    <t>2024-07-17T16:24:36.000Z</t>
  </si>
  <si>
    <t>2024-07-22T00:50:27.000Z</t>
  </si>
  <si>
    <t>11:19 Hojas maduras 11:50</t>
  </si>
  <si>
    <t>37459602-d960-44bc-95b6-85d006efce16</t>
  </si>
  <si>
    <t>2024-07-17T16:07:56.000Z</t>
  </si>
  <si>
    <t>2024-07-22T00:50:25.000Z</t>
  </si>
  <si>
    <t>10:54 Hojas nuevas - Hojas maduras 11:19</t>
  </si>
  <si>
    <t>AP111</t>
  </si>
  <si>
    <t>11bb2152-f74f-4d15-9bd2-ef5fc9f88cee</t>
  </si>
  <si>
    <t>2024-07-17T14:16:08.000Z</t>
  </si>
  <si>
    <t>2024-07-22T00:49:54.000Z</t>
  </si>
  <si>
    <t>08:53 Frutos - hojas 09:34</t>
  </si>
  <si>
    <t>Hojas forma marihuana grandes frutos en ramillete largos amarillos cascara naranja y cubierta marron</t>
  </si>
  <si>
    <t>d542b3f6-56af-4bd5-9f4e-4c442c2128be</t>
  </si>
  <si>
    <t>2024-07-16T22:06:14.000Z</t>
  </si>
  <si>
    <t>2024-07-22T00:49:45.000Z</t>
  </si>
  <si>
    <t>16:54 Hojas maduras 17:55</t>
  </si>
  <si>
    <t>92f63854-5113-4cec-957f-0516c29fa0bb</t>
  </si>
  <si>
    <t>2024-07-16T21:21:33.000Z</t>
  </si>
  <si>
    <t>2024-07-22T00:49:40.000Z</t>
  </si>
  <si>
    <t>16:17 Hojas maduras 16:30</t>
  </si>
  <si>
    <t>4d3387c1-f994-4151-a2d9-8bdabfe29e26</t>
  </si>
  <si>
    <t>2024-07-16T21:02:50.000Z</t>
  </si>
  <si>
    <t>2024-07-22T00:49:38.000Z</t>
  </si>
  <si>
    <t>15:54 Hojas maduras 16:07</t>
  </si>
  <si>
    <t>e6ed8b58-48fe-4772-8387-f1af8a1dbe3a</t>
  </si>
  <si>
    <t>2024-07-16T20:42:54.000Z</t>
  </si>
  <si>
    <t>2024-07-22T00:48:21.000Z</t>
  </si>
  <si>
    <t>15:39 Hojas maduras 15:47</t>
  </si>
  <si>
    <t>Arbusto hojas de corazon carretera</t>
  </si>
  <si>
    <t>4215b48e-8b31-4d70-9e30-61fd7f79b276</t>
  </si>
  <si>
    <t>2024-07-16T20:03:13.000Z</t>
  </si>
  <si>
    <t>2024-07-22T00:48:19.000Z</t>
  </si>
  <si>
    <t>14:29 Hojas nuevas 15:31</t>
  </si>
  <si>
    <t>Arbol carretera sin anillas hojas grandes</t>
  </si>
  <si>
    <t>2b773cb2-c95d-4ff1-bd17-68c2c677bfda</t>
  </si>
  <si>
    <t>2024-07-16T18:47:23.000Z</t>
  </si>
  <si>
    <t>2024-07-22T00:49:28.000Z</t>
  </si>
  <si>
    <t>13:23 Hojas maduras 13:44</t>
  </si>
  <si>
    <t>AP113</t>
  </si>
  <si>
    <t>Hojas en lo alto con enredaderas</t>
  </si>
  <si>
    <t>313fd37d-9d6c-469a-9f8c-d62ef49a23e6</t>
  </si>
  <si>
    <t>2024-07-16T14:32:12.000Z</t>
  </si>
  <si>
    <t>2024-07-22T00:48:44.000Z</t>
  </si>
  <si>
    <t>09:12 Hojas maduras 09:26</t>
  </si>
  <si>
    <t>AP116</t>
  </si>
  <si>
    <t>6d214542-a988-422e-a746-9e7e6bb4e232</t>
  </si>
  <si>
    <t>2024-07-16T14:04:28.000Z</t>
  </si>
  <si>
    <t>2024-07-22T00:48:42.000Z</t>
  </si>
  <si>
    <t>08:58 Hojas nuevas 09:13</t>
  </si>
  <si>
    <t>AP112</t>
  </si>
  <si>
    <t>9fc3581a-aa14-48f3-8901-f5aa187ea37e</t>
  </si>
  <si>
    <t>2024-07-16T13:42:11.000Z</t>
  </si>
  <si>
    <t>2024-07-22T00:48:40.000Z</t>
  </si>
  <si>
    <t>08:34 Hojas maduras 08:55</t>
  </si>
  <si>
    <t>AP117</t>
  </si>
  <si>
    <t>67292c3f-6577-4238-af24-c94844701cb7</t>
  </si>
  <si>
    <t>2024-07-16T13:24:08.000Z</t>
  </si>
  <si>
    <t>2024-07-22T00:48:34.000Z</t>
  </si>
  <si>
    <t>08:16 Hojas nuevas 08:30</t>
  </si>
  <si>
    <t>Hojas corazon invertidoa</t>
  </si>
  <si>
    <t>aae2683d-cabd-4251-a098-febc448f2f21</t>
  </si>
  <si>
    <t>2024-07-13T16:00:18.000Z</t>
  </si>
  <si>
    <t>2024-07-22T00:45:47.000Z</t>
  </si>
  <si>
    <t>10:57 Fruto maduro 12:45</t>
  </si>
  <si>
    <t>AP118</t>
  </si>
  <si>
    <t>Hojas borde ondulado y frutos redondos verdes</t>
  </si>
  <si>
    <t>e35f7b48-d643-475f-98b6-67e037b43486</t>
  </si>
  <si>
    <t>2024-07-13T15:34:56.000Z</t>
  </si>
  <si>
    <t>2024-07-22T00:45:24.000Z</t>
  </si>
  <si>
    <t>10:34 Hojas maduras 10:45</t>
  </si>
  <si>
    <t>52923aa5-5bfd-4ced-87ad-2e9321488adb</t>
  </si>
  <si>
    <t>2024-07-13T15:19:10.000Z</t>
  </si>
  <si>
    <t>2024-07-22T00:45:14.000Z</t>
  </si>
  <si>
    <t>10:10 Hojas nuevas 10:20</t>
  </si>
  <si>
    <t>AP102</t>
  </si>
  <si>
    <t>edb466bd-1501-4c92-9bcb-7bed8ee8bdd9</t>
  </si>
  <si>
    <t>2024-07-12T21:59:54.000Z</t>
  </si>
  <si>
    <t>2024-07-22T00:48:02.000Z</t>
  </si>
  <si>
    <t>16:53 Hojas maduras 17:01</t>
  </si>
  <si>
    <t>39416c67-01da-41e8-ba87-c9d8fb30604b</t>
  </si>
  <si>
    <t>2024-07-12T21:14:41.000Z</t>
  </si>
  <si>
    <t>2024-07-22T00:47:43.000Z</t>
  </si>
  <si>
    <t>16:01 Hojas maduras 16:33</t>
  </si>
  <si>
    <t>84381882-9708-491f-b735-d295e17da88f</t>
  </si>
  <si>
    <t>2024-07-12T20:15:58.000Z</t>
  </si>
  <si>
    <t>2024-07-22T00:47:21.000Z</t>
  </si>
  <si>
    <t>14:29 Hojas maduras 15:15</t>
  </si>
  <si>
    <t>aa17d49d-c3ba-4dcd-be10-1ddec3a1ffe3</t>
  </si>
  <si>
    <t>2024-07-12T16:29:05.000Z</t>
  </si>
  <si>
    <t>2024-07-22T00:46:37.000Z</t>
  </si>
  <si>
    <t>11:28 Hojas maduras 12:23</t>
  </si>
  <si>
    <t>89_Hora_inicio</t>
  </si>
  <si>
    <t>90_Empez_antes</t>
  </si>
  <si>
    <t>91_Social</t>
  </si>
  <si>
    <t>92_Individuo</t>
  </si>
  <si>
    <t>93_Individuo_actorre</t>
  </si>
  <si>
    <t>94_Comportamiento_in</t>
  </si>
  <si>
    <t>95_Comportamiento_fi</t>
  </si>
  <si>
    <t>96_Otros</t>
  </si>
  <si>
    <t>97_Hora_fin</t>
  </si>
  <si>
    <t>98_Social</t>
  </si>
  <si>
    <t>99_Individuo</t>
  </si>
  <si>
    <t>100_Comportamiento_d</t>
  </si>
  <si>
    <t>101_Notas</t>
  </si>
  <si>
    <t>a3e851d4-aedf-40db-baaf-bffce96c449e</t>
  </si>
  <si>
    <t>2024-09-12T14:31:58.000Z</t>
  </si>
  <si>
    <t>2024-10-09T00:36:15.000Z</t>
  </si>
  <si>
    <t>08:47 Agresión 08:48</t>
  </si>
  <si>
    <t>Agresión</t>
  </si>
  <si>
    <t>Receptor</t>
  </si>
  <si>
    <t>AFC/AFD</t>
  </si>
  <si>
    <t>6d17a302-744d-44a8-977f-3a28f2ced02b</t>
  </si>
  <si>
    <t>2024-09-10T19:58:51.000Z</t>
  </si>
  <si>
    <t>2024-10-09T00:21:31.000Z</t>
  </si>
  <si>
    <t>14:48 *Entra en contacto 14:56</t>
  </si>
  <si>
    <t>*Entra en contacto</t>
  </si>
  <si>
    <t>AM/AFD</t>
  </si>
  <si>
    <t>*Sale de contacto</t>
  </si>
  <si>
    <t>e460e271-08d1-4557-b2e7-aa9383f429e4</t>
  </si>
  <si>
    <t>2024-09-10T18:53:54.000Z</t>
  </si>
  <si>
    <t>2024-10-09T00:21:05.000Z</t>
  </si>
  <si>
    <t>13:36 *Entra en contacto 13:48</t>
  </si>
  <si>
    <t>AFD/AFC</t>
  </si>
  <si>
    <t>a789cc47-8f7b-42e2-be3b-7b8321501e82</t>
  </si>
  <si>
    <t>2024-08-22T19:42:02.000Z</t>
  </si>
  <si>
    <t>2024-10-09T00:06:30.000Z</t>
  </si>
  <si>
    <t>14:03 Lactancia 14:12</t>
  </si>
  <si>
    <t>Momi/ J</t>
  </si>
  <si>
    <t>b75ed142-9179-4b54-95c3-f9852b3fe187</t>
  </si>
  <si>
    <t>2024-08-02T19:22:07.000Z</t>
  </si>
  <si>
    <t>2024-08-20T00:30:36.000Z</t>
  </si>
  <si>
    <t>14:14 *Entra en contacto 14:26</t>
  </si>
  <si>
    <t>Gandhi/AFLambar</t>
  </si>
  <si>
    <t>e4e7e5c8-4075-4056-9903-dee9515a9baa</t>
  </si>
  <si>
    <t>2024-08-02T19:14:46.000Z</t>
  </si>
  <si>
    <t>2024-08-20T00:30:30.000Z</t>
  </si>
  <si>
    <t>14:09 Amenazar 14:09</t>
  </si>
  <si>
    <t>Gandhi/Gru</t>
  </si>
  <si>
    <t>Agresivo</t>
  </si>
  <si>
    <t>fa046bb7-826f-4a87-9094-7734b8251206</t>
  </si>
  <si>
    <t>2024-08-01T20:07:33.000Z</t>
  </si>
  <si>
    <t>2024-08-20T00:25:11.000Z</t>
  </si>
  <si>
    <t>14:59 *Entra en contacto 15:22</t>
  </si>
  <si>
    <t>07020fca-cee8-4251-8141-be4602b3a727</t>
  </si>
  <si>
    <t>2024-08-01T14:15:27.000Z</t>
  </si>
  <si>
    <t>2024-08-20T00:24:01.000Z</t>
  </si>
  <si>
    <t>09:06 *Entra en contacto 09:19</t>
  </si>
  <si>
    <t>Ambar/AFLambar</t>
  </si>
  <si>
    <t>5f28257e-b161-44f4-b199-01eea532b56b</t>
  </si>
  <si>
    <t>2024-07-25T14:43:38.000Z</t>
  </si>
  <si>
    <t>2024-07-30T00:44:14.000Z</t>
  </si>
  <si>
    <t>09:38 Juego 09:44</t>
  </si>
  <si>
    <t>89b9f498-7414-4743-8583-6c2a487e33b3</t>
  </si>
  <si>
    <t>2024-07-25T14:38:44.000Z</t>
  </si>
  <si>
    <t>2024-07-30T00:44:09.000Z</t>
  </si>
  <si>
    <t>09:28 *Entra en contacto 09:34</t>
  </si>
  <si>
    <t>d8ffa42e-cb6b-44dc-8eb6-42b9f3d85d6b</t>
  </si>
  <si>
    <t>2024-07-25T12:33:26.000Z</t>
  </si>
  <si>
    <t>2024-07-30T00:43:43.000Z</t>
  </si>
  <si>
    <t>07:17 *Entra en contacto 07:58</t>
  </si>
  <si>
    <t>ba24002b-f50f-4ec6-ac8b-f26900f5e9e4</t>
  </si>
  <si>
    <t>2024-07-25T12:32:56.000Z</t>
  </si>
  <si>
    <t>2024-07-30T00:43:37.000Z</t>
  </si>
  <si>
    <t>07:10 Lactancia 07:17</t>
  </si>
  <si>
    <t>a234aa20-2d12-40b1-9669-945de37f2484</t>
  </si>
  <si>
    <t>2024-07-23T22:06:05.000Z</t>
  </si>
  <si>
    <t>2024-07-30T00:43:02.000Z</t>
  </si>
  <si>
    <t>16:54 Seguir / Perseguir 17:06</t>
  </si>
  <si>
    <t>Seguir / Perseguir</t>
  </si>
  <si>
    <t>23ed3ed1-5c74-4614-a3cc-929aab347769</t>
  </si>
  <si>
    <t>2024-07-23T18:21:15.000Z</t>
  </si>
  <si>
    <t>2024-07-30T00:42:35.000Z</t>
  </si>
  <si>
    <t>13:15 *Entra en contacto 14:16</t>
  </si>
  <si>
    <t>JF/AFL</t>
  </si>
  <si>
    <t>ce549954-97eb-44b0-80cd-4c6938ece5dc</t>
  </si>
  <si>
    <t>2024-07-23T17:49:45.000Z</t>
  </si>
  <si>
    <t>2024-07-30T00:41:54.000Z</t>
  </si>
  <si>
    <t>12:49 *Entra en contacto 12:55</t>
  </si>
  <si>
    <t>dcd0277b-67b4-46b7-a5bb-8d2cf748cffa</t>
  </si>
  <si>
    <t>2024-07-23T17:16:13.000Z</t>
  </si>
  <si>
    <t>2024-07-30T00:41:35.000Z</t>
  </si>
  <si>
    <t>12:15 Lactancia 12:38</t>
  </si>
  <si>
    <t>AF/JF</t>
  </si>
  <si>
    <t>4b841197-b99a-4060-bec6-f80160302335</t>
  </si>
  <si>
    <t>2024-07-23T17:15:07.000Z</t>
  </si>
  <si>
    <t>2024-07-30T00:41:33.000Z</t>
  </si>
  <si>
    <t>12:12 *Entra en contacto 12:37</t>
  </si>
  <si>
    <t>Descanso Pasivo</t>
  </si>
  <si>
    <t>7a9433dc-3b68-4963-857a-c3310c22390d</t>
  </si>
  <si>
    <t>2024-07-22T18:11:09.000Z</t>
  </si>
  <si>
    <t>2024-07-30T00:38:47.000Z</t>
  </si>
  <si>
    <t>12:59 Juego 13:09</t>
  </si>
  <si>
    <t>AF lact/Juv</t>
  </si>
  <si>
    <t>Alimentacion colgante</t>
  </si>
  <si>
    <t>Colgantes le da besos en la boca y le abre la boca a la fuerza</t>
  </si>
  <si>
    <t>0ffca3af-f0ad-4882-8387-41e8d25e9b7d</t>
  </si>
  <si>
    <t>2024-07-13T14:26:10.000Z</t>
  </si>
  <si>
    <t>2024-07-22T00:45:00.000Z</t>
  </si>
  <si>
    <t>09:21 Juego 09:24</t>
  </si>
  <si>
    <t>J/SAG</t>
  </si>
  <si>
    <t>bda876b9-2d11-45fb-bac7-ab0eba621dea</t>
  </si>
  <si>
    <t>2024-07-12T18:33:27.000Z</t>
  </si>
  <si>
    <t>2024-07-22T00:46:53.000Z</t>
  </si>
  <si>
    <t>13:33 *Entra en contacto 13:39</t>
  </si>
  <si>
    <t>SAF/AM</t>
  </si>
  <si>
    <t>4a071e24-2e06-48a8-a111-f80975cdff84</t>
  </si>
  <si>
    <t>2024-07-12T18:23:40.000Z</t>
  </si>
  <si>
    <t>2024-07-22T00:46:50.000Z</t>
  </si>
  <si>
    <t>13:22 *Entra en proximidad 13:30</t>
  </si>
  <si>
    <t>*Entra en proximidad</t>
  </si>
  <si>
    <t>*Sale de proximidad</t>
  </si>
  <si>
    <t>fcdbc993-2098-4b43-9933-eead221a21b6</t>
  </si>
  <si>
    <t>2024-07-12T14:57:48.000Z</t>
  </si>
  <si>
    <t>2024-07-22T00:46:25.000Z</t>
  </si>
  <si>
    <t>09:55 *Entra en proximidad 10:39</t>
  </si>
  <si>
    <t>Amenazante</t>
  </si>
  <si>
    <t>c7765a5e-2847-470e-a3e9-0d4f1cb3b46a</t>
  </si>
  <si>
    <t>2024-07-12T14:56:59.000Z</t>
  </si>
  <si>
    <t>2024-07-22T00:46:24.000Z</t>
  </si>
  <si>
    <t>09:29 *Entra en proximidad 10:37</t>
  </si>
  <si>
    <t>AM/ hembra solitaria</t>
  </si>
  <si>
    <t>145_Hora</t>
  </si>
  <si>
    <t>146_Clima</t>
  </si>
  <si>
    <t>147_Punto_GPS</t>
  </si>
  <si>
    <t>148_Adultos_Machos</t>
  </si>
  <si>
    <t>149_Adultas_Hembras</t>
  </si>
  <si>
    <t>151_Adultos_Indeterm</t>
  </si>
  <si>
    <t>152_Subadultos_Macho</t>
  </si>
  <si>
    <t>153_Subdultas_Hembra</t>
  </si>
  <si>
    <t>154_Subadultos_Indet</t>
  </si>
  <si>
    <t>155_Juveniles_Machos</t>
  </si>
  <si>
    <t>156_Juveniles_Hembra</t>
  </si>
  <si>
    <t>157_Juveniles_Indete</t>
  </si>
  <si>
    <t>158_Infantes_Machos</t>
  </si>
  <si>
    <t>159_Infantes_Hembras</t>
  </si>
  <si>
    <t>160_Infantes_Indeter</t>
  </si>
  <si>
    <t>161_Machos_Indetermi</t>
  </si>
  <si>
    <t>162_Hembras_Indeterm</t>
  </si>
  <si>
    <t>163_Individuos_Indet</t>
  </si>
  <si>
    <t>164_Notas</t>
  </si>
  <si>
    <t>cb0f8d1f-7b99-4a6a-976a-355a62b36a00</t>
  </si>
  <si>
    <t>2024-10-10T19:00:59.000Z</t>
  </si>
  <si>
    <t>2024-10-11T20:05:10.000Z</t>
  </si>
  <si>
    <t>14:00 3548</t>
  </si>
  <si>
    <t>Pocas nubles y claro</t>
  </si>
  <si>
    <t>c4c0039c-c65e-4d33-ba45-56e266e3f317</t>
  </si>
  <si>
    <t>2024-10-10T18:43:30.000Z</t>
  </si>
  <si>
    <t>2024-10-11T20:05:05.000Z</t>
  </si>
  <si>
    <t>13:30 3547</t>
  </si>
  <si>
    <t>Clima parcialmente nublado</t>
  </si>
  <si>
    <t>96ac60fb-6ae9-48e3-8b1e-f51849ec1ebc</t>
  </si>
  <si>
    <t>2024-10-10T18:24:59.000Z</t>
  </si>
  <si>
    <t>2024-10-11T20:04:58.000Z</t>
  </si>
  <si>
    <t>13:15 3545</t>
  </si>
  <si>
    <t>c3c2b72c-1df5-439c-8a28-931a6db1224c</t>
  </si>
  <si>
    <t>2024-10-10T18:02:06.000Z</t>
  </si>
  <si>
    <t>2024-10-11T20:04:52.000Z</t>
  </si>
  <si>
    <t>13:00 3544</t>
  </si>
  <si>
    <t>6439bade-4691-42ee-ad49-2542ff73e806</t>
  </si>
  <si>
    <t>2024-10-10T17:46:23.000Z</t>
  </si>
  <si>
    <t>2024-10-11T20:04:43.000Z</t>
  </si>
  <si>
    <t>12:45 3542</t>
  </si>
  <si>
    <t>18902233-d494-4577-93ba-de70ad7eb722</t>
  </si>
  <si>
    <t>2024-10-10T17:31:03.000Z</t>
  </si>
  <si>
    <t>2024-10-11T20:04:41.000Z</t>
  </si>
  <si>
    <t>12:30 3541</t>
  </si>
  <si>
    <t>cd84ca17-ee4b-451d-b395-d1a22d2c297a</t>
  </si>
  <si>
    <t>2024-10-10T17:15:34.000Z</t>
  </si>
  <si>
    <t>2024-10-11T20:04:37.000Z</t>
  </si>
  <si>
    <t>12:15 3540</t>
  </si>
  <si>
    <t>b45f7dd8-2acd-432e-ae39-2214bd0d74fc</t>
  </si>
  <si>
    <t>2024-10-10T17:02:43.000Z</t>
  </si>
  <si>
    <t>2024-10-11T20:04:31.000Z</t>
  </si>
  <si>
    <t>12:00 3539</t>
  </si>
  <si>
    <t>a05cc94c-bc7a-44e8-a10f-1488a7ee70b1</t>
  </si>
  <si>
    <t>2024-10-10T17:02:10.000Z</t>
  </si>
  <si>
    <t>2024-10-11T20:04:30.000Z</t>
  </si>
  <si>
    <t>11:45 3538</t>
  </si>
  <si>
    <t>ed904ff3-dafe-4947-9387-e04e0933e479</t>
  </si>
  <si>
    <t>2024-10-10T16:34:30.000Z</t>
  </si>
  <si>
    <t>2024-10-11T20:04:23.000Z</t>
  </si>
  <si>
    <t>11:30 3537</t>
  </si>
  <si>
    <t>a313ee0b-4a02-4dec-8678-76e2d355a085</t>
  </si>
  <si>
    <t>2024-10-10T16:18:54.000Z</t>
  </si>
  <si>
    <t>2024-10-11T20:04:18.000Z</t>
  </si>
  <si>
    <t>11:15 3535</t>
  </si>
  <si>
    <t>64a1bc42-ec7f-4e1c-a2a8-13579370d6ff</t>
  </si>
  <si>
    <t>2024-10-10T16:04:06.000Z</t>
  </si>
  <si>
    <t>2024-10-11T20:04:13.000Z</t>
  </si>
  <si>
    <t>11:00 3533</t>
  </si>
  <si>
    <t>7041a8b1-47d6-460a-90b1-69867ff5e922</t>
  </si>
  <si>
    <t>2024-10-10T15:50:36.000Z</t>
  </si>
  <si>
    <t>2024-10-11T20:04:07.000Z</t>
  </si>
  <si>
    <t>10:45 3531</t>
  </si>
  <si>
    <t>b78ef8dd-4f98-4d0c-83c7-1468496ad9d9</t>
  </si>
  <si>
    <t>2024-10-10T15:37:50.000Z</t>
  </si>
  <si>
    <t>2024-10-11T20:04:04.000Z</t>
  </si>
  <si>
    <t>10:30 3530</t>
  </si>
  <si>
    <t>3e039a1a-5c40-4f8e-9972-46fc0251cff5</t>
  </si>
  <si>
    <t>2024-10-09T22:06:09.000Z</t>
  </si>
  <si>
    <t>2024-10-11T20:03:53.000Z</t>
  </si>
  <si>
    <t>17:00 3528</t>
  </si>
  <si>
    <t>bc678aec-59b2-4225-bec5-97c97db86969</t>
  </si>
  <si>
    <t>2024-10-09T20:17:57.000Z</t>
  </si>
  <si>
    <t>2024-10-11T20:03:30.000Z</t>
  </si>
  <si>
    <t>15:15 3526</t>
  </si>
  <si>
    <t>c3b0deab-7109-457d-bdc4-04594c8ba3fc</t>
  </si>
  <si>
    <t>2024-10-09T17:53:13.000Z</t>
  </si>
  <si>
    <t>2024-10-11T20:03:09.000Z</t>
  </si>
  <si>
    <t>12:45 3523</t>
  </si>
  <si>
    <t>346ef447-cef2-468f-b202-0452100d049f</t>
  </si>
  <si>
    <t>2024-10-09T16:48:45.000Z</t>
  </si>
  <si>
    <t>2024-10-11T20:02:56.000Z</t>
  </si>
  <si>
    <t>11:45 3522</t>
  </si>
  <si>
    <t>7ed0603c-0701-411f-80bd-a6ef842b63cb</t>
  </si>
  <si>
    <t>2024-10-09T15:01:11.000Z</t>
  </si>
  <si>
    <t>2024-10-11T20:02:31.000Z</t>
  </si>
  <si>
    <t>10:00 3521</t>
  </si>
  <si>
    <t>0abedbff-395b-4a3b-abb9-769e534cdf84</t>
  </si>
  <si>
    <t>2024-10-09T14:45:30.000Z</t>
  </si>
  <si>
    <t>2024-10-11T20:02:27.000Z</t>
  </si>
  <si>
    <t>09:45 3519</t>
  </si>
  <si>
    <t>8676ce16-f5bf-4fd5-81b9-ee65be0f6305</t>
  </si>
  <si>
    <t>2024-10-09T14:33:10.000Z</t>
  </si>
  <si>
    <t>2024-10-11T20:02:25.000Z</t>
  </si>
  <si>
    <t>09:30 3517</t>
  </si>
  <si>
    <t>8179715b-bfde-4505-99a8-dfc5f6bad311</t>
  </si>
  <si>
    <t>2024-10-09T14:18:42.000Z</t>
  </si>
  <si>
    <t>2024-10-11T20:02:18.000Z</t>
  </si>
  <si>
    <t>09:15 3515</t>
  </si>
  <si>
    <t>b14f1988-e458-4f8a-9cf7-a5d77db7e136</t>
  </si>
  <si>
    <t>2024-10-09T13:46:53.000Z</t>
  </si>
  <si>
    <t>2024-10-11T20:02:14.000Z</t>
  </si>
  <si>
    <t>08:45 3513</t>
  </si>
  <si>
    <t>55f33218-44c4-4572-9382-751d9ce69abf</t>
  </si>
  <si>
    <t>2024-10-09T13:18:27.000Z</t>
  </si>
  <si>
    <t>2024-10-11T20:02:07.000Z</t>
  </si>
  <si>
    <t>08:15 3512</t>
  </si>
  <si>
    <t>7e5eecc7-19ac-40ff-a098-29c13a0eaedb</t>
  </si>
  <si>
    <t>2024-10-08T22:31:28.000Z</t>
  </si>
  <si>
    <t>2024-10-09T00:49:41.000Z</t>
  </si>
  <si>
    <t>17:30 3508</t>
  </si>
  <si>
    <t>e432999e-4570-4eed-ac4b-2e1ca49ce2e4</t>
  </si>
  <si>
    <t>2024-10-08T22:01:15.000Z</t>
  </si>
  <si>
    <t>2024-10-09T00:49:28.000Z</t>
  </si>
  <si>
    <t>17:00 3505</t>
  </si>
  <si>
    <t>66703b75-1615-472e-b6f8-b1617d5edaa1</t>
  </si>
  <si>
    <t>2024-10-08T21:32:59.000Z</t>
  </si>
  <si>
    <t>2024-10-09T00:49:19.000Z</t>
  </si>
  <si>
    <t>16:30 3504</t>
  </si>
  <si>
    <t>e511b5c8-b918-47ce-a7a6-e5a2b647303f</t>
  </si>
  <si>
    <t>2024-10-08T20:59:39.000Z</t>
  </si>
  <si>
    <t>2024-10-09T00:49:09.000Z</t>
  </si>
  <si>
    <t>16:00 3503</t>
  </si>
  <si>
    <t>c7001edf-916e-4817-b432-47f0d21dc2e1</t>
  </si>
  <si>
    <t>2024-10-08T20:34:30.000Z</t>
  </si>
  <si>
    <t>2024-10-09T00:49:08.000Z</t>
  </si>
  <si>
    <t>15:30 3502</t>
  </si>
  <si>
    <t>832499fd-8a1c-44de-b3da-df647d890926</t>
  </si>
  <si>
    <t>2024-10-08T19:36:22.000Z</t>
  </si>
  <si>
    <t>2024-10-09T00:48:55.000Z</t>
  </si>
  <si>
    <t>14:30 3501</t>
  </si>
  <si>
    <t>54fd9098-e97c-462b-b4db-99ae48dca1f4</t>
  </si>
  <si>
    <t>2024-10-08T19:17:12.000Z</t>
  </si>
  <si>
    <t>2024-10-09T00:48:48.000Z</t>
  </si>
  <si>
    <t>14:15 3500</t>
  </si>
  <si>
    <t>280cfb14-4b1a-457f-aab5-5c42c6a279f2</t>
  </si>
  <si>
    <t>2024-10-08T18:53:45.000Z</t>
  </si>
  <si>
    <t>2024-10-09T00:48:41.000Z</t>
  </si>
  <si>
    <t>13:45 3499</t>
  </si>
  <si>
    <t>6870cba2-c90d-42ff-9203-69308f6d5b85</t>
  </si>
  <si>
    <t>2024-10-08T18:23:03.000Z</t>
  </si>
  <si>
    <t>2024-10-09T00:48:33.000Z</t>
  </si>
  <si>
    <t>13:15 3498</t>
  </si>
  <si>
    <t>343b5382-f149-46bd-911c-b83db83a2695</t>
  </si>
  <si>
    <t>2024-10-08T17:50:26.000Z</t>
  </si>
  <si>
    <t>2024-10-09T00:48:23.000Z</t>
  </si>
  <si>
    <t>12:45 3497</t>
  </si>
  <si>
    <t>f1678789-d5ba-4e0a-b29b-c8d526616028</t>
  </si>
  <si>
    <t>2024-10-08T17:08:09.000Z</t>
  </si>
  <si>
    <t>2024-10-09T00:48:14.000Z</t>
  </si>
  <si>
    <t>12:00 3496</t>
  </si>
  <si>
    <t>3ae4b9e0-f5b6-4a5f-82bd-e25378adb31a</t>
  </si>
  <si>
    <t>2024-10-08T16:44:58.000Z</t>
  </si>
  <si>
    <t>2024-10-09T00:48:00.000Z</t>
  </si>
  <si>
    <t>11:45 3495</t>
  </si>
  <si>
    <t>a9867f8d-5e83-4287-ba12-8c6a09e0215e</t>
  </si>
  <si>
    <t>2024-10-08T16:34:38.000Z</t>
  </si>
  <si>
    <t>2024-10-09T00:47:48.000Z</t>
  </si>
  <si>
    <t>11:30 3494</t>
  </si>
  <si>
    <t>251722ba-895e-4b5c-aba1-61f64fb3d253</t>
  </si>
  <si>
    <t>2024-10-08T15:50:30.000Z</t>
  </si>
  <si>
    <t>2024-10-09T00:47:42.000Z</t>
  </si>
  <si>
    <t>10:45 3493</t>
  </si>
  <si>
    <t>78c1ffa7-ec3a-4016-a494-55f1089ed59c</t>
  </si>
  <si>
    <t>2024-10-08T15:32:47.000Z</t>
  </si>
  <si>
    <t>2024-10-09T00:47:39.000Z</t>
  </si>
  <si>
    <t>10:30 3490</t>
  </si>
  <si>
    <t>af7378e4-bfe9-4367-b339-1f43e72ba528</t>
  </si>
  <si>
    <t>2024-10-08T15:00:27.000Z</t>
  </si>
  <si>
    <t>2024-10-09T00:47:33.000Z</t>
  </si>
  <si>
    <t>10:00 3488</t>
  </si>
  <si>
    <t>74cd3222-0a90-4482-9560-b250289d7ab1</t>
  </si>
  <si>
    <t>2024-10-07T21:20:19.000Z</t>
  </si>
  <si>
    <t>2024-10-09T00:31:08.000Z</t>
  </si>
  <si>
    <t>16:15 3481</t>
  </si>
  <si>
    <t>89664731-1273-447c-977f-14d5a49fb3fd</t>
  </si>
  <si>
    <t>2024-10-07T20:59:55.000Z</t>
  </si>
  <si>
    <t>2024-10-09T00:31:00.000Z</t>
  </si>
  <si>
    <t>16:00 3480</t>
  </si>
  <si>
    <t>6e916175-ae2a-4367-919a-24d401c710e5</t>
  </si>
  <si>
    <t>2024-10-07T20:15:11.000Z</t>
  </si>
  <si>
    <t>2024-10-09T00:30:47.000Z</t>
  </si>
  <si>
    <t>15:15 3477</t>
  </si>
  <si>
    <t>1bf7e196-a4cb-4e13-bc00-3bca209d792e</t>
  </si>
  <si>
    <t>2024-10-07T19:44:48.000Z</t>
  </si>
  <si>
    <t>2024-10-09T00:30:39.000Z</t>
  </si>
  <si>
    <t>14:45 3475</t>
  </si>
  <si>
    <t>35f5debf-2ac8-4646-98aa-acddd6ecd8c8</t>
  </si>
  <si>
    <t>2024-10-07T19:33:29.000Z</t>
  </si>
  <si>
    <t>2024-10-09T00:30:35.000Z</t>
  </si>
  <si>
    <t>14:30 3474</t>
  </si>
  <si>
    <t>e11d905c-82bd-4023-bd78-ebf9ec738b04</t>
  </si>
  <si>
    <t>2024-10-07T18:23:59.000Z</t>
  </si>
  <si>
    <t>2024-10-09T00:30:11.000Z</t>
  </si>
  <si>
    <t>13:15 3471</t>
  </si>
  <si>
    <t>f0c76fa0-2aef-46c0-aa93-dfa53c68ca08</t>
  </si>
  <si>
    <t>2024-10-07T18:02:26.000Z</t>
  </si>
  <si>
    <t>2024-10-09T00:30:05.000Z</t>
  </si>
  <si>
    <t>13:00 3468</t>
  </si>
  <si>
    <t>2da4edfb-12f4-487c-9b6a-8b6163bbfbde</t>
  </si>
  <si>
    <t>2024-10-07T17:50:06.000Z</t>
  </si>
  <si>
    <t>2024-10-09T00:30:01.000Z</t>
  </si>
  <si>
    <t>12:45 3467</t>
  </si>
  <si>
    <t>99082387-35fd-4b16-8bb7-1bc08e5ae85b</t>
  </si>
  <si>
    <t>2024-10-07T17:16:26.000Z</t>
  </si>
  <si>
    <t>2024-10-09T00:29:53.000Z</t>
  </si>
  <si>
    <t>12:15 3466</t>
  </si>
  <si>
    <t>778c4479-1017-4952-8d84-92d0a525d3ae</t>
  </si>
  <si>
    <t>2024-10-07T17:06:56.000Z</t>
  </si>
  <si>
    <t>2024-10-09T00:29:48.000Z</t>
  </si>
  <si>
    <t>12:00 3465</t>
  </si>
  <si>
    <t>577eb3cb-d86e-4643-af88-5dda70811e8d</t>
  </si>
  <si>
    <t>2024-10-07T16:45:09.000Z</t>
  </si>
  <si>
    <t>2024-10-09T00:29:44.000Z</t>
  </si>
  <si>
    <t>11:45 3464</t>
  </si>
  <si>
    <t>0750ab1a-95cb-41b6-a3e2-734fa851e983</t>
  </si>
  <si>
    <t>2024-10-07T16:08:02.000Z</t>
  </si>
  <si>
    <t>2024-10-09T00:29:32.000Z</t>
  </si>
  <si>
    <t>11:00 3463</t>
  </si>
  <si>
    <t>2c058504-8a3d-41cf-b989-23db8cd2fd31</t>
  </si>
  <si>
    <t>2024-10-07T15:57:38.000Z</t>
  </si>
  <si>
    <t>2024-10-09T00:29:31.000Z</t>
  </si>
  <si>
    <t>10:45 3462</t>
  </si>
  <si>
    <t>ff99d99d-399b-40b0-b54d-3ca2e16392fe</t>
  </si>
  <si>
    <t>2024-10-07T15:31:29.000Z</t>
  </si>
  <si>
    <t>2024-10-09T00:29:26.000Z</t>
  </si>
  <si>
    <t>10:30 3461</t>
  </si>
  <si>
    <t>bf64669f-cff5-467d-af45-906b7759a6e3</t>
  </si>
  <si>
    <t>2024-10-07T15:26:45.000Z</t>
  </si>
  <si>
    <t>2024-10-09T00:29:20.000Z</t>
  </si>
  <si>
    <t>10:15 3460</t>
  </si>
  <si>
    <t>f396cd69-7807-4c37-9c80-230b3aed9893</t>
  </si>
  <si>
    <t>2024-10-07T15:05:00.000Z</t>
  </si>
  <si>
    <t>2024-10-09T00:29:16.000Z</t>
  </si>
  <si>
    <t>10:00 3459</t>
  </si>
  <si>
    <t>bed63324-2ac8-4610-b53c-b28f9d1b2c44</t>
  </si>
  <si>
    <t>2024-09-26T19:35:12.000Z</t>
  </si>
  <si>
    <t>2024-10-09T00:32:27.000Z</t>
  </si>
  <si>
    <t>14:30 3453</t>
  </si>
  <si>
    <t>508f3e37-4a7e-4f7b-9c9b-60d30ccc2260</t>
  </si>
  <si>
    <t>2024-09-26T19:00:40.000Z</t>
  </si>
  <si>
    <t>2024-10-09T00:32:21.000Z</t>
  </si>
  <si>
    <t>14:00 3448</t>
  </si>
  <si>
    <t>19fae17d-21a8-4307-bb1d-bc01094638f1</t>
  </si>
  <si>
    <t>2024-09-26T18:44:44.000Z</t>
  </si>
  <si>
    <t>2024-10-09T00:32:14.000Z</t>
  </si>
  <si>
    <t>13:45 3447</t>
  </si>
  <si>
    <t>ea83e090-773f-4af1-af27-6eec4e016ada</t>
  </si>
  <si>
    <t>2024-09-26T17:17:15.000Z</t>
  </si>
  <si>
    <t>2024-10-09T00:31:56.000Z</t>
  </si>
  <si>
    <t>12:15 3445</t>
  </si>
  <si>
    <t>Clima nublado y oscuro</t>
  </si>
  <si>
    <t>4df19824-f7eb-4580-93a3-1750afc5d03a</t>
  </si>
  <si>
    <t>2024-09-26T16:23:12.000Z</t>
  </si>
  <si>
    <t>2024-10-09T00:31:43.000Z</t>
  </si>
  <si>
    <t>11:15 3443</t>
  </si>
  <si>
    <t>3b1ff07c-aa63-4bf1-b49a-844cf7acdf3c</t>
  </si>
  <si>
    <t>2024-09-26T16:00:53.000Z</t>
  </si>
  <si>
    <t>2024-10-09T00:31:36.000Z</t>
  </si>
  <si>
    <t>11:00 3441</t>
  </si>
  <si>
    <t>05575ae1-5b0c-408c-b9b4-55df8655d502</t>
  </si>
  <si>
    <t>2024-09-26T15:54:10.000Z</t>
  </si>
  <si>
    <t>2024-10-09T00:31:26.000Z</t>
  </si>
  <si>
    <t>10:45 3439</t>
  </si>
  <si>
    <t>21883204-6eef-49c5-bc0e-de60921cad90</t>
  </si>
  <si>
    <t>2024-09-25T19:39:18.000Z</t>
  </si>
  <si>
    <t>2024-10-09T00:33:59.000Z</t>
  </si>
  <si>
    <t>14:30 3436</t>
  </si>
  <si>
    <t>1b8e9ea0-f9f0-4e3c-8b99-250d1eb87489</t>
  </si>
  <si>
    <t>2024-09-25T19:00:37.000Z</t>
  </si>
  <si>
    <t>2024-10-09T00:33:53.000Z</t>
  </si>
  <si>
    <t>14:00 3435</t>
  </si>
  <si>
    <t>aae8aff4-b247-4d37-8b17-b116d8e68615</t>
  </si>
  <si>
    <t>2024-09-25T18:39:01.000Z</t>
  </si>
  <si>
    <t>2024-10-09T00:33:46.000Z</t>
  </si>
  <si>
    <t>13:30 3434</t>
  </si>
  <si>
    <t>bb365c59-cb6c-4afa-b99b-10fd4dd3ed23</t>
  </si>
  <si>
    <t>2024-09-25T18:05:07.000Z</t>
  </si>
  <si>
    <t>2024-10-09T00:33:39.000Z</t>
  </si>
  <si>
    <t>13:01 3432</t>
  </si>
  <si>
    <t>070496e2-6bff-4303-bc8a-542578404ec1</t>
  </si>
  <si>
    <t>2024-09-25T16:25:42.000Z</t>
  </si>
  <si>
    <t>2024-10-09T00:33:23.000Z</t>
  </si>
  <si>
    <t>11:30 3431</t>
  </si>
  <si>
    <t>d7336832-8e8f-4315-93cb-253064e49e96</t>
  </si>
  <si>
    <t>2024-09-25T14:32:14.000Z</t>
  </si>
  <si>
    <t>2024-10-09T00:33:01.000Z</t>
  </si>
  <si>
    <t>09:30 3430</t>
  </si>
  <si>
    <t>b6d17147-c90b-4fe7-8a4c-1d83b39f6c88</t>
  </si>
  <si>
    <t>2024-09-25T14:00:13.000Z</t>
  </si>
  <si>
    <t>2024-10-09T00:32:50.000Z</t>
  </si>
  <si>
    <t>09:00 3429</t>
  </si>
  <si>
    <t>ce876c99-17e0-4643-85c2-147b53a30965</t>
  </si>
  <si>
    <t>2024-09-24T16:53:11.000Z</t>
  </si>
  <si>
    <t>2024-10-09T00:35:04.000Z</t>
  </si>
  <si>
    <t>11:45 3426</t>
  </si>
  <si>
    <t>6d6dc64b-cabe-4789-bea0-158b0275410b</t>
  </si>
  <si>
    <t>2024-09-24T16:18:07.000Z</t>
  </si>
  <si>
    <t>2024-10-09T00:34:52.000Z</t>
  </si>
  <si>
    <t>11:15 3425</t>
  </si>
  <si>
    <t>4862aabd-600c-4302-9b5c-7cb64ef28f8a</t>
  </si>
  <si>
    <t>2024-09-24T16:02:16.000Z</t>
  </si>
  <si>
    <t>2024-10-09T00:34:43.000Z</t>
  </si>
  <si>
    <t>11:00 3423</t>
  </si>
  <si>
    <t>4085f9cc-d283-4691-8b2e-d5dca63e96b6</t>
  </si>
  <si>
    <t>2024-09-24T15:45:41.000Z</t>
  </si>
  <si>
    <t>2024-10-09T00:34:40.000Z</t>
  </si>
  <si>
    <t>10:45 3421</t>
  </si>
  <si>
    <t>81085b73-11ae-4d57-a085-0b596514a14b</t>
  </si>
  <si>
    <t>2024-09-24T15:31:20.000Z</t>
  </si>
  <si>
    <t>2024-10-09T00:34:33.000Z</t>
  </si>
  <si>
    <t>10:30 3420</t>
  </si>
  <si>
    <t>77fdc7cb-6401-4950-9a3f-74a7c9ea175e</t>
  </si>
  <si>
    <t>2024-09-24T15:15:52.000Z</t>
  </si>
  <si>
    <t>2024-10-09T00:34:28.000Z</t>
  </si>
  <si>
    <t>10:15 3418</t>
  </si>
  <si>
    <t>358eed68-6027-40f5-ae62-17a9b5e2cfc4</t>
  </si>
  <si>
    <t>2024-09-24T15:07:54.000Z</t>
  </si>
  <si>
    <t>2024-10-09T00:34:18.000Z</t>
  </si>
  <si>
    <t>10:00 3417</t>
  </si>
  <si>
    <t>af8708c9-900d-44a1-b925-ffbbc9407d15</t>
  </si>
  <si>
    <t>2024-09-21T17:04:36.000Z</t>
  </si>
  <si>
    <t>2024-10-09T00:27:33.000Z</t>
  </si>
  <si>
    <t>12:00 3411</t>
  </si>
  <si>
    <t>edf6cfd5-63c2-4b6b-b635-04028df4cbee</t>
  </si>
  <si>
    <t>2024-09-18T19:13:29.000Z</t>
  </si>
  <si>
    <t>2024-10-09T00:26:44.000Z</t>
  </si>
  <si>
    <t>14:00 3408</t>
  </si>
  <si>
    <t>0acc601f-be08-4df1-8b09-227498221476</t>
  </si>
  <si>
    <t>2024-09-18T16:46:33.000Z</t>
  </si>
  <si>
    <t>2024-10-09T00:26:15.000Z</t>
  </si>
  <si>
    <t>11:45 3406</t>
  </si>
  <si>
    <t>dd5d68d6-81a6-4858-9a76-59fde19da6d2</t>
  </si>
  <si>
    <t>2024-09-18T16:41:25.000Z</t>
  </si>
  <si>
    <t>2024-10-09T00:26:12.000Z</t>
  </si>
  <si>
    <t>11:30 3405</t>
  </si>
  <si>
    <t>5ab3a41a-06f5-446f-ba76-e4220d03bc63</t>
  </si>
  <si>
    <t>2024-09-18T15:00:10.000Z</t>
  </si>
  <si>
    <t>2024-10-09T00:25:48.000Z</t>
  </si>
  <si>
    <t>10:00 3403</t>
  </si>
  <si>
    <t>5d4bedd1-ccff-4afb-bd48-7eceffc2be08</t>
  </si>
  <si>
    <t>2024-09-17T17:15:21.000Z</t>
  </si>
  <si>
    <t>2024-10-09T00:24:58.000Z</t>
  </si>
  <si>
    <t>12:15 3400</t>
  </si>
  <si>
    <t>71368dfc-02e2-4c78-84fd-d17ca3fcf93e</t>
  </si>
  <si>
    <t>2024-09-16T18:39:45.000Z</t>
  </si>
  <si>
    <t>2024-10-09T00:24:15.000Z</t>
  </si>
  <si>
    <t>13:30 3397</t>
  </si>
  <si>
    <t>f2bdac9e-3653-438d-a5d4-0ed781099d46</t>
  </si>
  <si>
    <t>2024-09-12T16:09:53.000Z</t>
  </si>
  <si>
    <t>2024-10-09T00:43:21.000Z</t>
  </si>
  <si>
    <t>11:00 3392</t>
  </si>
  <si>
    <t>a2315a6a-05e4-442e-9433-6e192e5a625b</t>
  </si>
  <si>
    <t>2024-09-12T15:52:17.000Z</t>
  </si>
  <si>
    <t>2024-10-09T00:37:14.000Z</t>
  </si>
  <si>
    <t>10:45 3390</t>
  </si>
  <si>
    <t>935aa512-eb0b-4265-a06e-c162994f1a1b</t>
  </si>
  <si>
    <t>2024-09-12T15:34:52.000Z</t>
  </si>
  <si>
    <t>2024-10-09T00:37:12.000Z</t>
  </si>
  <si>
    <t>10:30 3389</t>
  </si>
  <si>
    <t>6d3c315d-e5da-4a35-be55-8fc2cd010e9a</t>
  </si>
  <si>
    <t>2024-09-12T15:15:55.000Z</t>
  </si>
  <si>
    <t>2024-10-09T00:36:50.000Z</t>
  </si>
  <si>
    <t>10:15 3388</t>
  </si>
  <si>
    <t>f797dca0-b1cf-46ad-bac0-9c8bfe245bff</t>
  </si>
  <si>
    <t>2024-09-12T14:45:01.000Z</t>
  </si>
  <si>
    <t>2024-10-09T00:36:45.000Z</t>
  </si>
  <si>
    <t>09:45 3387</t>
  </si>
  <si>
    <t>848dcd86-18cb-481b-a6e0-873c397144dc</t>
  </si>
  <si>
    <t>2024-09-12T14:40:50.000Z</t>
  </si>
  <si>
    <t>2024-10-09T00:36:29.000Z</t>
  </si>
  <si>
    <t>09:30 3386</t>
  </si>
  <si>
    <t>a8e3c13b-9380-4026-a8d3-a23ac0771302</t>
  </si>
  <si>
    <t>2024-09-12T14:40:12.000Z</t>
  </si>
  <si>
    <t>2024-10-09T00:36:27.000Z</t>
  </si>
  <si>
    <t>09:15 3385</t>
  </si>
  <si>
    <t>59cb3779-6ac4-4934-b1f0-1b8dfee870f2</t>
  </si>
  <si>
    <t>2024-09-12T14:39:37.000Z</t>
  </si>
  <si>
    <t>2024-10-09T00:36:31.000Z</t>
  </si>
  <si>
    <t>09:00 3384</t>
  </si>
  <si>
    <t>6363be45-4b0b-44c9-8d1b-d4d16e7930ec</t>
  </si>
  <si>
    <t>2024-09-12T14:39:13.000Z</t>
  </si>
  <si>
    <t>2024-10-09T00:36:25.000Z</t>
  </si>
  <si>
    <t>08:45 3383</t>
  </si>
  <si>
    <t>e0e90cf8-8886-4a94-ad85-48b36b3ee03f</t>
  </si>
  <si>
    <t>2024-09-12T13:18:55.000Z</t>
  </si>
  <si>
    <t>2024-10-09T00:36:00.000Z</t>
  </si>
  <si>
    <t>08:15 3381</t>
  </si>
  <si>
    <t>515cb033-b674-4456-9bbb-f38b1f470037</t>
  </si>
  <si>
    <t>2024-09-12T13:09:13.000Z</t>
  </si>
  <si>
    <t>2024-10-09T00:35:57.000Z</t>
  </si>
  <si>
    <t>08:00 3380</t>
  </si>
  <si>
    <t>a17aed6e-0fa3-4204-ad26-d6cab64c5cca</t>
  </si>
  <si>
    <t>2024-09-11T21:28:50.000Z</t>
  </si>
  <si>
    <t>2024-10-09T00:23:16.000Z</t>
  </si>
  <si>
    <t>16:30 3378</t>
  </si>
  <si>
    <t>70c6ed6b-c0e4-4195-8894-1e4e880957ee</t>
  </si>
  <si>
    <t>2024-09-11T20:29:45.000Z</t>
  </si>
  <si>
    <t>2024-10-09T00:23:14.000Z</t>
  </si>
  <si>
    <t>15:30 3376</t>
  </si>
  <si>
    <t>4d286f3c-e629-4fd7-9b91-ab4e22f9e597</t>
  </si>
  <si>
    <t>2024-09-11T20:04:54.000Z</t>
  </si>
  <si>
    <t>2024-10-09T00:23:13.000Z</t>
  </si>
  <si>
    <t>15:00 3374</t>
  </si>
  <si>
    <t>55275ee9-7f31-43f3-a23d-12dcb98fa30c</t>
  </si>
  <si>
    <t>2024-09-11T19:25:24.000Z</t>
  </si>
  <si>
    <t>2024-10-09T00:23:10.000Z</t>
  </si>
  <si>
    <t>14:15 3373</t>
  </si>
  <si>
    <t>195f7291-0e70-4b10-8dff-cf26c1b28358</t>
  </si>
  <si>
    <t>2024-09-11T19:03:18.000Z</t>
  </si>
  <si>
    <t>2024-10-09T00:23:06.000Z</t>
  </si>
  <si>
    <t>14:00 3372</t>
  </si>
  <si>
    <t>1ad9b47f-d6f3-4326-be86-9073582be8f8</t>
  </si>
  <si>
    <t>2024-09-11T18:50:47.000Z</t>
  </si>
  <si>
    <t>2024-10-09T00:23:03.000Z</t>
  </si>
  <si>
    <t>13:45 3371</t>
  </si>
  <si>
    <t>5612259d-7ed1-48be-86c2-fe087678e948</t>
  </si>
  <si>
    <t>2024-09-11T17:58:25.000Z</t>
  </si>
  <si>
    <t>2024-10-09T00:23:02.000Z</t>
  </si>
  <si>
    <t>12:45 3367</t>
  </si>
  <si>
    <t>c1569522-7f84-4252-b99a-c1991c127935</t>
  </si>
  <si>
    <t>2024-09-11T17:02:52.000Z</t>
  </si>
  <si>
    <t>2024-10-09T00:22:49.000Z</t>
  </si>
  <si>
    <t>12:00 3366</t>
  </si>
  <si>
    <t>d38070cd-2057-4e23-8532-16b629caf930</t>
  </si>
  <si>
    <t>2024-09-11T17:02:20.000Z</t>
  </si>
  <si>
    <t>2024-10-09T00:22:47.000Z</t>
  </si>
  <si>
    <t>11:45 3365</t>
  </si>
  <si>
    <t>0df23758-dcb9-46a1-a4bb-987e89b69e79</t>
  </si>
  <si>
    <t>2024-09-11T17:01:45.000Z</t>
  </si>
  <si>
    <t>2024-10-09T00:22:46.000Z</t>
  </si>
  <si>
    <t>11:30 3364</t>
  </si>
  <si>
    <t>2a5d2fac-0d0c-47e9-b91d-8b67a208d420</t>
  </si>
  <si>
    <t>2024-09-11T17:01:11.000Z</t>
  </si>
  <si>
    <t>2024-10-09T00:22:44.000Z</t>
  </si>
  <si>
    <t>11:15 3363</t>
  </si>
  <si>
    <t>faae15b2-9592-4399-a81d-8a8298175225</t>
  </si>
  <si>
    <t>2024-09-11T17:00:35.000Z</t>
  </si>
  <si>
    <t>2024-10-09T00:22:42.000Z</t>
  </si>
  <si>
    <t>11:00 3362</t>
  </si>
  <si>
    <t>7c44c720-9caa-4e83-ad3e-4930baa86743</t>
  </si>
  <si>
    <t>2024-09-11T16:59:40.000Z</t>
  </si>
  <si>
    <t>2024-10-09T00:22:41.000Z</t>
  </si>
  <si>
    <t>10:45 3358</t>
  </si>
  <si>
    <t>8092c505-415d-42dd-acb9-6872c8b72e9f</t>
  </si>
  <si>
    <t>2024-09-11T16:58:15.000Z</t>
  </si>
  <si>
    <t>2024-10-09T00:22:39.000Z</t>
  </si>
  <si>
    <t>10:30 3357</t>
  </si>
  <si>
    <t>ba4c3665-0f50-4098-ab30-6d75b259ea3a</t>
  </si>
  <si>
    <t>2024-09-10T21:07:09.000Z</t>
  </si>
  <si>
    <t>2024-10-09T00:21:41.000Z</t>
  </si>
  <si>
    <t>16:00 3354</t>
  </si>
  <si>
    <t>76184543-6166-475d-9422-4a553c68d2f1</t>
  </si>
  <si>
    <t>2024-09-10T20:03:09.000Z</t>
  </si>
  <si>
    <t>2024-10-09T00:21:32.000Z</t>
  </si>
  <si>
    <t>15:00 3351</t>
  </si>
  <si>
    <t>ba5ed744-5c9c-48c6-9c3d-63fc52cee0a6</t>
  </si>
  <si>
    <t>2024-09-10T19:46:55.000Z</t>
  </si>
  <si>
    <t>2024-10-09T00:21:25.000Z</t>
  </si>
  <si>
    <t>14:45 3350</t>
  </si>
  <si>
    <t>2bc1831e-7b13-4e43-a7f9-3d619db497ac</t>
  </si>
  <si>
    <t>2024-09-10T19:35:59.000Z</t>
  </si>
  <si>
    <t>2024-10-09T00:21:23.000Z</t>
  </si>
  <si>
    <t>14:30 3349</t>
  </si>
  <si>
    <t>1950586c-a6be-417b-9e2a-662b29b3ad79</t>
  </si>
  <si>
    <t>2024-09-10T19:17:58.000Z</t>
  </si>
  <si>
    <t>2024-10-09T00:21:17.000Z</t>
  </si>
  <si>
    <t>14:15 3348</t>
  </si>
  <si>
    <t>8662ed11-102d-40b6-9b7d-86a67d5b5217</t>
  </si>
  <si>
    <t>2024-09-10T19:06:18.000Z</t>
  </si>
  <si>
    <t>2024-10-09T00:21:14.000Z</t>
  </si>
  <si>
    <t>14:00 3346</t>
  </si>
  <si>
    <t>c0c11869-ae44-4f98-a0be-775f93965be5</t>
  </si>
  <si>
    <t>2024-09-10T18:56:46.000Z</t>
  </si>
  <si>
    <t>2024-10-09T00:21:10.000Z</t>
  </si>
  <si>
    <t>13:45 3345</t>
  </si>
  <si>
    <t>85fbcdf5-81dc-45ca-bd69-d8dc57f8cebe</t>
  </si>
  <si>
    <t>2024-09-10T17:05:17.000Z</t>
  </si>
  <si>
    <t>2024-10-09T00:20:47.000Z</t>
  </si>
  <si>
    <t>12:00 3343</t>
  </si>
  <si>
    <t>f52ba89e-77da-4123-bc0b-8224902a2140</t>
  </si>
  <si>
    <t>2024-09-10T16:29:03.000Z</t>
  </si>
  <si>
    <t>2024-10-09T00:20:38.000Z</t>
  </si>
  <si>
    <t>11:15 3342</t>
  </si>
  <si>
    <t>8b3c05f7-f3b4-41e1-ad77-9567abe932ff</t>
  </si>
  <si>
    <t>2024-09-10T16:00:03.000Z</t>
  </si>
  <si>
    <t>2024-10-09T00:20:31.000Z</t>
  </si>
  <si>
    <t>11:00 3341</t>
  </si>
  <si>
    <t>ad1c277d-c613-4307-978f-ddfad389f15e</t>
  </si>
  <si>
    <t>2024-09-10T15:59:32.000Z</t>
  </si>
  <si>
    <t>2024-10-09T00:20:30.000Z</t>
  </si>
  <si>
    <t>10:45 3340</t>
  </si>
  <si>
    <t>2c79559f-0481-4c1a-a551-130bd84d98c5</t>
  </si>
  <si>
    <t>2024-09-10T15:58:22.000Z</t>
  </si>
  <si>
    <t>2024-10-09T00:20:27.000Z</t>
  </si>
  <si>
    <t>10:30 3339</t>
  </si>
  <si>
    <t>9df907a6-d57d-4ad1-962d-b050bd9547de</t>
  </si>
  <si>
    <t>2024-09-10T15:24:46.000Z</t>
  </si>
  <si>
    <t>2024-10-09T00:20:20.000Z</t>
  </si>
  <si>
    <t>10:15 3338</t>
  </si>
  <si>
    <t>2879799a-b27e-4ce3-b2f0-41095440568e</t>
  </si>
  <si>
    <t>2024-09-10T14:26:39.000Z</t>
  </si>
  <si>
    <t>2024-10-09T00:20:07.000Z</t>
  </si>
  <si>
    <t>09:15 3337</t>
  </si>
  <si>
    <t>d8b8f5f6-842d-47c6-8312-b14b30f51c81</t>
  </si>
  <si>
    <t>2024-09-10T14:11:08.000Z</t>
  </si>
  <si>
    <t>2024-10-09T00:20:00.000Z</t>
  </si>
  <si>
    <t>09:00 3336</t>
  </si>
  <si>
    <t>7be48437-0eba-4bd9-89c2-642504c80049</t>
  </si>
  <si>
    <t>2024-09-10T13:50:13.000Z</t>
  </si>
  <si>
    <t>2024-10-09T00:19:51.000Z</t>
  </si>
  <si>
    <t>08:45 3334</t>
  </si>
  <si>
    <t>196f21d1-92a6-4bd0-83cc-fa78324d1a65</t>
  </si>
  <si>
    <t>2024-09-10T13:46:49.000Z</t>
  </si>
  <si>
    <t>2024-10-09T00:19:50.000Z</t>
  </si>
  <si>
    <t>08:30 3332</t>
  </si>
  <si>
    <t>a5477c6d-e876-4add-99f1-5b0e6343679c</t>
  </si>
  <si>
    <t>2024-09-09T21:28:41.000Z</t>
  </si>
  <si>
    <t>2024-10-09T00:19:08.000Z</t>
  </si>
  <si>
    <t>16:30 3327</t>
  </si>
  <si>
    <t>f53f75fd-7502-4e12-9fc7-614554755e30</t>
  </si>
  <si>
    <t>2024-09-09T19:53:09.000Z</t>
  </si>
  <si>
    <t>2024-10-09T00:18:52.000Z</t>
  </si>
  <si>
    <t>14:45 3322</t>
  </si>
  <si>
    <t>7c3fa822-4c69-498f-9395-477ab43409b7</t>
  </si>
  <si>
    <t>2024-09-09T19:52:30.000Z</t>
  </si>
  <si>
    <t>2024-10-09T00:18:50.000Z</t>
  </si>
  <si>
    <t>14:00 3321</t>
  </si>
  <si>
    <t>657f9de7-fc0c-4ac3-99b7-1b4c0277c44c</t>
  </si>
  <si>
    <t>2024-09-09T18:28:15.000Z</t>
  </si>
  <si>
    <t>2024-10-09T00:18:28.000Z</t>
  </si>
  <si>
    <t>13:30 3319</t>
  </si>
  <si>
    <t>9906583b-9746-419c-a611-306ebfc4cc6a</t>
  </si>
  <si>
    <t>2024-09-09T18:07:01.000Z</t>
  </si>
  <si>
    <t>2024-10-09T00:18:27.000Z</t>
  </si>
  <si>
    <t>13:00 3317</t>
  </si>
  <si>
    <t>04418629-512a-4799-a33e-db0dc8a71bef</t>
  </si>
  <si>
    <t>2024-09-09T18:06:15.000Z</t>
  </si>
  <si>
    <t>2024-10-09T00:18:24.000Z</t>
  </si>
  <si>
    <t>12:45 3316</t>
  </si>
  <si>
    <t>e3b09e62-495a-4d83-8950-97c89e648a7f</t>
  </si>
  <si>
    <t>2024-09-09T16:08:44.000Z</t>
  </si>
  <si>
    <t>2024-10-09T00:17:44.000Z</t>
  </si>
  <si>
    <t>11:00 3315</t>
  </si>
  <si>
    <t>8f94903a-64fb-49c7-af96-05a075b48446</t>
  </si>
  <si>
    <t>2024-09-06T19:33:06.000Z</t>
  </si>
  <si>
    <t>2024-10-09T00:45:10.000Z</t>
  </si>
  <si>
    <t>14:30 3313</t>
  </si>
  <si>
    <t>e2662656-c140-4b8b-99b7-0ab1e341f0c2</t>
  </si>
  <si>
    <t>2024-09-06T18:45:49.000Z</t>
  </si>
  <si>
    <t>2024-10-09T00:45:07.000Z</t>
  </si>
  <si>
    <t>13:45 3312</t>
  </si>
  <si>
    <t>1bb0a781-f468-46ab-9402-ae2019fa37dd</t>
  </si>
  <si>
    <t>2024-09-06T15:28:02.000Z</t>
  </si>
  <si>
    <t>2024-10-09T00:44:25.000Z</t>
  </si>
  <si>
    <t>10:30 3309</t>
  </si>
  <si>
    <t>e0fb2d97-10ac-4227-869b-bdfa45929602</t>
  </si>
  <si>
    <t>2024-09-06T14:34:48.000Z</t>
  </si>
  <si>
    <t>2024-10-09T00:44:12.000Z</t>
  </si>
  <si>
    <t>09:30 3308</t>
  </si>
  <si>
    <t>a066dc4e-67cf-4fe5-b743-b620fa54ff93</t>
  </si>
  <si>
    <t>2024-09-06T14:24:09.000Z</t>
  </si>
  <si>
    <t>2024-10-09T00:44:09.000Z</t>
  </si>
  <si>
    <t>09:15 3307</t>
  </si>
  <si>
    <t>0af5c9fa-684e-498b-8cc3-640f7adbdabf</t>
  </si>
  <si>
    <t>2024-09-06T14:21:30.000Z</t>
  </si>
  <si>
    <t>2024-10-09T00:44:07.000Z</t>
  </si>
  <si>
    <t>09:00 3306</t>
  </si>
  <si>
    <t>2b6bbfb6-06da-4cbe-b105-f862c2243f90</t>
  </si>
  <si>
    <t>2024-09-06T13:56:42.000Z</t>
  </si>
  <si>
    <t>2024-10-09T00:44:02.000Z</t>
  </si>
  <si>
    <t>08:45 3305</t>
  </si>
  <si>
    <t>0b23ae0d-6645-47d8-bb41-2f534fba01ea</t>
  </si>
  <si>
    <t>2024-09-06T13:55:27.000Z</t>
  </si>
  <si>
    <t>2024-10-09T00:44:00.000Z</t>
  </si>
  <si>
    <t>08:30 3304</t>
  </si>
  <si>
    <t>d877fcdb-0826-459d-94bb-10194e088bd7</t>
  </si>
  <si>
    <t>2024-09-06T13:17:34.000Z</t>
  </si>
  <si>
    <t>2024-10-09T00:43:51.000Z</t>
  </si>
  <si>
    <t>08:15 3303</t>
  </si>
  <si>
    <t>4ebb2c00-b760-4d13-8323-42824f21d86d</t>
  </si>
  <si>
    <t>2024-09-06T13:16:53.000Z</t>
  </si>
  <si>
    <t>2024-10-09T00:43:49.000Z</t>
  </si>
  <si>
    <t>08:00 3302</t>
  </si>
  <si>
    <t>9d7356ad-6ce0-4940-9063-4bb097ca502d</t>
  </si>
  <si>
    <t>2024-09-06T13:12:55.000Z</t>
  </si>
  <si>
    <t>2024-10-09T00:43:48.000Z</t>
  </si>
  <si>
    <t>07:45 3301</t>
  </si>
  <si>
    <t>2b7f3cdb-4805-43fb-a2c3-d6b544b6d9f1</t>
  </si>
  <si>
    <t>2024-09-06T13:12:22.000Z</t>
  </si>
  <si>
    <t>2024-10-09T00:43:46.000Z</t>
  </si>
  <si>
    <t>07:30 3300</t>
  </si>
  <si>
    <t>b0afe4f4-51dc-4ffa-8a2c-2ee96b2abe84</t>
  </si>
  <si>
    <t>2024-09-03T19:59:38.000Z</t>
  </si>
  <si>
    <t>2024-10-09T00:47:12.000Z</t>
  </si>
  <si>
    <t>15:00 3285</t>
  </si>
  <si>
    <t>0ea36926-1af5-46d2-bc29-a2f919519270</t>
  </si>
  <si>
    <t>2024-09-03T17:45:32.000Z</t>
  </si>
  <si>
    <t>2024-10-09T00:46:37.000Z</t>
  </si>
  <si>
    <t>12:45 3284</t>
  </si>
  <si>
    <t>fc57cf56-eadb-4ff2-89fb-a1d016d62c84</t>
  </si>
  <si>
    <t>2024-09-03T17:29:00.000Z</t>
  </si>
  <si>
    <t>2024-10-09T00:46:35.000Z</t>
  </si>
  <si>
    <t>12:30 3283</t>
  </si>
  <si>
    <t>2c54ac16-8628-44b7-b9e3-c53766905d3d</t>
  </si>
  <si>
    <t>2024-09-03T15:52:42.000Z</t>
  </si>
  <si>
    <t>2024-10-09T00:46:19.000Z</t>
  </si>
  <si>
    <t>10:45 3282</t>
  </si>
  <si>
    <t>8017cc95-2a33-4805-8e77-2202e26ab4eb</t>
  </si>
  <si>
    <t>2024-09-03T15:52:21.000Z</t>
  </si>
  <si>
    <t>2024-10-09T00:46:17.000Z</t>
  </si>
  <si>
    <t>10:30 3282</t>
  </si>
  <si>
    <t>5c773859-7a39-4bf2-8de0-a2c6dd253a8b</t>
  </si>
  <si>
    <t>2024-09-03T15:51:39.000Z</t>
  </si>
  <si>
    <t>2024-10-09T00:46:16.000Z</t>
  </si>
  <si>
    <t>10:15 3282</t>
  </si>
  <si>
    <t>b0100a7b-9551-4914-9b35-7b7c5a79c03d</t>
  </si>
  <si>
    <t>2024-09-03T15:04:17.000Z</t>
  </si>
  <si>
    <t>2024-10-09T00:46:00.000Z</t>
  </si>
  <si>
    <t>10:00 3282</t>
  </si>
  <si>
    <t>f94f518d-fc85-4928-891c-49a8322421a7</t>
  </si>
  <si>
    <t>2024-09-03T14:56:56.000Z</t>
  </si>
  <si>
    <t>2024-10-09T00:45:49.000Z</t>
  </si>
  <si>
    <t>09:45 3281</t>
  </si>
  <si>
    <t>Lluvia fuerte</t>
  </si>
  <si>
    <t>425232f7-f8c0-4bd0-b46a-a166f976bd1a</t>
  </si>
  <si>
    <t>2024-09-03T13:52:18.000Z</t>
  </si>
  <si>
    <t>2024-10-09T00:45:40.000Z</t>
  </si>
  <si>
    <t>08:45 3280</t>
  </si>
  <si>
    <t>d6f8dffc-edd2-46a3-9807-5c17fee754e4</t>
  </si>
  <si>
    <t>2024-09-03T13:32:20.000Z</t>
  </si>
  <si>
    <t>2024-10-09T00:45:39.000Z</t>
  </si>
  <si>
    <t>08:30 3279</t>
  </si>
  <si>
    <t>633fc9fd-e71d-4f98-a862-698c425b25be</t>
  </si>
  <si>
    <t>2024-09-03T13:19:55.000Z</t>
  </si>
  <si>
    <t>2024-10-09T00:45:32.000Z</t>
  </si>
  <si>
    <t>08:15 3279</t>
  </si>
  <si>
    <t>edb93ad6-168f-4c2c-9665-a52c5bbdac07</t>
  </si>
  <si>
    <t>2024-09-02T20:08:12.000Z</t>
  </si>
  <si>
    <t>2024-10-09T00:47:25.000Z</t>
  </si>
  <si>
    <t>15:00 3275</t>
  </si>
  <si>
    <t>6a7a18b8-9fb5-410c-9ed5-93cc89da62cd</t>
  </si>
  <si>
    <t>2024-09-02T20:07:49.000Z</t>
  </si>
  <si>
    <t>2024-10-09T00:47:22.000Z</t>
  </si>
  <si>
    <t>13:00 3274</t>
  </si>
  <si>
    <t>1982a4ba-4384-483a-a53e-9f5619f8bdc1</t>
  </si>
  <si>
    <t>2024-09-02T15:30:07.000Z</t>
  </si>
  <si>
    <t>2024-10-09T00:47:21.000Z</t>
  </si>
  <si>
    <t>10:30 3273</t>
  </si>
  <si>
    <t>b6294616-2d8e-474a-a141-559e74efcb1a</t>
  </si>
  <si>
    <t>2024-08-31T16:33:35.000Z</t>
  </si>
  <si>
    <t>2024-10-09T00:17:30.000Z</t>
  </si>
  <si>
    <t>11:30 3270</t>
  </si>
  <si>
    <t>c8d0b912-e930-424a-b472-b458cd14790d</t>
  </si>
  <si>
    <t>2024-08-31T15:14:31.000Z</t>
  </si>
  <si>
    <t>2024-10-09T00:17:16.000Z</t>
  </si>
  <si>
    <t>10:15 3269</t>
  </si>
  <si>
    <t>cf94d2cc-1bbe-40aa-b445-4add8cbfbe33</t>
  </si>
  <si>
    <t>2024-08-31T14:26:18.000Z</t>
  </si>
  <si>
    <t>2024-10-09T00:17:05.000Z</t>
  </si>
  <si>
    <t>09:30 3268</t>
  </si>
  <si>
    <t>09b1f784-227e-4134-aa69-81078ca73b2c</t>
  </si>
  <si>
    <t>2024-08-31T13:34:39.000Z</t>
  </si>
  <si>
    <t>2024-10-09T00:16:50.000Z</t>
  </si>
  <si>
    <t>08:30 3266</t>
  </si>
  <si>
    <t>60995d10-a9a0-4b40-9f72-8cd4a611af48</t>
  </si>
  <si>
    <t>2024-08-31T13:04:04.000Z</t>
  </si>
  <si>
    <t>2024-10-09T00:16:44.000Z</t>
  </si>
  <si>
    <t>08:00 3264</t>
  </si>
  <si>
    <t>80660ed3-65e4-4579-bfbc-0d7ffafd4fd2</t>
  </si>
  <si>
    <t>2024-08-31T13:03:42.000Z</t>
  </si>
  <si>
    <t>2024-10-09T00:16:42.000Z</t>
  </si>
  <si>
    <t>07:45 3263</t>
  </si>
  <si>
    <t>c231986b-6976-4a56-9ffb-c8efa47703de</t>
  </si>
  <si>
    <t>2024-08-31T12:28:32.000Z</t>
  </si>
  <si>
    <t>2024-10-09T00:16:27.000Z</t>
  </si>
  <si>
    <t>07:30 3263</t>
  </si>
  <si>
    <t>39b09241-4d34-4019-b473-773b40779af5</t>
  </si>
  <si>
    <t>2024-08-31T12:27:56.000Z</t>
  </si>
  <si>
    <t>2024-10-09T00:16:28.000Z</t>
  </si>
  <si>
    <t>07:15 3262</t>
  </si>
  <si>
    <t>406c907f-5687-4bd1-8898-0cf700ba7dcd</t>
  </si>
  <si>
    <t>2024-08-30T21:53:44.000Z</t>
  </si>
  <si>
    <t>2024-10-09T00:15:40.000Z</t>
  </si>
  <si>
    <t>16:45 3260</t>
  </si>
  <si>
    <t>06f59730-8391-4fcc-a5fc-a3298752c7ce</t>
  </si>
  <si>
    <t>2024-08-30T20:38:36.000Z</t>
  </si>
  <si>
    <t>2024-10-09T00:15:38.000Z</t>
  </si>
  <si>
    <t>15:30 3259</t>
  </si>
  <si>
    <t>37ce5994-25f9-4feb-9b24-a40b06f63ab7</t>
  </si>
  <si>
    <t>2024-08-30T19:31:05.000Z</t>
  </si>
  <si>
    <t>2024-10-09T00:15:31.000Z</t>
  </si>
  <si>
    <t>14:30 3256</t>
  </si>
  <si>
    <t>0d340f58-210a-4304-b82d-77f034694480</t>
  </si>
  <si>
    <t>2024-08-30T19:22:14.000Z</t>
  </si>
  <si>
    <t>2024-10-09T00:15:22.000Z</t>
  </si>
  <si>
    <t>14:00 3254</t>
  </si>
  <si>
    <t>aa2280ad-6382-40f0-80a3-f70ce3a9fc88</t>
  </si>
  <si>
    <t>2024-08-30T17:44:42.000Z</t>
  </si>
  <si>
    <t>2024-10-09T00:15:06.000Z</t>
  </si>
  <si>
    <t>12:45 3253</t>
  </si>
  <si>
    <t>c3a6b007-e47c-4e63-a305-df0ea63db703</t>
  </si>
  <si>
    <t>2024-08-30T17:44:16.000Z</t>
  </si>
  <si>
    <t>2024-10-09T00:15:04.000Z</t>
  </si>
  <si>
    <t>12:30 3253</t>
  </si>
  <si>
    <t>6352ca4e-cd8f-4218-adb1-a31dbe4035e2</t>
  </si>
  <si>
    <t>2024-08-30T17:22:08.000Z</t>
  </si>
  <si>
    <t>2024-10-09T00:14:46.000Z</t>
  </si>
  <si>
    <t>12:15 3252</t>
  </si>
  <si>
    <t>8a932307-4981-4257-a836-1ea083a1e18b</t>
  </si>
  <si>
    <t>2024-08-30T17:21:31.000Z</t>
  </si>
  <si>
    <t>2024-10-09T00:14:43.000Z</t>
  </si>
  <si>
    <t>12:00 3252</t>
  </si>
  <si>
    <t>25d219bf-24e1-4350-91b3-e3d8425590b7</t>
  </si>
  <si>
    <t>2024-08-30T16:49:45.000Z</t>
  </si>
  <si>
    <t>2024-10-09T00:14:42.000Z</t>
  </si>
  <si>
    <t>11:45 3251</t>
  </si>
  <si>
    <t>ae276680-69b7-4561-8435-f8d188299fb3</t>
  </si>
  <si>
    <t>2024-08-30T16:35:19.000Z</t>
  </si>
  <si>
    <t>2024-10-09T00:14:40.000Z</t>
  </si>
  <si>
    <t>11:30 3250</t>
  </si>
  <si>
    <t>fcb99997-eaaa-4d6d-91c6-603d078dce36</t>
  </si>
  <si>
    <t>2024-08-30T16:19:52.000Z</t>
  </si>
  <si>
    <t>2024-10-09T00:14:29.000Z</t>
  </si>
  <si>
    <t>11:15 3249</t>
  </si>
  <si>
    <t>41d42ac4-2420-4dbf-b9a2-ca4d0f26d932</t>
  </si>
  <si>
    <t>2024-08-30T13:53:00.000Z</t>
  </si>
  <si>
    <t>2024-10-09T00:13:35.000Z</t>
  </si>
  <si>
    <t>08:45 3246</t>
  </si>
  <si>
    <t>d10eb731-e904-44f9-bf77-87638fc90e17</t>
  </si>
  <si>
    <t>2024-08-30T13:10:05.000Z</t>
  </si>
  <si>
    <t>2024-10-09T00:13:29.000Z</t>
  </si>
  <si>
    <t>08:00 3244</t>
  </si>
  <si>
    <t>67a4f0ca-3b21-44ba-9b1a-1e3cb77982e3</t>
  </si>
  <si>
    <t>2024-08-28T15:21:14.000Z</t>
  </si>
  <si>
    <t>2024-10-09T00:12:36.000Z</t>
  </si>
  <si>
    <t>10:15 3240</t>
  </si>
  <si>
    <t>4ec5c0bb-0a0a-41cd-9d07-baf533910bcd</t>
  </si>
  <si>
    <t>2024-08-28T15:20:40.000Z</t>
  </si>
  <si>
    <t>2024-10-09T00:12:34.000Z</t>
  </si>
  <si>
    <t>09:15 3239</t>
  </si>
  <si>
    <t>c65502d6-8731-4d99-8341-beda8183f7f4</t>
  </si>
  <si>
    <t>2024-08-28T12:36:31.000Z</t>
  </si>
  <si>
    <t>2024-10-09T00:11:56.000Z</t>
  </si>
  <si>
    <t>17:30 3237</t>
  </si>
  <si>
    <t>a14da7be-ea66-44d7-b5f5-50e15837daa8</t>
  </si>
  <si>
    <t>2024-08-27T18:29:20.000Z</t>
  </si>
  <si>
    <t>2024-10-09T00:11:09.000Z</t>
  </si>
  <si>
    <t>13:30 3236</t>
  </si>
  <si>
    <t>62e4e65b-b81c-4784-99ce-ef7963e8de02</t>
  </si>
  <si>
    <t>2024-08-27T17:42:27.000Z</t>
  </si>
  <si>
    <t>2024-10-09T00:10:46.000Z</t>
  </si>
  <si>
    <t>12:45 3235</t>
  </si>
  <si>
    <t>1017090b-efc4-4ac0-81cf-d6009e53e46b</t>
  </si>
  <si>
    <t>2024-08-27T16:57:30.000Z</t>
  </si>
  <si>
    <t>2024-10-09T00:10:42.000Z</t>
  </si>
  <si>
    <t>11:45 3234</t>
  </si>
  <si>
    <t>c9dc80af-c1da-4a62-9207-4b5a90d78529</t>
  </si>
  <si>
    <t>2024-08-27T16:25:51.000Z</t>
  </si>
  <si>
    <t>2024-10-09T00:10:25.000Z</t>
  </si>
  <si>
    <t>11:30 3233</t>
  </si>
  <si>
    <t>0735d7b9-bd41-4a69-a3ce-5e24f88e0dc4</t>
  </si>
  <si>
    <t>2024-08-27T15:25:26.000Z</t>
  </si>
  <si>
    <t>2024-10-09T00:10:11.000Z</t>
  </si>
  <si>
    <t>10:30 3230</t>
  </si>
  <si>
    <t>4b87c925-b428-4840-aa7d-9decea3de7fc</t>
  </si>
  <si>
    <t>2024-08-27T14:49:58.000Z</t>
  </si>
  <si>
    <t>2024-10-09T00:10:03.000Z</t>
  </si>
  <si>
    <t>09:30 3228</t>
  </si>
  <si>
    <t>8c36b263-7157-47ef-a969-edd07bd4871f</t>
  </si>
  <si>
    <t>2024-08-27T14:25:17.000Z</t>
  </si>
  <si>
    <t>2024-10-09T00:09:56.000Z</t>
  </si>
  <si>
    <t>09:15 3227</t>
  </si>
  <si>
    <t>5e15c2e1-8790-4b10-be0c-b63798249701</t>
  </si>
  <si>
    <t>2024-08-27T14:00:53.000Z</t>
  </si>
  <si>
    <t>2024-10-09T00:09:49.000Z</t>
  </si>
  <si>
    <t>09:00 3226</t>
  </si>
  <si>
    <t>1d9b18c0-7d4b-468d-9db2-d4644e6c1d73</t>
  </si>
  <si>
    <t>2024-08-27T13:56:04.000Z</t>
  </si>
  <si>
    <t>2024-10-09T00:09:47.000Z</t>
  </si>
  <si>
    <t>08:45 3225</t>
  </si>
  <si>
    <t>a038b7a7-9d8d-47bb-8c07-52b6643f6952</t>
  </si>
  <si>
    <t>2024-08-27T13:55:43.000Z</t>
  </si>
  <si>
    <t>2024-10-09T00:09:45.000Z</t>
  </si>
  <si>
    <t>08:30 3224</t>
  </si>
  <si>
    <t>74fa3b59-5df3-4a49-9e74-cab5d70e4a29</t>
  </si>
  <si>
    <t>2024-08-26T12:57:57.000Z</t>
  </si>
  <si>
    <t>2024-10-09T00:09:13.000Z</t>
  </si>
  <si>
    <t>07:45 3223</t>
  </si>
  <si>
    <t>7a42b1b1-4f02-4ee3-ab72-3d36fa7517a9</t>
  </si>
  <si>
    <t>2024-08-24T21:21:00.000Z</t>
  </si>
  <si>
    <t>2024-10-09T00:52:46.000Z</t>
  </si>
  <si>
    <t>16:15 3220</t>
  </si>
  <si>
    <t>ced7a672-870b-4afd-adeb-190557c35fcb</t>
  </si>
  <si>
    <t>2024-08-24T20:01:51.000Z</t>
  </si>
  <si>
    <t>2024-10-09T00:52:37.000Z</t>
  </si>
  <si>
    <t>15:00 3219</t>
  </si>
  <si>
    <t>bb1fb335-17fa-4c04-bb0b-f48ffa18448d</t>
  </si>
  <si>
    <t>2024-08-24T19:14:31.000Z</t>
  </si>
  <si>
    <t>2024-10-09T00:52:18.000Z</t>
  </si>
  <si>
    <t>14:15 3216</t>
  </si>
  <si>
    <t>b3d5acef-6d64-4bdb-9ba0-0d28f8abd90a</t>
  </si>
  <si>
    <t>2024-08-24T19:00:20.000Z</t>
  </si>
  <si>
    <t>2024-10-09T00:52:08.000Z</t>
  </si>
  <si>
    <t>14:00 3215</t>
  </si>
  <si>
    <t>c6cc2d64-161e-4da0-9be7-e9d47ad45643</t>
  </si>
  <si>
    <t>2024-08-24T18:55:50.000Z</t>
  </si>
  <si>
    <t>2024-10-09T00:52:06.000Z</t>
  </si>
  <si>
    <t>13:45 3214</t>
  </si>
  <si>
    <t>aedb0d50-4150-4e45-86e3-314d59c4ac01</t>
  </si>
  <si>
    <t>2024-08-24T18:21:55.000Z</t>
  </si>
  <si>
    <t>2024-10-09T00:51:57.000Z</t>
  </si>
  <si>
    <t>13:15 3212</t>
  </si>
  <si>
    <t>c4885a23-6fa5-42f3-9a7e-80738d4fb2c5</t>
  </si>
  <si>
    <t>2024-08-23T20:44:42.000Z</t>
  </si>
  <si>
    <t>2024-10-09T00:08:32.000Z</t>
  </si>
  <si>
    <t>ae364936-3f26-46f0-aeb3-d09b873b3bdc</t>
  </si>
  <si>
    <t>2024-08-23T19:04:51.000Z</t>
  </si>
  <si>
    <t>2024-10-09T00:08:00.000Z</t>
  </si>
  <si>
    <t>14:00 3207</t>
  </si>
  <si>
    <t>21220d54-163d-40ce-92fa-d2aa099f0e45</t>
  </si>
  <si>
    <t>2024-08-23T18:52:43.000Z</t>
  </si>
  <si>
    <t>2024-10-09T00:07:57.000Z</t>
  </si>
  <si>
    <t>13:45 3206</t>
  </si>
  <si>
    <t>2ea66192-caf8-4e7e-b296-8b57e0dbcdd5</t>
  </si>
  <si>
    <t>2024-08-23T18:32:04.000Z</t>
  </si>
  <si>
    <t>2024-10-09T00:07:56.000Z</t>
  </si>
  <si>
    <t>13:30 3205</t>
  </si>
  <si>
    <t>7df9e687-1f33-4e54-a5aa-41da7849b170</t>
  </si>
  <si>
    <t>2024-08-23T18:16:09.000Z</t>
  </si>
  <si>
    <t>2024-10-09T00:07:54.000Z</t>
  </si>
  <si>
    <t>13:00 3204</t>
  </si>
  <si>
    <t>0e8b2b6e-efe4-4a35-8138-7de2af74cdb9</t>
  </si>
  <si>
    <t>2024-08-23T17:57:34.000Z</t>
  </si>
  <si>
    <t>2024-10-09T00:07:38.000Z</t>
  </si>
  <si>
    <t>12:45 3203</t>
  </si>
  <si>
    <t>9c89c3c8-c620-4516-9421-b2f0fa1113c8</t>
  </si>
  <si>
    <t>2024-08-23T17:35:28.000Z</t>
  </si>
  <si>
    <t>2024-10-09T00:07:31.000Z</t>
  </si>
  <si>
    <t>12:30 3201</t>
  </si>
  <si>
    <t>dfdcd0ae-14f2-4252-a64a-f516063ed29a</t>
  </si>
  <si>
    <t>2024-08-23T17:33:36.000Z</t>
  </si>
  <si>
    <t>2024-10-09T00:07:30.000Z</t>
  </si>
  <si>
    <t>12:00 3200</t>
  </si>
  <si>
    <t>9c793b2d-edf2-4f91-ab3f-bd22ebfc371a</t>
  </si>
  <si>
    <t>2024-08-23T15:11:24.000Z</t>
  </si>
  <si>
    <t>2024-10-09T00:06:59.000Z</t>
  </si>
  <si>
    <t>17:00 3200</t>
  </si>
  <si>
    <t>8b027160-e240-40ce-b1ac-0208800432fa</t>
  </si>
  <si>
    <t>2024-08-22T18:06:38.000Z</t>
  </si>
  <si>
    <t>2024-10-09T00:06:12.000Z</t>
  </si>
  <si>
    <t>13:00 3198</t>
  </si>
  <si>
    <t>5885682c-c488-42d8-93b8-d332ead83c6d</t>
  </si>
  <si>
    <t>2024-08-22T17:45:10.000Z</t>
  </si>
  <si>
    <t>2024-10-09T00:06:06.000Z</t>
  </si>
  <si>
    <t>12:45 3197</t>
  </si>
  <si>
    <t>897b74d8-2d0d-4d92-9576-d610c129ca89</t>
  </si>
  <si>
    <t>2024-08-22T16:17:32.000Z</t>
  </si>
  <si>
    <t>2024-10-09T00:05:51.000Z</t>
  </si>
  <si>
    <t>11:15 3196</t>
  </si>
  <si>
    <t>362571f2-50d9-48b0-9ba6-7f34b15a5169</t>
  </si>
  <si>
    <t>2024-08-22T16:17:07.000Z</t>
  </si>
  <si>
    <t>2024-10-09T00:05:49.000Z</t>
  </si>
  <si>
    <t>11:00 3196</t>
  </si>
  <si>
    <t>b4c4e4b9-e557-432b-90e0-737508a22646</t>
  </si>
  <si>
    <t>2024-08-22T16:16:40.000Z</t>
  </si>
  <si>
    <t>2024-10-09T00:05:47.000Z</t>
  </si>
  <si>
    <t>10:45 3196</t>
  </si>
  <si>
    <t>e0e9ffb4-c8a8-43fa-8962-8fbbf32c9596</t>
  </si>
  <si>
    <t>2024-08-22T15:36:23.000Z</t>
  </si>
  <si>
    <t>2024-10-09T00:05:36.000Z</t>
  </si>
  <si>
    <t>10:30 3195</t>
  </si>
  <si>
    <t>612243b1-4d16-42c5-a821-e002f679e8af</t>
  </si>
  <si>
    <t>2024-08-22T15:23:25.000Z</t>
  </si>
  <si>
    <t>2024-10-09T00:05:32.000Z</t>
  </si>
  <si>
    <t>10:15 3194</t>
  </si>
  <si>
    <t>eddc974c-3c22-476c-a9c0-4e1ebd250bfe</t>
  </si>
  <si>
    <t>2024-08-22T15:02:32.000Z</t>
  </si>
  <si>
    <t>2024-10-09T00:05:25.000Z</t>
  </si>
  <si>
    <t>10:00 3192</t>
  </si>
  <si>
    <t>22ce8970-85d9-49fb-903c-8874a9336f47</t>
  </si>
  <si>
    <t>2024-08-22T14:53:19.000Z</t>
  </si>
  <si>
    <t>2024-10-09T00:05:22.000Z</t>
  </si>
  <si>
    <t>09:45 3191</t>
  </si>
  <si>
    <t>a4b06a19-2fa2-415c-bb69-14fbaa657955</t>
  </si>
  <si>
    <t>2024-08-22T13:55:58.000Z</t>
  </si>
  <si>
    <t>2024-10-09T00:05:01.000Z</t>
  </si>
  <si>
    <t>08:45 3188</t>
  </si>
  <si>
    <t>f15048ba-cc1f-45ff-a6cd-16c21b4a350d</t>
  </si>
  <si>
    <t>2024-08-02T17:36:25.000Z</t>
  </si>
  <si>
    <t>2024-08-20T00:29:48.000Z</t>
  </si>
  <si>
    <t>12:30 3179</t>
  </si>
  <si>
    <t>42f242b9-5875-46c7-abc4-a426e4eca3b8</t>
  </si>
  <si>
    <t>2024-07-29T22:37:52.000Z</t>
  </si>
  <si>
    <t>2024-07-30T00:45:55.000Z</t>
  </si>
  <si>
    <t>17:30 3162</t>
  </si>
  <si>
    <t>ccf756ab-39a6-46ed-9d1a-78d2f630c6c8</t>
  </si>
  <si>
    <t>2024-07-29T21:22:47.000Z</t>
  </si>
  <si>
    <t>2024-07-30T00:45:49.000Z</t>
  </si>
  <si>
    <t>16:30 3161</t>
  </si>
  <si>
    <t>2bd3c742-236f-4c2e-b40f-ec86c7b3b1a0</t>
  </si>
  <si>
    <t>2024-07-29T19:25:03.000Z</t>
  </si>
  <si>
    <t>2024-07-30T00:45:39.000Z</t>
  </si>
  <si>
    <t>14:30 3158</t>
  </si>
  <si>
    <t>1992d4a3-0d25-418b-830f-17cb5c21251c</t>
  </si>
  <si>
    <t>2024-07-29T18:33:03.000Z</t>
  </si>
  <si>
    <t>2024-07-30T00:45:36.000Z</t>
  </si>
  <si>
    <t>13:30 3157</t>
  </si>
  <si>
    <t>68e6f13b-738d-4c7a-8073-702b3001b73b</t>
  </si>
  <si>
    <t>2024-07-25T15:34:59.000Z</t>
  </si>
  <si>
    <t>2024-07-30T00:44:18.000Z</t>
  </si>
  <si>
    <t>10:30 3149</t>
  </si>
  <si>
    <t>f8d89244-3b1d-4665-a21c-38e9d160fd2c</t>
  </si>
  <si>
    <t>2024-07-25T13:52:02.000Z</t>
  </si>
  <si>
    <t>2024-07-30T00:43:53.000Z</t>
  </si>
  <si>
    <t>08:45 3145</t>
  </si>
  <si>
    <t>3eb40663-1643-4ccf-b5f4-b3d62e7c7bb8</t>
  </si>
  <si>
    <t>2024-07-25T13:19:39.000Z</t>
  </si>
  <si>
    <t>2024-07-30T00:43:50.000Z</t>
  </si>
  <si>
    <t>08:15 3143</t>
  </si>
  <si>
    <t>a08f7676-5464-4f3a-a3e1-8eda2470fe4b</t>
  </si>
  <si>
    <t>2024-07-24T22:45:27.000Z</t>
  </si>
  <si>
    <t>2024-07-30T00:40:30.000Z</t>
  </si>
  <si>
    <t>17:45 3141</t>
  </si>
  <si>
    <t>27babc69-f375-4287-a716-af91410cb369</t>
  </si>
  <si>
    <t>2024-07-24T22:11:08.000Z</t>
  </si>
  <si>
    <t>2024-07-30T00:40:22.000Z</t>
  </si>
  <si>
    <t>17:00 3140</t>
  </si>
  <si>
    <t>9106a5e5-22d4-4ae2-b50b-8e9312a99ccf</t>
  </si>
  <si>
    <t>2024-07-24T16:00:07.000Z</t>
  </si>
  <si>
    <t>2024-07-30T00:39:41.000Z</t>
  </si>
  <si>
    <t>11:00 3137</t>
  </si>
  <si>
    <t>eec3b74b-26b9-4f9c-9570-e4fa6b42eefa</t>
  </si>
  <si>
    <t>2024-07-24T15:36:50.000Z</t>
  </si>
  <si>
    <t>2024-07-30T00:39:39.000Z</t>
  </si>
  <si>
    <t>10:30 3136</t>
  </si>
  <si>
    <t>df897290-1709-404c-a205-e80469786f66</t>
  </si>
  <si>
    <t>2024-07-24T14:59:53.000Z</t>
  </si>
  <si>
    <t>2024-07-30T00:39:36.000Z</t>
  </si>
  <si>
    <t>10:00 3135</t>
  </si>
  <si>
    <t>048f3333-1635-46f1-808f-115d0637ee43</t>
  </si>
  <si>
    <t>2024-07-24T14:42:33.000Z</t>
  </si>
  <si>
    <t>2024-07-30T00:39:31.000Z</t>
  </si>
  <si>
    <t>09:45 3134</t>
  </si>
  <si>
    <t>19507716-42b1-4a20-a1db-87be48694d37</t>
  </si>
  <si>
    <t>2024-07-24T13:42:00.000Z</t>
  </si>
  <si>
    <t>2024-07-30T00:39:15.000Z</t>
  </si>
  <si>
    <t>08:30 3132</t>
  </si>
  <si>
    <t>0bbaa778-edaf-4c88-b794-9258b7aa5055</t>
  </si>
  <si>
    <t>2024-07-23T22:04:17.000Z</t>
  </si>
  <si>
    <t>2024-07-30T00:42:59.000Z</t>
  </si>
  <si>
    <t>17:00 3130</t>
  </si>
  <si>
    <t>e36dc6ca-e216-4cff-8340-d4fe9f6841e7</t>
  </si>
  <si>
    <t>2024-07-23T21:48:26.000Z</t>
  </si>
  <si>
    <t>2024-07-30T00:42:56.000Z</t>
  </si>
  <si>
    <t>16:45 3129</t>
  </si>
  <si>
    <t>9464e9a5-91fd-4095-a1c8-4cd944da95ca</t>
  </si>
  <si>
    <t>2024-07-23T21:30:41.000Z</t>
  </si>
  <si>
    <t>2024-07-30T00:42:42.000Z</t>
  </si>
  <si>
    <t>16:30 3128</t>
  </si>
  <si>
    <t>5e82b2de-06f3-4b8a-b5a1-f1b5979162d8</t>
  </si>
  <si>
    <t>2024-07-23T18:07:29.000Z</t>
  </si>
  <si>
    <t>2024-07-30T00:42:07.000Z</t>
  </si>
  <si>
    <t>13:00 3126</t>
  </si>
  <si>
    <t>d9f8cd3f-c5c1-4c23-9747-20534ec8381c</t>
  </si>
  <si>
    <t>2024-07-23T15:16:22.000Z</t>
  </si>
  <si>
    <t>2024-07-30T00:41:16.000Z</t>
  </si>
  <si>
    <t>10:15 3120</t>
  </si>
  <si>
    <t>84e921ad-3ab0-440d-93a6-46459e2ffe7c</t>
  </si>
  <si>
    <t>2024-07-23T13:42:28.000Z</t>
  </si>
  <si>
    <t>2024-07-30T00:40:49.000Z</t>
  </si>
  <si>
    <t>08:30 3118</t>
  </si>
  <si>
    <t>3bb18533-88f4-4cff-b761-3cfa820b4527</t>
  </si>
  <si>
    <t>2024-07-23T12:31:14.000Z</t>
  </si>
  <si>
    <t>2024-07-30T00:40:42.000Z</t>
  </si>
  <si>
    <t>07:30 3115</t>
  </si>
  <si>
    <t>6eeeab52-918a-4b1d-af15-2729ba53446c</t>
  </si>
  <si>
    <t>2024-07-23T12:25:24.000Z</t>
  </si>
  <si>
    <t>2024-07-30T00:40:39.000Z</t>
  </si>
  <si>
    <t>07:15 3114</t>
  </si>
  <si>
    <t>60c34641-4b77-4d49-a889-829bbd9926a7</t>
  </si>
  <si>
    <t>2024-07-22T21:17:16.000Z</t>
  </si>
  <si>
    <t>2024-08-20T00:18:41.000Z</t>
  </si>
  <si>
    <t>16:15 3111</t>
  </si>
  <si>
    <t>e8ace9ec-9ffb-4ecc-8483-18e5f579e0a7</t>
  </si>
  <si>
    <t>2024-07-22T20:11:13.000Z</t>
  </si>
  <si>
    <t>2024-08-20T00:18:10.000Z</t>
  </si>
  <si>
    <t>15:15 3108</t>
  </si>
  <si>
    <t>93b86706-ec99-4dea-8ad2-17d3e890ffa0</t>
  </si>
  <si>
    <t>2024-07-22T19:51:01.000Z</t>
  </si>
  <si>
    <t>2024-08-20T00:18:08.000Z</t>
  </si>
  <si>
    <t>14:50 3107</t>
  </si>
  <si>
    <t>f99002bb-4688-4c92-8ee1-79022fc15972</t>
  </si>
  <si>
    <t>2024-07-22T17:14:02.000Z</t>
  </si>
  <si>
    <t>2024-07-30T00:38:26.000Z</t>
  </si>
  <si>
    <t>12:15 3105</t>
  </si>
  <si>
    <t>ef8f5880-f2a1-4843-9180-d371a255c3ec</t>
  </si>
  <si>
    <t>2024-07-22T17:09:17.000Z</t>
  </si>
  <si>
    <t>2024-07-30T00:38:24.000Z</t>
  </si>
  <si>
    <t>12:00 3104</t>
  </si>
  <si>
    <t>493b1c0f-3c27-486d-8e20-ea2932068acc</t>
  </si>
  <si>
    <t>2024-07-16T22:20:19.000Z</t>
  </si>
  <si>
    <t>2024-07-22T00:49:42.000Z</t>
  </si>
  <si>
    <t>17:20 3091</t>
  </si>
  <si>
    <t>76c06a3e-4a69-407e-81eb-30498f32c6da</t>
  </si>
  <si>
    <t>2024-07-16T20:49:01.000Z</t>
  </si>
  <si>
    <t>2024-07-22T00:48:24.000Z</t>
  </si>
  <si>
    <t>15:48 3088</t>
  </si>
  <si>
    <t>920e61c0-353f-4ad6-9eb0-5cab32b5294a</t>
  </si>
  <si>
    <t>2024-07-16T19:51:17.000Z</t>
  </si>
  <si>
    <t>2024-07-22T00:48:15.000Z</t>
  </si>
  <si>
    <t>14:50 3085</t>
  </si>
  <si>
    <t>4e289154-e2b0-41e2-8e01-b7aaa96da826</t>
  </si>
  <si>
    <t>2024-07-16T19:21:12.000Z</t>
  </si>
  <si>
    <t>2024-07-22T00:49:33.000Z</t>
  </si>
  <si>
    <t>14:21 3084</t>
  </si>
  <si>
    <t>aca27a01-f64e-421c-816a-a95233d4a908</t>
  </si>
  <si>
    <t>2024-07-16T18:50:31.000Z</t>
  </si>
  <si>
    <t>2024-07-22T00:49:27.000Z</t>
  </si>
  <si>
    <t>13:50 3083</t>
  </si>
  <si>
    <t>dea1fca1-e158-46b6-9f20-31ff66c71109</t>
  </si>
  <si>
    <t>2024-07-16T14:43:01.000Z</t>
  </si>
  <si>
    <t>2024-07-22T00:48:47.000Z</t>
  </si>
  <si>
    <t>09:42 3080</t>
  </si>
  <si>
    <t>80ee02e0-2bba-4257-9655-ebe165223a7a</t>
  </si>
  <si>
    <t>2024-07-16T13:51:36.000Z</t>
  </si>
  <si>
    <t>2024-07-22T00:48:35.000Z</t>
  </si>
  <si>
    <t>08:50 3077</t>
  </si>
  <si>
    <t>b4b161df-0d04-4030-9914-8f0ff722c93e</t>
  </si>
  <si>
    <t>2024-07-13T17:51:09.000Z</t>
  </si>
  <si>
    <t>2024-07-22T00:45:50.000Z</t>
  </si>
  <si>
    <t>12:45 3073</t>
  </si>
  <si>
    <t>dfb9e688-9dbe-4561-9aa5-c165e749f042</t>
  </si>
  <si>
    <t>2024-07-13T16:18:55.000Z</t>
  </si>
  <si>
    <t>2024-07-22T00:45:49.000Z</t>
  </si>
  <si>
    <t>11:15 3071</t>
  </si>
  <si>
    <t>408e952d-3e74-4e34-bfcd-7a74544f047e</t>
  </si>
  <si>
    <t>2024-07-13T15:27:09.000Z</t>
  </si>
  <si>
    <t>2024-07-22T00:45:18.000Z</t>
  </si>
  <si>
    <t>10:20 3069</t>
  </si>
  <si>
    <t>da1ea58d-7c86-4b5e-8197-42e5efb3189d</t>
  </si>
  <si>
    <t>2024-07-13T14:50:34.000Z</t>
  </si>
  <si>
    <t>2024-07-22T00:45:11.000Z</t>
  </si>
  <si>
    <t>09:45 3059</t>
  </si>
  <si>
    <t>fec6c20f-d29c-4bf8-9886-526c2d00f6a2</t>
  </si>
  <si>
    <t>2024-07-13T14:49:23.000Z</t>
  </si>
  <si>
    <t>2024-07-22T00:45:07.000Z</t>
  </si>
  <si>
    <t>09:30 3067</t>
  </si>
  <si>
    <t>1b1907da-c593-4d7a-bb43-0dad66acd495</t>
  </si>
  <si>
    <t>2024-07-13T14:19:52.000Z</t>
  </si>
  <si>
    <t>2024-07-22T00:45:10.000Z</t>
  </si>
  <si>
    <t>09:15 3066</t>
  </si>
  <si>
    <t>13c67173-f3d4-4028-9e84-53a7aac8b183</t>
  </si>
  <si>
    <t>2024-07-12T21:47:21.000Z</t>
  </si>
  <si>
    <t>2024-07-22T00:47:54.000Z</t>
  </si>
  <si>
    <t>16:40 3064</t>
  </si>
  <si>
    <t>ce34ef27-80b2-42b6-8543-980ca432e2e6</t>
  </si>
  <si>
    <t>2024-07-12T21:15:37.000Z</t>
  </si>
  <si>
    <t>2024-07-22T00:47:37.000Z</t>
  </si>
  <si>
    <t>16:10 3063</t>
  </si>
  <si>
    <t>5584632f-e56a-46ff-9af3-ce8cd8965ed0</t>
  </si>
  <si>
    <t>2024-07-12T19:50:03.000Z</t>
  </si>
  <si>
    <t>2024-07-22T00:47:16.000Z</t>
  </si>
  <si>
    <t>14:40 3061</t>
  </si>
  <si>
    <t>6708439f-e890-47eb-b082-697fba5e66fe</t>
  </si>
  <si>
    <t>2024-07-12T19:41:52.000Z</t>
  </si>
  <si>
    <t>2024-07-22T00:47:11.000Z</t>
  </si>
  <si>
    <t>14:20 3060</t>
  </si>
  <si>
    <t>a3e76f01-883d-4254-9bee-c4d02513c790</t>
  </si>
  <si>
    <t>2024-07-12T19:17:16.000Z</t>
  </si>
  <si>
    <t>2024-07-22T00:47:09.000Z</t>
  </si>
  <si>
    <t>14:15 3059</t>
  </si>
  <si>
    <t>840e648c-2895-4081-9c62-cee8fc8d3100</t>
  </si>
  <si>
    <t>2024-07-12T19:06:53.000Z</t>
  </si>
  <si>
    <t>2024-07-22T00:47:07.000Z</t>
  </si>
  <si>
    <t>14:00 3059</t>
  </si>
  <si>
    <t>c0f6018c-5f46-484f-a214-aec812fb87a2</t>
  </si>
  <si>
    <t>2024-07-12T19:06:10.000Z</t>
  </si>
  <si>
    <t>2024-07-22T00:47:04.000Z</t>
  </si>
  <si>
    <t>13:45 3059</t>
  </si>
  <si>
    <t>142e1803-70e2-42bb-8bac-4058c002a03e</t>
  </si>
  <si>
    <t>2024-07-12T19:05:28.000Z</t>
  </si>
  <si>
    <t>2024-07-22T00:47:03.000Z</t>
  </si>
  <si>
    <t>13:30 3059</t>
  </si>
  <si>
    <t>46611ad8-8616-45be-ac61-f7bd42176ec6</t>
  </si>
  <si>
    <t>2024-07-12T19:04:07.000Z</t>
  </si>
  <si>
    <t>2024-07-22T00:47:01.000Z</t>
  </si>
  <si>
    <t>13:15 3058</t>
  </si>
  <si>
    <t>1d3e4463-a161-43bb-b451-346fdb1e09e8</t>
  </si>
  <si>
    <t>2024-07-12T18:51:07.000Z</t>
  </si>
  <si>
    <t>2024-07-22T00:46:51.000Z</t>
  </si>
  <si>
    <t>13:00 3057</t>
  </si>
  <si>
    <t>ff0b3501-f4a7-4896-8558-b8f3f74a79f2</t>
  </si>
  <si>
    <t>2024-07-12T17:56:57.000Z</t>
  </si>
  <si>
    <t>2024-07-22T00:46:43.000Z</t>
  </si>
  <si>
    <t>12:45 3056</t>
  </si>
  <si>
    <t>120_Hora_inicio</t>
  </si>
  <si>
    <t>121_Vocalizaciones</t>
  </si>
  <si>
    <t>122_Individuo</t>
  </si>
  <si>
    <t>123_Respuesta</t>
  </si>
  <si>
    <t>124_Tipo_de_respuest</t>
  </si>
  <si>
    <t>125_Hora_fin</t>
  </si>
  <si>
    <t>126_Notas</t>
  </si>
  <si>
    <t>8cdb74ac-1e70-44af-be8c-0ed322ed97cd</t>
  </si>
  <si>
    <t>2024-10-10T17:14:14.000Z</t>
  </si>
  <si>
    <t>2024-10-11T20:04:33.000Z</t>
  </si>
  <si>
    <t>12:11 Alarma 12:13</t>
  </si>
  <si>
    <t>Se ha caido un arbol</t>
  </si>
  <si>
    <t>c447260f-21c3-4265-bac3-ad457f65200b</t>
  </si>
  <si>
    <t>2024-09-18T14:58:46.000Z</t>
  </si>
  <si>
    <t>2024-10-09T00:25:46.000Z</t>
  </si>
  <si>
    <t>09:55 Territorial 09:58</t>
  </si>
  <si>
    <t>0a1092be-7979-45c7-98e3-ca00a6a9ce70</t>
  </si>
  <si>
    <t>2024-09-03T18:15:59.000Z</t>
  </si>
  <si>
    <t>2024-10-09T00:47:10.000Z</t>
  </si>
  <si>
    <t>13:15 Inicio de alarma 13:16</t>
  </si>
  <si>
    <t>2f943ad7-4999-4ab5-94a9-32432d061204</t>
  </si>
  <si>
    <t>2024-08-30T15:50:24.000Z</t>
  </si>
  <si>
    <t>2024-10-09T00:14:26.000Z</t>
  </si>
  <si>
    <t>10:50 Territorial 10:50</t>
  </si>
  <si>
    <t>d87ca93a-d83f-4ab5-918a-548169533314</t>
  </si>
  <si>
    <t>2024-08-30T13:26:36.000Z</t>
  </si>
  <si>
    <t>2024-10-09T00:14:23.000Z</t>
  </si>
  <si>
    <t>08:19 Territorial 08:23</t>
  </si>
  <si>
    <t>56faf4ac-cd12-421c-b5c9-d473b6f68866</t>
  </si>
  <si>
    <t>2024-08-02T13:22:45.000Z</t>
  </si>
  <si>
    <t>2024-08-20T00:29:28.000Z</t>
  </si>
  <si>
    <t>08:18 Territorial 08:18</t>
  </si>
  <si>
    <t>b2c35ba7-0128-45c4-a488-e1ea881f455e</t>
  </si>
  <si>
    <t>2024-07-31T17:02:54.000Z</t>
  </si>
  <si>
    <t>2024-08-20T00:28:57.000Z</t>
  </si>
  <si>
    <t>11:39 U-ju 11:50</t>
  </si>
  <si>
    <t>01c73bc1-0a7a-43d6-8383-51c636036f5d</t>
  </si>
  <si>
    <t>2024-07-30T17:37:29.000Z</t>
  </si>
  <si>
    <t>2024-08-20T00:20:36.000Z</t>
  </si>
  <si>
    <t>12:01 Territorial 12:28</t>
  </si>
  <si>
    <t>e79e27cd-f9ba-437e-adfc-da7433abfd7c</t>
  </si>
  <si>
    <t>2024-07-29T20:17:34.000Z</t>
  </si>
  <si>
    <t>2024-07-30T00:45:45.000Z</t>
  </si>
  <si>
    <t>15:17 Inicio de alarma 15:17</t>
  </si>
  <si>
    <t>Presencia cercana de aguila</t>
  </si>
  <si>
    <t>8a008743-a573-4029-a0a5-7a2200d7b1ee</t>
  </si>
  <si>
    <t>2024-07-24T22:34:52.000Z</t>
  </si>
  <si>
    <t>2024-07-30T00:40:29.000Z</t>
  </si>
  <si>
    <t>17:31 Alarma 17:39</t>
  </si>
  <si>
    <t>838d1852-4d5b-4c2c-bbb7-ec42745db0a4</t>
  </si>
  <si>
    <t>2024-07-23T22:34:16.000Z</t>
  </si>
  <si>
    <t>2024-07-30T00:43:14.000Z</t>
  </si>
  <si>
    <t>17:33 Territorial 17:34</t>
  </si>
  <si>
    <t>ca5e2e33-b1b1-496d-9ddd-bb8d5d49f910</t>
  </si>
  <si>
    <t>2024-07-23T22:11:48.000Z</t>
  </si>
  <si>
    <t>2024-07-30T00:43:08.000Z</t>
  </si>
  <si>
    <t>17:02 M! 17:30</t>
  </si>
  <si>
    <t>Intrusa Alouatta</t>
  </si>
  <si>
    <t>626ba752-148f-4952-9aed-31a6529181a5</t>
  </si>
  <si>
    <t>2024-07-17T17:53:08.000Z</t>
  </si>
  <si>
    <t>2024-07-22T00:50:49.000Z</t>
  </si>
  <si>
    <t>12:48 Territorial 12:57</t>
  </si>
  <si>
    <t>129_Hora_inicio</t>
  </si>
  <si>
    <t>130_Punto_GPS</t>
  </si>
  <si>
    <t>131_Distancia_entre_</t>
  </si>
  <si>
    <t>132_Grupo_actor</t>
  </si>
  <si>
    <t>133_Tipo_de_interacc</t>
  </si>
  <si>
    <t>134_Vocalizacin_grup</t>
  </si>
  <si>
    <t>135_Comportamiento_g</t>
  </si>
  <si>
    <t>136_Otros_actor</t>
  </si>
  <si>
    <t>137_Grupo_receptor</t>
  </si>
  <si>
    <t>138_Vocalizacin_grup</t>
  </si>
  <si>
    <t>139_Comportamiento_g</t>
  </si>
  <si>
    <t>140_Otros_receptor</t>
  </si>
  <si>
    <t>141_Hora_fin</t>
  </si>
  <si>
    <t>142_Notas</t>
  </si>
  <si>
    <t>0e5a4ca4-c097-48a4-a3af-4360d4427c9f</t>
  </si>
  <si>
    <t>2024-10-07T20:20:51.000Z</t>
  </si>
  <si>
    <t>2024-10-09T00:30:59.000Z</t>
  </si>
  <si>
    <t>15:20 Vocal</t>
  </si>
  <si>
    <t>Vocal</t>
  </si>
  <si>
    <t>Otros (específicar)</t>
  </si>
  <si>
    <t>Retirada</t>
  </si>
  <si>
    <t>Grupo 2</t>
  </si>
  <si>
    <t>Sin cambio comportamental</t>
  </si>
  <si>
    <t>dc331f9b-d4d0-4786-879f-c2ea731b416b</t>
  </si>
  <si>
    <t>2024-10-07T20:20:06.000Z</t>
  </si>
  <si>
    <t>2024-10-09T00:30:49.000Z</t>
  </si>
  <si>
    <t>15:10 Vocal</t>
  </si>
  <si>
    <t>eca45777-3794-4b1a-9608-be60b1eb1152</t>
  </si>
  <si>
    <t>2024-10-07T18:48:28.000Z</t>
  </si>
  <si>
    <t>2024-10-09T00:30:25.000Z</t>
  </si>
  <si>
    <t>13:43 Vocal</t>
  </si>
  <si>
    <t>ba02f657-870e-4cb6-8f91-36aebd466eb6</t>
  </si>
  <si>
    <t>2024-10-07T18:12:14.000Z</t>
  </si>
  <si>
    <t>2024-10-09T00:30:09.000Z</t>
  </si>
  <si>
    <t>13:11 Vocal</t>
  </si>
  <si>
    <t>Romper ramas</t>
  </si>
  <si>
    <t>Otro (especificar)</t>
  </si>
  <si>
    <t>654cc0b2-6ebf-4adf-84cf-d7e4e141e073</t>
  </si>
  <si>
    <t>2024-10-07T18:09:48.000Z</t>
  </si>
  <si>
    <t>2024-10-09T00:30:07.000Z</t>
  </si>
  <si>
    <t>13:07 Vocal</t>
  </si>
  <si>
    <t>f4356387-546a-4844-bd99-b08c2e6cf68c</t>
  </si>
  <si>
    <t>2024-09-16T18:34:24.000Z</t>
  </si>
  <si>
    <t>2024-10-09T00:24:14.000Z</t>
  </si>
  <si>
    <t>13:29 Comportamental</t>
  </si>
  <si>
    <t>Comportamental</t>
  </si>
  <si>
    <t>Marca pectoral, romper ramas</t>
  </si>
  <si>
    <t>711af0ec-5bef-4118-993b-8c9bd535e53c</t>
  </si>
  <si>
    <t>2024-09-12T14:07:49.000Z</t>
  </si>
  <si>
    <t>2024-10-09T00:36:10.000Z</t>
  </si>
  <si>
    <t>08:00 Vocal</t>
  </si>
  <si>
    <t>1a373b90-11ee-478b-847f-ee10a4f6ae6b</t>
  </si>
  <si>
    <t>2024-09-11T16:08:54.000Z</t>
  </si>
  <si>
    <t>2024-10-09T00:22:52.000Z</t>
  </si>
  <si>
    <t>10:39 Vocal</t>
  </si>
  <si>
    <t>Agrupación</t>
  </si>
  <si>
    <t>0a6b446b-755a-489f-9cc0-2f48896f7dd2</t>
  </si>
  <si>
    <t>2024-09-10T18:21:32.000Z</t>
  </si>
  <si>
    <t>2024-10-09T00:21:00.000Z</t>
  </si>
  <si>
    <t>13:18 Vocal</t>
  </si>
  <si>
    <t>Arañas larga distancia</t>
  </si>
  <si>
    <t>G2 aulladores</t>
  </si>
  <si>
    <t>145efb27-42fb-47f2-bd63-b8fcb31f9a97</t>
  </si>
  <si>
    <t>2024-08-30T15:52:45.000Z</t>
  </si>
  <si>
    <t>2024-10-09T00:14:27.000Z</t>
  </si>
  <si>
    <t>10:50 Vocal</t>
  </si>
  <si>
    <t>Grupo 1</t>
  </si>
  <si>
    <t>090078a9-79c5-4ba5-9c5b-1cd5f4374feb</t>
  </si>
  <si>
    <t>2024-08-22T14:04:45.000Z</t>
  </si>
  <si>
    <t>2024-10-09T00:05:02.000Z</t>
  </si>
  <si>
    <t>08:58 Comportamental</t>
  </si>
  <si>
    <t>Persecución</t>
  </si>
  <si>
    <t>AF intrusa</t>
  </si>
  <si>
    <t>cec2f215-dfb1-4530-9dae-4af9c6b8c476</t>
  </si>
  <si>
    <t>2024-07-17T15:43:14.000Z</t>
  </si>
  <si>
    <t>2024-07-22T00:50:11.000Z</t>
  </si>
  <si>
    <t>10:22 Vocal</t>
  </si>
  <si>
    <t>Avance táctico</t>
  </si>
  <si>
    <t>9e1f15e8-a221-46c3-a703-a196c9114b4a</t>
  </si>
  <si>
    <t>2024-07-17T14:43:59.000Z</t>
  </si>
  <si>
    <t>2024-07-22T00:50:06.000Z</t>
  </si>
  <si>
    <t>09:41 Vocal</t>
  </si>
  <si>
    <t>f0d3c095-2226-486a-90b6-8afa20a1d824</t>
  </si>
  <si>
    <t>2024-07-12T20:11:45.000Z</t>
  </si>
  <si>
    <t>2024-07-22T00:47:18.000Z</t>
  </si>
  <si>
    <t>14:49 Comportamental</t>
  </si>
  <si>
    <t>f9b288af-b55f-4c15-b13e-7cf15186478f</t>
  </si>
  <si>
    <t>2024-07-12T14:46:29.000Z</t>
  </si>
  <si>
    <t>2024-07-22T00:46:00.000Z</t>
  </si>
  <si>
    <t>09:29 Vocal</t>
  </si>
  <si>
    <t>Solo vocaliza hembra solitaria</t>
  </si>
  <si>
    <t>secropia</t>
  </si>
  <si>
    <t>150_Adultas_Hembras_CD</t>
  </si>
  <si>
    <t>HORAS</t>
  </si>
  <si>
    <t>HORAS BOSQUE TOTAL</t>
  </si>
  <si>
    <t>HORAS BOSQUE G2</t>
  </si>
  <si>
    <t>HORAS BOSQUE G1</t>
  </si>
  <si>
    <t>HORAS ORDENADOR</t>
  </si>
  <si>
    <t xml:space="preserve"> </t>
  </si>
  <si>
    <t>HORAS TRABAJO total(campo, ordenador,entrenamiento)</t>
  </si>
  <si>
    <t>HORAS OTROS(limpieza,descansos, mercado, congreso)</t>
  </si>
  <si>
    <t>LOS FOCALES SE CORRESPONDER CON LOS LIDERES DEL MOVIMIENTO GRUPAL</t>
  </si>
  <si>
    <t>HORAS DESPLAZAMIENTO AM</t>
  </si>
  <si>
    <t>HORAS DESPLAZAMIENTO AF</t>
  </si>
  <si>
    <t>HORAS DESPLAZAMIENTO AFL</t>
  </si>
  <si>
    <t>HORAS DESPLAZAMIENTO AFD</t>
  </si>
  <si>
    <t>HORAS DESPLAZAMIENTO AFC</t>
  </si>
  <si>
    <t>HORAS DESPLAZAMIENTO JUV</t>
  </si>
  <si>
    <t>HORAS DESPLAZAMIENTO SAF</t>
  </si>
  <si>
    <t>HAY DIAS QUE EL GRUPO NO SE MOVIO</t>
  </si>
  <si>
    <t>HAY DIAS-SEMANAS QUE NO ENCONTRE AL GRUPO</t>
  </si>
  <si>
    <t>RECALCAR QUE A VECES EL AVISTAJE GRUPAL SE HACIA TARDE YA QUE SE TARDABA EN ENCONTRAR AL GRUPO DEL ESTUDIO, PORQUE SE HABIAN MOVIDO ANTES DE LLEGAR AL BOSQUE O POR LA NOCHE.</t>
  </si>
  <si>
    <t xml:space="preserve">RECALCAR QUE SE PUEDE REALIZAR UN AVISTAJE PERO EL GRUPO NO DESPLAZARSE O COMENZAR EL DESPLAZAMIENTO MUY TARDE. YA QUE ME ENFOCO EN REGISTRAR EL DESPLAZAMIENTO, NO SE INICA LA TOMA DE DATOS FOCALES HASTA QUE NO COMIENZA EL DESPLAZAMIENTO GRUPAL, YA QUE LOS DATOS FOCALES SON DEL LIDER DEL MOVIMIENTO.  </t>
  </si>
  <si>
    <t>movements associated with loud calls</t>
  </si>
  <si>
    <t>movements toward feeding trees</t>
  </si>
  <si>
    <t>OTRA SP</t>
  </si>
  <si>
    <t>observador</t>
  </si>
  <si>
    <t>Ateles</t>
  </si>
  <si>
    <t>alimentacion</t>
  </si>
  <si>
    <t>voc. Externa</t>
  </si>
  <si>
    <t>G1</t>
  </si>
  <si>
    <t>GRUPO 1</t>
  </si>
  <si>
    <t>GRUPO 2</t>
  </si>
  <si>
    <t>Nº DE AVISTAJES</t>
  </si>
  <si>
    <t>Tiempo (h/dia)observacion G1</t>
  </si>
  <si>
    <t>Columna1</t>
  </si>
  <si>
    <t>Tiempo (h/dia) observacion G2</t>
  </si>
  <si>
    <t>HORAS OBSERVACIÓN</t>
  </si>
  <si>
    <t>Total (h) observacion G2</t>
  </si>
  <si>
    <t>Dias avistaje G1</t>
  </si>
  <si>
    <t>Dias avistaje G2</t>
  </si>
  <si>
    <t>Total (h) observacion G1</t>
  </si>
  <si>
    <t>HORAS TOTALES DE AVISTAJE</t>
  </si>
  <si>
    <t>TOTAL</t>
  </si>
  <si>
    <t>Arbol aliment.</t>
  </si>
  <si>
    <t>Arbol descanso</t>
  </si>
  <si>
    <t>nº desplazamientos</t>
  </si>
  <si>
    <t>leader</t>
  </si>
  <si>
    <t>Pendiente(%)=(Distancia horizontal/Desnivel​)×100</t>
  </si>
  <si>
    <t>82_Seguidor_4</t>
  </si>
  <si>
    <t>88_Motivacin_del_des</t>
  </si>
  <si>
    <t>89_Hora_fin</t>
  </si>
  <si>
    <t>70_rbol_final</t>
  </si>
  <si>
    <t>71_Otro_rbol</t>
  </si>
  <si>
    <t>72_Notas</t>
  </si>
  <si>
    <t>83_Seguidor_5</t>
  </si>
  <si>
    <t>84_Seguidor_6</t>
  </si>
  <si>
    <t>85_Seguidor_7</t>
  </si>
  <si>
    <t>86_Seguidor_8</t>
  </si>
  <si>
    <t>87_Seguidor_9</t>
  </si>
  <si>
    <t>78_Leader</t>
  </si>
  <si>
    <t>001  10:17</t>
  </si>
  <si>
    <t>003  12:51</t>
  </si>
  <si>
    <t>002 Felipe 10:46</t>
  </si>
  <si>
    <t>Mama juv big</t>
  </si>
  <si>
    <t>INDICES DE PROGRESSION</t>
  </si>
  <si>
    <t>(no acaban en feeding tree)</t>
  </si>
  <si>
    <t>otra sp</t>
  </si>
  <si>
    <t>aliment</t>
  </si>
  <si>
    <t>observ</t>
  </si>
  <si>
    <t>voc</t>
  </si>
  <si>
    <t>Arbol aliment</t>
  </si>
  <si>
    <t xml:space="preserve">Llegada en Mayo, Junio fue de entrenamiento y redireccion del proyecto por las condiciones topograficas y la no visibilidad de Ateles </t>
  </si>
  <si>
    <t>La columna "E" los dias de registro, del dia 0 al dia 43 pasaron 13 dias de Mayo y todo el mes de Junio, eso datos los tenia Washu pero no los encontraban para pasarlo al registro.</t>
  </si>
  <si>
    <t>AM: ADULT MALE</t>
  </si>
  <si>
    <t>AFC: ADULT FEMALE CYCLING</t>
  </si>
  <si>
    <t>AFD: ADULT FEMALE DEPENDENT</t>
  </si>
  <si>
    <t>AFL: ADULT FEMALE LACTATING</t>
  </si>
  <si>
    <t>BUENO</t>
  </si>
  <si>
    <t>OSO</t>
  </si>
  <si>
    <t>GANDHI</t>
  </si>
  <si>
    <t>ALHAMBRA</t>
  </si>
  <si>
    <t>FELIPE</t>
  </si>
  <si>
    <t>MOMI</t>
  </si>
  <si>
    <t>PATILLAS</t>
  </si>
  <si>
    <t>OJER</t>
  </si>
  <si>
    <t>BUBBLE</t>
  </si>
  <si>
    <t>LOCA</t>
  </si>
  <si>
    <t>CHINA</t>
  </si>
  <si>
    <t>GRUPO 1 NARANJA Y GRUPO 2 VERDE</t>
  </si>
  <si>
    <t>N=36 G2</t>
  </si>
  <si>
    <t>N=83 G1</t>
  </si>
  <si>
    <t>BUENA</t>
  </si>
  <si>
    <t>WOW</t>
  </si>
  <si>
    <t>DOS</t>
  </si>
  <si>
    <t>QUERIDA</t>
  </si>
  <si>
    <t>CYNTHIA</t>
  </si>
  <si>
    <t>TERE</t>
  </si>
  <si>
    <t>EW</t>
  </si>
  <si>
    <t>SOLA</t>
  </si>
  <si>
    <t>ABU</t>
  </si>
  <si>
    <t>MULLET</t>
  </si>
  <si>
    <t xml:space="preserve">ABU </t>
  </si>
  <si>
    <t>Nº DESPLAZAMIENTOS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</si>
</sst>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20" fontId="0" fillId="0" borderId="0" xfId="0" applyNumberFormat="1"/>
    <xf numFmtId="11" fontId="0" fillId="0" borderId="0" xfId="0" applyNumberFormat="1"/>
    <xf numFmtId="46" fontId="0" fillId="0" borderId="0" xfId="0" applyNumberFormat="1"/>
    <xf numFmtId="0" fontId="0" fillId="0" borderId="10" xfId="0" applyBorder="1"/>
    <xf numFmtId="0" fontId="0" fillId="33" borderId="11" xfId="0" applyFill="1" applyBorder="1"/>
    <xf numFmtId="0" fontId="0" fillId="33" borderId="12" xfId="0" applyFill="1" applyBorder="1"/>
    <xf numFmtId="0" fontId="0" fillId="33" borderId="10" xfId="0" applyFill="1" applyBorder="1"/>
    <xf numFmtId="0" fontId="0" fillId="0" borderId="11" xfId="0" applyBorder="1"/>
    <xf numFmtId="0" fontId="0" fillId="0" borderId="12" xfId="0" applyBorder="1"/>
    <xf numFmtId="0" fontId="0" fillId="33" borderId="0" xfId="0" applyFill="1"/>
    <xf numFmtId="0" fontId="0" fillId="0" borderId="0" xfId="0" applyAlignment="1">
      <alignment horizontal="center"/>
    </xf>
    <xf numFmtId="46" fontId="0" fillId="0" borderId="0" xfId="0" applyNumberFormat="1"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16" fillId="0" borderId="0" xfId="0" applyFont="1" applyAlignment="1">
      <alignment horizontal="center"/>
    </xf>
    <xf numFmtId="46" fontId="16" fillId="0" borderId="0" xfId="0" applyNumberFormat="1" applyFont="1" applyAlignment="1">
      <alignment horizontal="center"/>
    </xf>
    <xf numFmtId="0" fontId="0" fillId="0" borderId="13" xfId="0" applyBorder="1"/>
    <xf numFmtId="0" fontId="16" fillId="33" borderId="12" xfId="0" applyFont="1" applyFill="1" applyBorder="1" applyAlignment="1">
      <alignment horizontal="center"/>
    </xf>
    <xf numFmtId="0" fontId="0" fillId="34" borderId="0" xfId="0" applyFill="1"/>
    <xf numFmtId="0" fontId="0" fillId="35" borderId="0" xfId="0" applyFill="1"/>
    <xf numFmtId="0" fontId="0" fillId="36" borderId="0" xfId="0" applyFill="1"/>
    <xf numFmtId="20" fontId="0" fillId="36" borderId="0" xfId="0" applyNumberFormat="1" applyFill="1"/>
    <xf numFmtId="0" fontId="0" fillId="37" borderId="0" xfId="0" applyFill="1"/>
    <xf numFmtId="20" fontId="0" fillId="37" borderId="0" xfId="0" applyNumberFormat="1" applyFill="1"/>
    <xf numFmtId="0" fontId="0" fillId="38" borderId="0" xfId="0" applyFill="1"/>
    <xf numFmtId="0" fontId="0" fillId="39" borderId="0" xfId="0" applyFill="1"/>
    <xf numFmtId="0" fontId="0" fillId="40" borderId="0" xfId="0" applyFill="1"/>
    <xf numFmtId="46" fontId="0" fillId="41" borderId="0" xfId="0" applyNumberForma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9">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5" formatCode="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5" formatCode="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14F38-735C-4B04-8E07-5C3B69BC77B9}" name="Tabla1" displayName="Tabla1" ref="AB24:AC53" totalsRowShown="0" dataDxfId="8">
  <autoFilter ref="AB24:AC53" xr:uid="{3DB8A7EF-BD51-492A-96DB-8A8E4D82C26E}"/>
  <tableColumns count="2">
    <tableColumn id="1" xr3:uid="{B37AFE21-A332-4D74-BA59-4087C76F8AFA}" name="Dias avistaje G1" dataDxfId="7"/>
    <tableColumn id="2" xr3:uid="{0BC9C9AB-003A-4C41-9A82-5D3A9F9616D8}" name="Tiempo (h/dia)observacion G1"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0CC6B8-680C-4640-8ED4-3D7213F5E1BB}" name="Tabla2" displayName="Tabla2" ref="AE1:AF25" dataDxfId="5">
  <autoFilter ref="AE1:AF25" xr:uid="{CF49F264-0EE1-4010-9E4B-A1F03AB4B448}"/>
  <tableColumns count="2">
    <tableColumn id="1" xr3:uid="{E563AC45-4F34-466C-8A20-83282DF73FD8}" name="Dias avistaje G2" totalsRowLabel="Total" dataDxfId="4"/>
    <tableColumn id="2" xr3:uid="{C1D3E10F-CF94-45A6-915C-5DC32106A57E}" name="Tiempo (h/dia) observacion G2" totalsRowFunction="count"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C3AAE2-C3E8-45A0-ABD5-7478CFDFD90D}" name="Tabla4" displayName="Tabla4" ref="C55:F57" totalsRowShown="0" headerRowDxfId="2">
  <autoFilter ref="C55:F57" xr:uid="{6F1AA079-2CFA-4C7A-9D53-944C6AFF4900}">
    <filterColumn colId="0" hiddenButton="1"/>
    <filterColumn colId="1" hiddenButton="1"/>
    <filterColumn colId="2" hiddenButton="1"/>
    <filterColumn colId="3" hiddenButton="1"/>
  </autoFilter>
  <tableColumns count="4">
    <tableColumn id="1" xr3:uid="{E087F36D-7C66-4A98-9ADB-0B6959BF3331}" name="Columna1" dataDxfId="1"/>
    <tableColumn id="2" xr3:uid="{9AB33CED-62B7-41A2-A8E0-CBADA1E3FA0F}" name="GRUPO 1"/>
    <tableColumn id="3" xr3:uid="{293A5AA1-9D2D-41F3-86CA-B17F2DB071A0}" name="GRUPO 2" dataDxfId="0"/>
    <tableColumn id="5" xr3:uid="{95248DBF-9710-4703-891F-E4C2D0A4C534}" name="TOTAL"/>
  </tableColumns>
  <tableStyleInfo name="TableStyleMedium2" showFirstColumn="1"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7"/>
  <sheetViews>
    <sheetView workbookViewId="0">
      <selection activeCell="A97" sqref="A97"/>
    </sheetView>
  </sheetViews>
  <sheetFormatPr baseColWidth="10" defaultRowHeight="14.4" x14ac:dyDescent="0.3"/>
  <cols>
    <col min="3" max="3" width="21.6640625" customWidth="1"/>
    <col min="7" max="7" width="18.44140625" customWidth="1"/>
    <col min="8" max="8" width="24.77734375" customWidth="1"/>
    <col min="9" max="9" width="24.6640625" customWidth="1"/>
    <col min="10" max="10" width="17" customWidth="1"/>
    <col min="14" max="15" width="21" customWidth="1"/>
    <col min="16" max="16" width="18.109375" customWidth="1"/>
    <col min="17" max="17" width="18.33203125" customWidth="1"/>
    <col min="18" max="18" width="17.77734375" customWidth="1"/>
    <col min="19" max="19" width="46.5546875" customWidth="1"/>
  </cols>
  <sheetData>
    <row r="1" spans="1:21" x14ac:dyDescent="0.3">
      <c r="A1" t="s">
        <v>0</v>
      </c>
      <c r="B1" t="s">
        <v>1</v>
      </c>
      <c r="C1" t="s">
        <v>2</v>
      </c>
      <c r="D1" t="s">
        <v>5</v>
      </c>
      <c r="E1" t="s">
        <v>6</v>
      </c>
      <c r="F1" t="s">
        <v>7</v>
      </c>
      <c r="G1" t="s">
        <v>8</v>
      </c>
      <c r="H1" t="s">
        <v>9</v>
      </c>
      <c r="I1" t="s">
        <v>10</v>
      </c>
      <c r="J1" t="s">
        <v>11</v>
      </c>
      <c r="K1" t="s">
        <v>12</v>
      </c>
      <c r="M1" t="s">
        <v>7911</v>
      </c>
      <c r="N1" s="28" t="s">
        <v>7917</v>
      </c>
      <c r="O1" s="28" t="s">
        <v>7912</v>
      </c>
      <c r="P1" s="28" t="s">
        <v>7914</v>
      </c>
      <c r="Q1" s="28" t="s">
        <v>7913</v>
      </c>
      <c r="R1" s="28" t="s">
        <v>7915</v>
      </c>
      <c r="S1" s="28" t="s">
        <v>7918</v>
      </c>
    </row>
    <row r="2" spans="1:21" x14ac:dyDescent="0.3">
      <c r="A2" t="s">
        <v>13</v>
      </c>
      <c r="B2" t="s">
        <v>14</v>
      </c>
      <c r="C2" t="s">
        <v>15</v>
      </c>
      <c r="D2" t="s">
        <v>17</v>
      </c>
      <c r="E2">
        <v>135</v>
      </c>
      <c r="F2" s="1">
        <v>45575</v>
      </c>
      <c r="G2" s="2">
        <v>0.28055555555555556</v>
      </c>
      <c r="H2" t="s">
        <v>18</v>
      </c>
      <c r="I2" t="s">
        <v>18</v>
      </c>
      <c r="J2" s="2">
        <v>0.625</v>
      </c>
      <c r="M2" s="2">
        <f>MOD(J2-G2,1)</f>
        <v>0.34444444444444444</v>
      </c>
      <c r="N2" s="29">
        <f>SUM(M2,M3,M4,M5,M14,M15,M16,M17,M18,M19,M23,M24,M25,M26,M29,M30,M31,M32,M33,M36,M37,M38,M39,M41,M42,M43,M44,M46,M47,M48,M49,M50,M51,M52,M57,M58,M59,M60,M61,M63,M64,M65,M66,M67,M68,M70,M71,M72,M73,M74,M76,M77,M78,M79,M81,M80,M83,M84,M85,M86,M87,M90,M90)</f>
        <v>24.692361111111111</v>
      </c>
      <c r="O2" s="29">
        <f>SUM(M2,M3,M4,M5,M14,M15,M16,M17,M18,M19,M23,M24,M25,M26,M30,M31,M32,M36,M37,M38,M39,M41,M42,M43,M44,M45,M46,M48,M47,M49,M50,M51,M52,M56,M57,M58,M59,M60,M63,M64,M65,M66,M67,M70,M72,M71,M73,M74,M77,M78,M79,M80,M81,M83,M84,M86,M87,M90,M91,M92,M93)</f>
        <v>24.296527777777776</v>
      </c>
      <c r="P2" s="29">
        <f>SUM(M41,M42,M43,M44,M46,M47,M48,M49,M50,M51,M52,M57,M58,M59,M60,M63,M64,M65,M66,M67,M70,M71,M72,M73,M74,M77,M78,M79,M80,M81,M83,M84,M86,M87,M90,M91,M92,M93)</f>
        <v>15.44375</v>
      </c>
      <c r="Q2" s="29">
        <f>SUM(M2,M3,M4,M5,M14,M15,M16,M17,M18,M19,M23,M24,M25,M26,M30,M31,M32,M33,M36,M37,M38,M39)</f>
        <v>8.90902777777778</v>
      </c>
      <c r="R2" s="29">
        <f>SUM(M29,M76,M85,M94)</f>
        <v>1.3791666666666667</v>
      </c>
      <c r="S2" s="29">
        <f>SUM(M6,M7,M8,M9,M10,M11,M12,M13,M20,M21,M22,M27,M28,M34,M35,M40,M45,M56,M61,M68,M69,M75,M82,M88,M89)</f>
        <v>7.1118055555555557</v>
      </c>
      <c r="U2" t="s">
        <v>7916</v>
      </c>
    </row>
    <row r="3" spans="1:21" x14ac:dyDescent="0.3">
      <c r="A3" s="3" t="s">
        <v>19</v>
      </c>
      <c r="B3" t="s">
        <v>20</v>
      </c>
      <c r="C3" t="s">
        <v>21</v>
      </c>
      <c r="D3" t="s">
        <v>17</v>
      </c>
      <c r="E3">
        <v>134</v>
      </c>
      <c r="F3" s="1">
        <v>45574</v>
      </c>
      <c r="G3" s="2">
        <v>0.27777777777777779</v>
      </c>
      <c r="H3" t="s">
        <v>18</v>
      </c>
      <c r="I3" t="s">
        <v>22</v>
      </c>
      <c r="J3" s="2">
        <v>0.6875</v>
      </c>
      <c r="M3" s="2">
        <f t="shared" ref="M3:M66" si="0">MOD(J3-G3,1)</f>
        <v>0.40972222222222221</v>
      </c>
    </row>
    <row r="4" spans="1:21" x14ac:dyDescent="0.3">
      <c r="A4" t="s">
        <v>23</v>
      </c>
      <c r="B4" t="s">
        <v>24</v>
      </c>
      <c r="C4" t="s">
        <v>25</v>
      </c>
      <c r="D4" t="s">
        <v>17</v>
      </c>
      <c r="E4">
        <v>133</v>
      </c>
      <c r="F4" s="1">
        <v>45573</v>
      </c>
      <c r="G4" s="2">
        <v>0.2951388888888889</v>
      </c>
      <c r="H4" t="s">
        <v>18</v>
      </c>
      <c r="I4" t="s">
        <v>18</v>
      </c>
      <c r="J4" s="2">
        <v>0.78125</v>
      </c>
      <c r="M4" s="2">
        <f t="shared" si="0"/>
        <v>0.4861111111111111</v>
      </c>
    </row>
    <row r="5" spans="1:21" x14ac:dyDescent="0.3">
      <c r="A5" t="s">
        <v>26</v>
      </c>
      <c r="B5" t="s">
        <v>27</v>
      </c>
      <c r="C5" t="s">
        <v>28</v>
      </c>
      <c r="D5" t="s">
        <v>17</v>
      </c>
      <c r="E5">
        <v>132</v>
      </c>
      <c r="F5" s="1">
        <v>45572</v>
      </c>
      <c r="G5" s="2">
        <v>0.28194444444444444</v>
      </c>
      <c r="H5" t="s">
        <v>18</v>
      </c>
      <c r="I5" t="s">
        <v>18</v>
      </c>
      <c r="J5" s="2">
        <v>0.69513888888888886</v>
      </c>
      <c r="M5" s="2">
        <f t="shared" si="0"/>
        <v>0.41319444444444442</v>
      </c>
    </row>
    <row r="6" spans="1:21" x14ac:dyDescent="0.3">
      <c r="A6" t="s">
        <v>29</v>
      </c>
      <c r="B6" t="s">
        <v>30</v>
      </c>
      <c r="C6" t="s">
        <v>31</v>
      </c>
      <c r="D6" t="s">
        <v>17</v>
      </c>
      <c r="E6">
        <v>131</v>
      </c>
      <c r="F6" s="1">
        <v>45571</v>
      </c>
      <c r="G6" s="2">
        <v>0.41666666666666669</v>
      </c>
      <c r="H6" t="s">
        <v>32</v>
      </c>
      <c r="I6" t="s">
        <v>32</v>
      </c>
      <c r="J6" s="2">
        <v>0.54166666666666663</v>
      </c>
      <c r="M6" s="2">
        <f t="shared" si="0"/>
        <v>0.12499999999999994</v>
      </c>
    </row>
    <row r="7" spans="1:21" x14ac:dyDescent="0.3">
      <c r="A7" t="s">
        <v>33</v>
      </c>
      <c r="B7" t="s">
        <v>34</v>
      </c>
      <c r="C7" t="s">
        <v>35</v>
      </c>
      <c r="D7" t="s">
        <v>17</v>
      </c>
      <c r="E7">
        <v>130</v>
      </c>
      <c r="F7" s="1">
        <v>45570</v>
      </c>
      <c r="G7" s="2">
        <v>0.29166666666666669</v>
      </c>
      <c r="H7" t="s">
        <v>36</v>
      </c>
      <c r="I7" t="s">
        <v>37</v>
      </c>
      <c r="J7" s="2">
        <v>0.72916666666666663</v>
      </c>
      <c r="M7" s="2">
        <f t="shared" si="0"/>
        <v>0.43749999999999994</v>
      </c>
    </row>
    <row r="8" spans="1:21" x14ac:dyDescent="0.3">
      <c r="A8" t="s">
        <v>38</v>
      </c>
      <c r="B8" t="s">
        <v>39</v>
      </c>
      <c r="C8" t="s">
        <v>40</v>
      </c>
      <c r="D8" t="s">
        <v>17</v>
      </c>
      <c r="E8">
        <v>129</v>
      </c>
      <c r="F8" s="1">
        <v>45569</v>
      </c>
      <c r="G8" s="2">
        <v>0.29166666666666669</v>
      </c>
      <c r="H8" t="s">
        <v>41</v>
      </c>
      <c r="I8" t="s">
        <v>42</v>
      </c>
      <c r="J8" s="2">
        <v>0.79166666666666663</v>
      </c>
      <c r="M8" s="2">
        <f t="shared" si="0"/>
        <v>0.49999999999999994</v>
      </c>
    </row>
    <row r="9" spans="1:21" x14ac:dyDescent="0.3">
      <c r="A9" t="s">
        <v>43</v>
      </c>
      <c r="B9" t="s">
        <v>44</v>
      </c>
      <c r="C9" t="s">
        <v>45</v>
      </c>
      <c r="D9" t="s">
        <v>17</v>
      </c>
      <c r="E9">
        <v>128</v>
      </c>
      <c r="F9" s="1">
        <v>45568</v>
      </c>
      <c r="G9" s="2">
        <v>0.35416666666666669</v>
      </c>
      <c r="H9" t="s">
        <v>46</v>
      </c>
      <c r="I9" t="s">
        <v>46</v>
      </c>
      <c r="J9" s="2">
        <v>0.79166666666666663</v>
      </c>
      <c r="M9" s="2">
        <f t="shared" si="0"/>
        <v>0.43749999999999994</v>
      </c>
    </row>
    <row r="10" spans="1:21" x14ac:dyDescent="0.3">
      <c r="A10" t="s">
        <v>47</v>
      </c>
      <c r="B10" t="s">
        <v>48</v>
      </c>
      <c r="C10" t="s">
        <v>49</v>
      </c>
      <c r="D10" t="s">
        <v>17</v>
      </c>
      <c r="E10">
        <v>127</v>
      </c>
      <c r="F10" s="1">
        <v>45567</v>
      </c>
      <c r="G10" s="2">
        <v>0.35416666666666669</v>
      </c>
      <c r="H10" t="s">
        <v>50</v>
      </c>
      <c r="I10" t="s">
        <v>50</v>
      </c>
      <c r="J10" s="2">
        <v>0.77083333333333337</v>
      </c>
      <c r="M10" s="2">
        <f t="shared" si="0"/>
        <v>0.41666666666666669</v>
      </c>
    </row>
    <row r="11" spans="1:21" x14ac:dyDescent="0.3">
      <c r="A11" t="s">
        <v>51</v>
      </c>
      <c r="B11" t="s">
        <v>52</v>
      </c>
      <c r="C11" t="s">
        <v>53</v>
      </c>
      <c r="D11" t="s">
        <v>17</v>
      </c>
      <c r="E11">
        <v>126</v>
      </c>
      <c r="F11" s="1">
        <v>45566</v>
      </c>
      <c r="G11" s="2">
        <v>0.28125</v>
      </c>
      <c r="H11" t="s">
        <v>54</v>
      </c>
      <c r="I11" t="s">
        <v>55</v>
      </c>
      <c r="J11" s="2">
        <v>0.8125</v>
      </c>
      <c r="M11" s="2">
        <f t="shared" si="0"/>
        <v>0.53125</v>
      </c>
    </row>
    <row r="12" spans="1:21" x14ac:dyDescent="0.3">
      <c r="A12" t="s">
        <v>56</v>
      </c>
      <c r="B12" t="s">
        <v>57</v>
      </c>
      <c r="C12" t="s">
        <v>58</v>
      </c>
      <c r="D12" t="s">
        <v>17</v>
      </c>
      <c r="E12">
        <v>125</v>
      </c>
      <c r="F12" s="1">
        <v>45565</v>
      </c>
      <c r="G12" s="2">
        <v>0.29166666666666669</v>
      </c>
      <c r="H12" t="s">
        <v>59</v>
      </c>
      <c r="I12" t="s">
        <v>59</v>
      </c>
      <c r="J12" s="2">
        <v>0.58333333333333337</v>
      </c>
      <c r="M12" s="2">
        <f t="shared" si="0"/>
        <v>0.29166666666666669</v>
      </c>
    </row>
    <row r="13" spans="1:21" x14ac:dyDescent="0.3">
      <c r="A13" t="s">
        <v>60</v>
      </c>
      <c r="B13" t="s">
        <v>61</v>
      </c>
      <c r="C13" t="s">
        <v>62</v>
      </c>
      <c r="D13" t="s">
        <v>17</v>
      </c>
      <c r="E13">
        <v>124</v>
      </c>
      <c r="F13" s="1">
        <v>45564</v>
      </c>
      <c r="G13" s="2">
        <v>0.22916666666666666</v>
      </c>
      <c r="H13" t="s">
        <v>63</v>
      </c>
      <c r="I13" t="s">
        <v>32</v>
      </c>
      <c r="J13" s="2">
        <v>0.54166666666666663</v>
      </c>
      <c r="M13" s="2">
        <f t="shared" si="0"/>
        <v>0.3125</v>
      </c>
    </row>
    <row r="14" spans="1:21" x14ac:dyDescent="0.3">
      <c r="A14" t="s">
        <v>64</v>
      </c>
      <c r="B14" t="s">
        <v>65</v>
      </c>
      <c r="C14" t="s">
        <v>66</v>
      </c>
      <c r="D14" t="s">
        <v>17</v>
      </c>
      <c r="E14">
        <v>123</v>
      </c>
      <c r="F14" s="1">
        <v>45563</v>
      </c>
      <c r="G14" s="2">
        <v>0.28333333333333333</v>
      </c>
      <c r="H14" t="s">
        <v>18</v>
      </c>
      <c r="I14" t="s">
        <v>18</v>
      </c>
      <c r="J14" s="2">
        <v>0.55208333333333337</v>
      </c>
      <c r="M14" s="2">
        <f t="shared" si="0"/>
        <v>0.26875000000000004</v>
      </c>
    </row>
    <row r="15" spans="1:21" x14ac:dyDescent="0.3">
      <c r="A15" t="s">
        <v>67</v>
      </c>
      <c r="B15" t="s">
        <v>68</v>
      </c>
      <c r="C15" t="s">
        <v>69</v>
      </c>
      <c r="D15" t="s">
        <v>17</v>
      </c>
      <c r="E15">
        <v>122</v>
      </c>
      <c r="F15" s="1">
        <v>45562</v>
      </c>
      <c r="G15" s="2">
        <v>0.28958333333333336</v>
      </c>
      <c r="H15" t="s">
        <v>18</v>
      </c>
      <c r="I15" t="s">
        <v>18</v>
      </c>
      <c r="J15" s="2">
        <v>0.70486111111111116</v>
      </c>
      <c r="M15" s="2">
        <f t="shared" si="0"/>
        <v>0.4152777777777778</v>
      </c>
    </row>
    <row r="16" spans="1:21" x14ac:dyDescent="0.3">
      <c r="A16" t="s">
        <v>70</v>
      </c>
      <c r="B16" t="s">
        <v>71</v>
      </c>
      <c r="C16" t="s">
        <v>72</v>
      </c>
      <c r="D16" t="s">
        <v>17</v>
      </c>
      <c r="E16">
        <v>121</v>
      </c>
      <c r="F16" s="1">
        <v>45561</v>
      </c>
      <c r="G16" s="2">
        <v>0.30416666666666664</v>
      </c>
      <c r="H16" t="s">
        <v>18</v>
      </c>
      <c r="I16" t="s">
        <v>73</v>
      </c>
      <c r="J16" s="2">
        <v>0.6875</v>
      </c>
      <c r="K16" t="s">
        <v>74</v>
      </c>
      <c r="M16" s="2">
        <f t="shared" si="0"/>
        <v>0.38333333333333336</v>
      </c>
    </row>
    <row r="17" spans="1:13" x14ac:dyDescent="0.3">
      <c r="A17" t="s">
        <v>75</v>
      </c>
      <c r="B17" t="s">
        <v>76</v>
      </c>
      <c r="C17" t="s">
        <v>77</v>
      </c>
      <c r="D17" t="s">
        <v>17</v>
      </c>
      <c r="E17">
        <v>120</v>
      </c>
      <c r="F17" s="1">
        <v>45560</v>
      </c>
      <c r="G17" s="2">
        <v>0.30624999999999997</v>
      </c>
      <c r="H17" t="s">
        <v>18</v>
      </c>
      <c r="I17" t="s">
        <v>18</v>
      </c>
      <c r="J17" s="2">
        <v>0.69444444444444453</v>
      </c>
      <c r="K17" t="s">
        <v>78</v>
      </c>
      <c r="M17" s="2">
        <f t="shared" si="0"/>
        <v>0.38819444444444456</v>
      </c>
    </row>
    <row r="18" spans="1:13" x14ac:dyDescent="0.3">
      <c r="A18" t="s">
        <v>79</v>
      </c>
      <c r="B18" t="s">
        <v>80</v>
      </c>
      <c r="C18" t="s">
        <v>81</v>
      </c>
      <c r="D18" t="s">
        <v>17</v>
      </c>
      <c r="E18">
        <v>119</v>
      </c>
      <c r="F18" s="1">
        <v>45559</v>
      </c>
      <c r="G18" s="2">
        <v>0.28125</v>
      </c>
      <c r="H18" t="s">
        <v>18</v>
      </c>
      <c r="I18" t="s">
        <v>18</v>
      </c>
      <c r="J18" s="2">
        <v>0.69791666666666663</v>
      </c>
      <c r="K18" t="s">
        <v>82</v>
      </c>
      <c r="M18" s="2">
        <f t="shared" si="0"/>
        <v>0.41666666666666663</v>
      </c>
    </row>
    <row r="19" spans="1:13" x14ac:dyDescent="0.3">
      <c r="A19" t="s">
        <v>83</v>
      </c>
      <c r="B19" t="s">
        <v>84</v>
      </c>
      <c r="C19" t="s">
        <v>85</v>
      </c>
      <c r="D19" t="s">
        <v>17</v>
      </c>
      <c r="E19">
        <v>118</v>
      </c>
      <c r="F19" s="1">
        <v>45558</v>
      </c>
      <c r="G19" s="2">
        <v>0.2986111111111111</v>
      </c>
      <c r="H19" t="s">
        <v>18</v>
      </c>
      <c r="I19" t="s">
        <v>18</v>
      </c>
      <c r="J19" s="2">
        <v>0.53472222222222221</v>
      </c>
      <c r="M19" s="2">
        <f t="shared" si="0"/>
        <v>0.2361111111111111</v>
      </c>
    </row>
    <row r="20" spans="1:13" x14ac:dyDescent="0.3">
      <c r="A20" t="s">
        <v>86</v>
      </c>
      <c r="B20" t="s">
        <v>87</v>
      </c>
      <c r="C20" t="s">
        <v>88</v>
      </c>
      <c r="D20" t="s">
        <v>17</v>
      </c>
      <c r="E20">
        <v>117</v>
      </c>
      <c r="F20" s="1">
        <v>45557</v>
      </c>
      <c r="G20" s="2">
        <v>0.33333333333333331</v>
      </c>
      <c r="H20" t="s">
        <v>89</v>
      </c>
      <c r="I20" t="s">
        <v>89</v>
      </c>
      <c r="J20" s="2">
        <v>0.70833333333333337</v>
      </c>
      <c r="M20" s="2">
        <f t="shared" si="0"/>
        <v>0.37500000000000006</v>
      </c>
    </row>
    <row r="21" spans="1:13" x14ac:dyDescent="0.3">
      <c r="A21" t="s">
        <v>90</v>
      </c>
      <c r="B21" t="s">
        <v>91</v>
      </c>
      <c r="C21" t="s">
        <v>92</v>
      </c>
      <c r="D21" t="s">
        <v>17</v>
      </c>
      <c r="E21">
        <v>115</v>
      </c>
      <c r="F21" s="1">
        <v>45555</v>
      </c>
      <c r="G21" s="2">
        <v>0.375</v>
      </c>
      <c r="H21" t="s">
        <v>93</v>
      </c>
      <c r="I21" t="s">
        <v>94</v>
      </c>
      <c r="J21" s="2">
        <v>0.75</v>
      </c>
      <c r="M21" s="2">
        <f t="shared" si="0"/>
        <v>0.375</v>
      </c>
    </row>
    <row r="22" spans="1:13" x14ac:dyDescent="0.3">
      <c r="A22" t="s">
        <v>95</v>
      </c>
      <c r="B22" t="s">
        <v>96</v>
      </c>
      <c r="C22" t="s">
        <v>97</v>
      </c>
      <c r="D22" t="s">
        <v>17</v>
      </c>
      <c r="E22">
        <v>114</v>
      </c>
      <c r="F22" s="1">
        <v>45554</v>
      </c>
      <c r="G22" s="2">
        <v>0.33333333333333331</v>
      </c>
      <c r="H22" t="s">
        <v>98</v>
      </c>
      <c r="I22" t="s">
        <v>98</v>
      </c>
      <c r="J22" s="2">
        <v>0.75</v>
      </c>
      <c r="M22" s="2">
        <f t="shared" si="0"/>
        <v>0.41666666666666669</v>
      </c>
    </row>
    <row r="23" spans="1:13" x14ac:dyDescent="0.3">
      <c r="A23" t="s">
        <v>99</v>
      </c>
      <c r="B23" t="s">
        <v>100</v>
      </c>
      <c r="C23" t="s">
        <v>101</v>
      </c>
      <c r="D23" t="s">
        <v>17</v>
      </c>
      <c r="E23">
        <v>116</v>
      </c>
      <c r="F23" s="1">
        <v>45556</v>
      </c>
      <c r="G23" s="2">
        <v>0.27638888888888885</v>
      </c>
      <c r="H23" t="s">
        <v>18</v>
      </c>
      <c r="I23" t="s">
        <v>18</v>
      </c>
      <c r="J23" s="2">
        <v>0.70138888888888884</v>
      </c>
      <c r="M23" s="2">
        <f t="shared" si="0"/>
        <v>0.42499999999999999</v>
      </c>
    </row>
    <row r="24" spans="1:13" x14ac:dyDescent="0.3">
      <c r="A24" t="s">
        <v>102</v>
      </c>
      <c r="B24" t="s">
        <v>103</v>
      </c>
      <c r="C24" t="s">
        <v>104</v>
      </c>
      <c r="D24" t="s">
        <v>17</v>
      </c>
      <c r="E24">
        <v>113</v>
      </c>
      <c r="F24" s="1">
        <v>45553</v>
      </c>
      <c r="G24" s="2">
        <v>0.28125</v>
      </c>
      <c r="H24" t="s">
        <v>18</v>
      </c>
      <c r="I24" t="s">
        <v>18</v>
      </c>
      <c r="J24" s="2">
        <v>0.70694444444444438</v>
      </c>
      <c r="M24" s="2">
        <f t="shared" si="0"/>
        <v>0.42569444444444438</v>
      </c>
    </row>
    <row r="25" spans="1:13" x14ac:dyDescent="0.3">
      <c r="A25" t="s">
        <v>105</v>
      </c>
      <c r="B25" t="s">
        <v>106</v>
      </c>
      <c r="C25" t="s">
        <v>107</v>
      </c>
      <c r="D25" t="s">
        <v>17</v>
      </c>
      <c r="E25">
        <v>112</v>
      </c>
      <c r="F25" s="1">
        <v>45552</v>
      </c>
      <c r="G25" s="2">
        <v>0.28472222222222221</v>
      </c>
      <c r="H25" t="s">
        <v>18</v>
      </c>
      <c r="I25" t="s">
        <v>18</v>
      </c>
      <c r="J25" s="2">
        <v>0.69791666666666663</v>
      </c>
      <c r="M25" s="2">
        <f t="shared" si="0"/>
        <v>0.41319444444444442</v>
      </c>
    </row>
    <row r="26" spans="1:13" x14ac:dyDescent="0.3">
      <c r="A26" t="s">
        <v>108</v>
      </c>
      <c r="B26" t="s">
        <v>109</v>
      </c>
      <c r="C26" t="s">
        <v>110</v>
      </c>
      <c r="D26" t="s">
        <v>17</v>
      </c>
      <c r="E26">
        <v>111</v>
      </c>
      <c r="F26" s="1">
        <v>45551</v>
      </c>
      <c r="G26" s="2">
        <v>0.28472222222222221</v>
      </c>
      <c r="H26" t="s">
        <v>18</v>
      </c>
      <c r="I26" t="s">
        <v>18</v>
      </c>
      <c r="J26" s="2">
        <v>0.69791666666666663</v>
      </c>
      <c r="M26" s="2">
        <f t="shared" si="0"/>
        <v>0.41319444444444442</v>
      </c>
    </row>
    <row r="27" spans="1:13" x14ac:dyDescent="0.3">
      <c r="A27" t="s">
        <v>111</v>
      </c>
      <c r="B27" t="s">
        <v>112</v>
      </c>
      <c r="C27" t="s">
        <v>113</v>
      </c>
      <c r="D27" t="s">
        <v>17</v>
      </c>
      <c r="E27">
        <v>110</v>
      </c>
      <c r="F27" s="1">
        <v>45550</v>
      </c>
      <c r="G27" s="2">
        <v>0.33333333333333331</v>
      </c>
      <c r="H27" t="s">
        <v>94</v>
      </c>
      <c r="I27" t="s">
        <v>94</v>
      </c>
      <c r="J27" s="2">
        <v>0.54166666666666663</v>
      </c>
      <c r="M27" s="2">
        <f t="shared" si="0"/>
        <v>0.20833333333333331</v>
      </c>
    </row>
    <row r="28" spans="1:13" x14ac:dyDescent="0.3">
      <c r="A28" t="s">
        <v>114</v>
      </c>
      <c r="B28" t="s">
        <v>115</v>
      </c>
      <c r="C28" t="s">
        <v>116</v>
      </c>
      <c r="D28" t="s">
        <v>17</v>
      </c>
      <c r="E28">
        <v>109</v>
      </c>
      <c r="F28" s="1">
        <v>45549</v>
      </c>
      <c r="G28" s="2">
        <v>0.33333333333333331</v>
      </c>
      <c r="H28" t="s">
        <v>117</v>
      </c>
      <c r="I28" t="s">
        <v>117</v>
      </c>
      <c r="J28" s="2">
        <v>0.70833333333333337</v>
      </c>
      <c r="M28" s="2">
        <f t="shared" si="0"/>
        <v>0.37500000000000006</v>
      </c>
    </row>
    <row r="29" spans="1:13" x14ac:dyDescent="0.3">
      <c r="A29" t="s">
        <v>118</v>
      </c>
      <c r="B29" t="s">
        <v>119</v>
      </c>
      <c r="C29" t="s">
        <v>120</v>
      </c>
      <c r="D29" t="s">
        <v>17</v>
      </c>
      <c r="E29">
        <v>108</v>
      </c>
      <c r="F29" s="1">
        <v>45548</v>
      </c>
      <c r="G29" s="2">
        <v>0.33333333333333331</v>
      </c>
      <c r="H29" t="s">
        <v>121</v>
      </c>
      <c r="I29" t="s">
        <v>121</v>
      </c>
      <c r="J29" s="2">
        <v>0.74305555555555547</v>
      </c>
      <c r="M29" s="2">
        <f t="shared" si="0"/>
        <v>0.40972222222222215</v>
      </c>
    </row>
    <row r="30" spans="1:13" x14ac:dyDescent="0.3">
      <c r="A30" t="s">
        <v>122</v>
      </c>
      <c r="B30" t="s">
        <v>123</v>
      </c>
      <c r="C30" t="s">
        <v>124</v>
      </c>
      <c r="D30" t="s">
        <v>17</v>
      </c>
      <c r="E30">
        <v>107</v>
      </c>
      <c r="F30" s="1">
        <v>45547</v>
      </c>
      <c r="G30" s="2">
        <v>0.27777777777777779</v>
      </c>
      <c r="H30" t="s">
        <v>125</v>
      </c>
      <c r="I30" t="s">
        <v>125</v>
      </c>
      <c r="J30" s="2">
        <v>0.71527777777777779</v>
      </c>
      <c r="K30" t="s">
        <v>126</v>
      </c>
      <c r="M30" s="2">
        <f t="shared" si="0"/>
        <v>0.4375</v>
      </c>
    </row>
    <row r="31" spans="1:13" x14ac:dyDescent="0.3">
      <c r="A31" t="s">
        <v>127</v>
      </c>
      <c r="B31" t="s">
        <v>128</v>
      </c>
      <c r="C31" t="s">
        <v>129</v>
      </c>
      <c r="D31" t="s">
        <v>17</v>
      </c>
      <c r="E31">
        <v>106</v>
      </c>
      <c r="F31" s="1">
        <v>45546</v>
      </c>
      <c r="G31" s="2">
        <v>0.28819444444444448</v>
      </c>
      <c r="H31" t="s">
        <v>125</v>
      </c>
      <c r="I31" t="s">
        <v>125</v>
      </c>
      <c r="J31" s="2">
        <v>0.72569444444444453</v>
      </c>
      <c r="M31" s="2">
        <f t="shared" si="0"/>
        <v>0.43750000000000006</v>
      </c>
    </row>
    <row r="32" spans="1:13" x14ac:dyDescent="0.3">
      <c r="A32" t="s">
        <v>130</v>
      </c>
      <c r="B32" t="s">
        <v>131</v>
      </c>
      <c r="C32" t="s">
        <v>132</v>
      </c>
      <c r="D32" t="s">
        <v>17</v>
      </c>
      <c r="E32">
        <v>105</v>
      </c>
      <c r="F32" s="1">
        <v>45545</v>
      </c>
      <c r="G32" s="2">
        <v>0.28055555555555556</v>
      </c>
      <c r="H32" t="s">
        <v>125</v>
      </c>
      <c r="I32" t="s">
        <v>125</v>
      </c>
      <c r="J32" s="2">
        <v>0.73541666666666661</v>
      </c>
      <c r="M32" s="2">
        <f t="shared" si="0"/>
        <v>0.45486111111111105</v>
      </c>
    </row>
    <row r="33" spans="1:13" x14ac:dyDescent="0.3">
      <c r="A33" t="s">
        <v>133</v>
      </c>
      <c r="B33" t="s">
        <v>134</v>
      </c>
      <c r="C33" t="s">
        <v>135</v>
      </c>
      <c r="D33" t="s">
        <v>17</v>
      </c>
      <c r="E33">
        <v>104</v>
      </c>
      <c r="F33" s="1">
        <v>45544</v>
      </c>
      <c r="G33" s="2">
        <v>0.28472222222222221</v>
      </c>
      <c r="H33" t="s">
        <v>136</v>
      </c>
      <c r="I33" t="s">
        <v>136</v>
      </c>
      <c r="J33" s="2">
        <v>0.72222222222222221</v>
      </c>
      <c r="M33" s="2">
        <f t="shared" si="0"/>
        <v>0.4375</v>
      </c>
    </row>
    <row r="34" spans="1:13" x14ac:dyDescent="0.3">
      <c r="A34" s="3" t="s">
        <v>137</v>
      </c>
      <c r="B34" t="s">
        <v>138</v>
      </c>
      <c r="C34" t="s">
        <v>139</v>
      </c>
      <c r="D34" t="s">
        <v>17</v>
      </c>
      <c r="E34">
        <v>103</v>
      </c>
      <c r="F34" s="1">
        <v>45543</v>
      </c>
      <c r="G34" s="2">
        <v>0.41736111111111113</v>
      </c>
      <c r="H34" t="s">
        <v>140</v>
      </c>
      <c r="I34" t="s">
        <v>140</v>
      </c>
      <c r="J34" s="2">
        <v>0.58402777777777781</v>
      </c>
      <c r="M34" s="2">
        <f t="shared" si="0"/>
        <v>0.16666666666666669</v>
      </c>
    </row>
    <row r="35" spans="1:13" x14ac:dyDescent="0.3">
      <c r="A35" t="s">
        <v>141</v>
      </c>
      <c r="B35" t="s">
        <v>142</v>
      </c>
      <c r="C35" t="s">
        <v>143</v>
      </c>
      <c r="D35" t="s">
        <v>17</v>
      </c>
      <c r="E35">
        <v>102</v>
      </c>
      <c r="F35" s="1">
        <v>45542</v>
      </c>
      <c r="G35" s="2">
        <v>0.33333333333333331</v>
      </c>
      <c r="H35" t="s">
        <v>144</v>
      </c>
      <c r="I35" t="s">
        <v>144</v>
      </c>
      <c r="J35" s="2">
        <v>0.72916666666666663</v>
      </c>
      <c r="M35" s="2">
        <f t="shared" si="0"/>
        <v>0.39583333333333331</v>
      </c>
    </row>
    <row r="36" spans="1:13" x14ac:dyDescent="0.3">
      <c r="A36" t="s">
        <v>145</v>
      </c>
      <c r="B36" t="s">
        <v>146</v>
      </c>
      <c r="C36" t="s">
        <v>147</v>
      </c>
      <c r="D36" t="s">
        <v>17</v>
      </c>
      <c r="E36">
        <v>101</v>
      </c>
      <c r="F36" s="1">
        <v>45541</v>
      </c>
      <c r="G36" s="2">
        <v>0.27777777777777779</v>
      </c>
      <c r="H36" t="s">
        <v>148</v>
      </c>
      <c r="I36" t="s">
        <v>148</v>
      </c>
      <c r="J36" s="2">
        <v>0.72222222222222221</v>
      </c>
      <c r="M36" s="2">
        <f t="shared" si="0"/>
        <v>0.44444444444444442</v>
      </c>
    </row>
    <row r="37" spans="1:13" x14ac:dyDescent="0.3">
      <c r="A37" t="s">
        <v>149</v>
      </c>
      <c r="B37" t="s">
        <v>150</v>
      </c>
      <c r="C37" t="s">
        <v>151</v>
      </c>
      <c r="D37" t="s">
        <v>17</v>
      </c>
      <c r="E37">
        <v>100</v>
      </c>
      <c r="F37" s="1">
        <v>45540</v>
      </c>
      <c r="G37" s="2">
        <v>0.27777777777777779</v>
      </c>
      <c r="H37" t="s">
        <v>152</v>
      </c>
      <c r="I37" t="s">
        <v>153</v>
      </c>
      <c r="J37" s="2">
        <v>0.71388888888888891</v>
      </c>
      <c r="M37" s="2">
        <f t="shared" si="0"/>
        <v>0.43611111111111112</v>
      </c>
    </row>
    <row r="38" spans="1:13" x14ac:dyDescent="0.3">
      <c r="A38" t="s">
        <v>154</v>
      </c>
      <c r="B38" t="s">
        <v>155</v>
      </c>
      <c r="C38" t="s">
        <v>156</v>
      </c>
      <c r="D38" t="s">
        <v>17</v>
      </c>
      <c r="E38">
        <v>99</v>
      </c>
      <c r="F38" s="1">
        <v>45538</v>
      </c>
      <c r="G38" s="2">
        <v>0.27569444444444446</v>
      </c>
      <c r="H38" t="s">
        <v>157</v>
      </c>
      <c r="I38" t="s">
        <v>157</v>
      </c>
      <c r="J38" s="2">
        <v>0.70486111111111116</v>
      </c>
      <c r="M38" s="2">
        <f t="shared" si="0"/>
        <v>0.4291666666666667</v>
      </c>
    </row>
    <row r="39" spans="1:13" x14ac:dyDescent="0.3">
      <c r="A39" t="s">
        <v>158</v>
      </c>
      <c r="B39" t="s">
        <v>159</v>
      </c>
      <c r="C39" t="s">
        <v>160</v>
      </c>
      <c r="D39" t="s">
        <v>17</v>
      </c>
      <c r="E39">
        <v>98</v>
      </c>
      <c r="F39" s="1">
        <v>45537</v>
      </c>
      <c r="G39" s="2">
        <v>0.28472222222222221</v>
      </c>
      <c r="H39" t="s">
        <v>161</v>
      </c>
      <c r="I39" t="s">
        <v>161</v>
      </c>
      <c r="J39" s="2">
        <v>0.6777777777777777</v>
      </c>
      <c r="M39" s="2">
        <f t="shared" si="0"/>
        <v>0.39305555555555549</v>
      </c>
    </row>
    <row r="40" spans="1:13" x14ac:dyDescent="0.3">
      <c r="A40" t="s">
        <v>162</v>
      </c>
      <c r="B40" t="s">
        <v>163</v>
      </c>
      <c r="C40" t="s">
        <v>164</v>
      </c>
      <c r="D40" t="s">
        <v>17</v>
      </c>
      <c r="E40">
        <v>97</v>
      </c>
      <c r="F40" s="1">
        <v>45536</v>
      </c>
      <c r="G40" s="2">
        <v>0.34097222222222223</v>
      </c>
      <c r="H40" t="s">
        <v>140</v>
      </c>
      <c r="I40" t="s">
        <v>140</v>
      </c>
      <c r="J40" s="2">
        <v>0.54375000000000007</v>
      </c>
      <c r="M40" s="2">
        <f t="shared" si="0"/>
        <v>0.20277777777777783</v>
      </c>
    </row>
    <row r="41" spans="1:13" x14ac:dyDescent="0.3">
      <c r="A41" t="s">
        <v>165</v>
      </c>
      <c r="B41" t="s">
        <v>166</v>
      </c>
      <c r="C41" t="s">
        <v>167</v>
      </c>
      <c r="D41" t="s">
        <v>17</v>
      </c>
      <c r="E41">
        <v>96</v>
      </c>
      <c r="F41" s="1">
        <v>45535</v>
      </c>
      <c r="G41" s="2">
        <v>0.28194444444444444</v>
      </c>
      <c r="H41" t="s">
        <v>168</v>
      </c>
      <c r="I41" t="s">
        <v>168</v>
      </c>
      <c r="J41" s="2">
        <v>0.5</v>
      </c>
      <c r="M41" s="2">
        <f t="shared" si="0"/>
        <v>0.21805555555555556</v>
      </c>
    </row>
    <row r="42" spans="1:13" x14ac:dyDescent="0.3">
      <c r="A42" t="s">
        <v>169</v>
      </c>
      <c r="B42" t="s">
        <v>170</v>
      </c>
      <c r="C42" t="s">
        <v>171</v>
      </c>
      <c r="D42" t="s">
        <v>17</v>
      </c>
      <c r="E42">
        <v>95</v>
      </c>
      <c r="F42" s="1">
        <v>45534</v>
      </c>
      <c r="G42" s="2">
        <v>0.32013888888888892</v>
      </c>
      <c r="H42" t="s">
        <v>168</v>
      </c>
      <c r="I42" t="s">
        <v>168</v>
      </c>
      <c r="J42" s="2">
        <v>0.74513888888888891</v>
      </c>
      <c r="M42" s="2">
        <f t="shared" si="0"/>
        <v>0.42499999999999999</v>
      </c>
    </row>
    <row r="43" spans="1:13" x14ac:dyDescent="0.3">
      <c r="A43" t="s">
        <v>172</v>
      </c>
      <c r="B43" t="s">
        <v>173</v>
      </c>
      <c r="C43" t="s">
        <v>174</v>
      </c>
      <c r="D43" t="s">
        <v>17</v>
      </c>
      <c r="E43">
        <v>94</v>
      </c>
      <c r="F43" s="1">
        <v>45533</v>
      </c>
      <c r="G43" s="2">
        <v>0.27638888888888885</v>
      </c>
      <c r="H43" t="s">
        <v>168</v>
      </c>
      <c r="I43" t="s">
        <v>168</v>
      </c>
      <c r="J43" s="2">
        <v>0.73611111111111116</v>
      </c>
      <c r="M43" s="2">
        <f t="shared" si="0"/>
        <v>0.45972222222222231</v>
      </c>
    </row>
    <row r="44" spans="1:13" x14ac:dyDescent="0.3">
      <c r="A44" t="s">
        <v>175</v>
      </c>
      <c r="B44" t="s">
        <v>176</v>
      </c>
      <c r="C44" t="s">
        <v>177</v>
      </c>
      <c r="D44" t="s">
        <v>17</v>
      </c>
      <c r="E44">
        <v>93</v>
      </c>
      <c r="F44" s="1">
        <v>45532</v>
      </c>
      <c r="G44" s="2">
        <v>0.27638888888888885</v>
      </c>
      <c r="H44" t="s">
        <v>168</v>
      </c>
      <c r="I44" t="s">
        <v>168</v>
      </c>
      <c r="J44" s="2">
        <v>0.66666666666666663</v>
      </c>
      <c r="M44" s="2">
        <f t="shared" si="0"/>
        <v>0.39027777777777778</v>
      </c>
    </row>
    <row r="45" spans="1:13" x14ac:dyDescent="0.3">
      <c r="A45" t="s">
        <v>178</v>
      </c>
      <c r="B45" t="s">
        <v>179</v>
      </c>
      <c r="C45" t="s">
        <v>180</v>
      </c>
      <c r="D45" t="s">
        <v>17</v>
      </c>
      <c r="E45">
        <v>90</v>
      </c>
      <c r="F45" s="1">
        <v>45529</v>
      </c>
      <c r="G45" s="2">
        <v>0.42569444444444443</v>
      </c>
      <c r="H45" t="s">
        <v>140</v>
      </c>
      <c r="I45" t="s">
        <v>140</v>
      </c>
      <c r="J45" s="2">
        <v>0.53888888888888886</v>
      </c>
      <c r="M45" s="2">
        <f t="shared" si="0"/>
        <v>0.11319444444444443</v>
      </c>
    </row>
    <row r="46" spans="1:13" x14ac:dyDescent="0.3">
      <c r="A46" t="s">
        <v>181</v>
      </c>
      <c r="B46" t="s">
        <v>182</v>
      </c>
      <c r="C46" t="s">
        <v>183</v>
      </c>
      <c r="D46" t="s">
        <v>17</v>
      </c>
      <c r="E46">
        <v>92</v>
      </c>
      <c r="F46" s="1">
        <v>45531</v>
      </c>
      <c r="G46" s="2">
        <v>0.29236111111111113</v>
      </c>
      <c r="H46" t="s">
        <v>168</v>
      </c>
      <c r="I46" t="s">
        <v>168</v>
      </c>
      <c r="J46" s="2">
        <v>0.74305555555555547</v>
      </c>
      <c r="M46" s="2">
        <f t="shared" si="0"/>
        <v>0.45069444444444434</v>
      </c>
    </row>
    <row r="47" spans="1:13" x14ac:dyDescent="0.3">
      <c r="A47" t="s">
        <v>184</v>
      </c>
      <c r="B47" t="s">
        <v>185</v>
      </c>
      <c r="C47" t="s">
        <v>186</v>
      </c>
      <c r="D47" t="s">
        <v>17</v>
      </c>
      <c r="E47">
        <v>91</v>
      </c>
      <c r="F47" s="1">
        <v>45530</v>
      </c>
      <c r="G47" s="2">
        <v>0.2986111111111111</v>
      </c>
      <c r="H47" t="s">
        <v>168</v>
      </c>
      <c r="I47" t="s">
        <v>168</v>
      </c>
      <c r="J47" s="2">
        <v>0.69027777777777777</v>
      </c>
      <c r="M47" s="2">
        <f t="shared" si="0"/>
        <v>0.39166666666666666</v>
      </c>
    </row>
    <row r="48" spans="1:13" x14ac:dyDescent="0.3">
      <c r="A48" t="s">
        <v>187</v>
      </c>
      <c r="B48" t="s">
        <v>188</v>
      </c>
      <c r="C48" t="s">
        <v>189</v>
      </c>
      <c r="D48" t="s">
        <v>17</v>
      </c>
      <c r="E48">
        <v>89</v>
      </c>
      <c r="F48" s="1">
        <v>45528</v>
      </c>
      <c r="G48" s="2">
        <v>0.27708333333333335</v>
      </c>
      <c r="H48" t="s">
        <v>168</v>
      </c>
      <c r="I48" t="s">
        <v>168</v>
      </c>
      <c r="J48" s="2">
        <v>0.73541666666666661</v>
      </c>
      <c r="M48" s="2">
        <f t="shared" si="0"/>
        <v>0.45833333333333326</v>
      </c>
    </row>
    <row r="49" spans="1:13" x14ac:dyDescent="0.3">
      <c r="A49" t="s">
        <v>190</v>
      </c>
      <c r="B49" t="s">
        <v>191</v>
      </c>
      <c r="C49" t="s">
        <v>192</v>
      </c>
      <c r="D49" t="s">
        <v>17</v>
      </c>
      <c r="E49">
        <v>88</v>
      </c>
      <c r="F49" s="1">
        <v>45527</v>
      </c>
      <c r="G49" s="2">
        <v>0.27916666666666667</v>
      </c>
      <c r="H49" t="s">
        <v>168</v>
      </c>
      <c r="I49" t="s">
        <v>168</v>
      </c>
      <c r="J49" s="2">
        <v>0.75</v>
      </c>
      <c r="M49" s="2">
        <f t="shared" si="0"/>
        <v>0.47083333333333333</v>
      </c>
    </row>
    <row r="50" spans="1:13" x14ac:dyDescent="0.3">
      <c r="A50" t="s">
        <v>193</v>
      </c>
      <c r="B50" t="s">
        <v>194</v>
      </c>
      <c r="C50" t="s">
        <v>195</v>
      </c>
      <c r="D50" t="s">
        <v>17</v>
      </c>
      <c r="E50">
        <v>87</v>
      </c>
      <c r="F50" s="1">
        <v>45526</v>
      </c>
      <c r="G50" s="2">
        <v>0.27499999999999997</v>
      </c>
      <c r="H50" t="s">
        <v>168</v>
      </c>
      <c r="I50" t="s">
        <v>168</v>
      </c>
      <c r="J50" s="2">
        <v>0.75</v>
      </c>
      <c r="M50" s="2">
        <f t="shared" si="0"/>
        <v>0.47500000000000003</v>
      </c>
    </row>
    <row r="51" spans="1:13" x14ac:dyDescent="0.3">
      <c r="A51" t="s">
        <v>196</v>
      </c>
      <c r="B51" t="s">
        <v>197</v>
      </c>
      <c r="C51" t="s">
        <v>198</v>
      </c>
      <c r="D51" t="s">
        <v>17</v>
      </c>
      <c r="E51">
        <v>86</v>
      </c>
      <c r="F51" s="1">
        <v>45525</v>
      </c>
      <c r="G51" s="2">
        <v>0.28055555555555556</v>
      </c>
      <c r="H51" t="s">
        <v>199</v>
      </c>
      <c r="I51" t="s">
        <v>199</v>
      </c>
      <c r="J51" s="2">
        <v>0.76388888888888884</v>
      </c>
      <c r="M51" s="2">
        <f t="shared" si="0"/>
        <v>0.48333333333333328</v>
      </c>
    </row>
    <row r="52" spans="1:13" x14ac:dyDescent="0.3">
      <c r="A52" t="s">
        <v>200</v>
      </c>
      <c r="B52" t="s">
        <v>201</v>
      </c>
      <c r="C52" t="s">
        <v>202</v>
      </c>
      <c r="D52" t="s">
        <v>17</v>
      </c>
      <c r="E52">
        <v>85</v>
      </c>
      <c r="F52" s="1">
        <v>45524</v>
      </c>
      <c r="G52" s="2">
        <v>0.3</v>
      </c>
      <c r="H52" t="s">
        <v>203</v>
      </c>
      <c r="I52" t="s">
        <v>204</v>
      </c>
      <c r="J52" s="2">
        <v>0.55208333333333337</v>
      </c>
      <c r="M52" s="2">
        <f t="shared" si="0"/>
        <v>0.25208333333333338</v>
      </c>
    </row>
    <row r="53" spans="1:13" x14ac:dyDescent="0.3">
      <c r="A53" t="s">
        <v>205</v>
      </c>
      <c r="B53" t="s">
        <v>206</v>
      </c>
      <c r="C53" t="s">
        <v>207</v>
      </c>
      <c r="D53" t="s">
        <v>17</v>
      </c>
      <c r="E53">
        <v>84</v>
      </c>
      <c r="F53" s="1">
        <v>45523</v>
      </c>
      <c r="H53" t="s">
        <v>208</v>
      </c>
      <c r="I53" t="s">
        <v>208</v>
      </c>
      <c r="M53" s="2">
        <f t="shared" si="0"/>
        <v>0</v>
      </c>
    </row>
    <row r="54" spans="1:13" x14ac:dyDescent="0.3">
      <c r="A54" t="s">
        <v>209</v>
      </c>
      <c r="B54" t="s">
        <v>210</v>
      </c>
      <c r="C54" t="s">
        <v>211</v>
      </c>
      <c r="D54" t="s">
        <v>17</v>
      </c>
      <c r="E54">
        <v>83</v>
      </c>
      <c r="F54" s="1">
        <v>45522</v>
      </c>
      <c r="G54" s="2">
        <v>0.37986111111111115</v>
      </c>
      <c r="H54" t="s">
        <v>140</v>
      </c>
      <c r="I54" t="s">
        <v>140</v>
      </c>
      <c r="J54" s="2">
        <v>0.50486111111111109</v>
      </c>
      <c r="M54" s="2">
        <f t="shared" si="0"/>
        <v>0.12499999999999994</v>
      </c>
    </row>
    <row r="55" spans="1:13" x14ac:dyDescent="0.3">
      <c r="A55" t="s">
        <v>212</v>
      </c>
      <c r="B55" t="s">
        <v>213</v>
      </c>
      <c r="C55" t="s">
        <v>214</v>
      </c>
      <c r="D55" t="s">
        <v>17</v>
      </c>
      <c r="E55">
        <v>82</v>
      </c>
      <c r="F55" s="1">
        <v>45521</v>
      </c>
      <c r="G55" s="2">
        <v>0.33749999999999997</v>
      </c>
      <c r="H55" t="s">
        <v>144</v>
      </c>
      <c r="I55" t="s">
        <v>144</v>
      </c>
      <c r="J55" s="2">
        <v>0.71319444444444446</v>
      </c>
      <c r="M55" s="2">
        <f t="shared" si="0"/>
        <v>0.3756944444444445</v>
      </c>
    </row>
    <row r="56" spans="1:13" x14ac:dyDescent="0.3">
      <c r="A56" t="s">
        <v>215</v>
      </c>
      <c r="B56" t="s">
        <v>216</v>
      </c>
      <c r="C56" t="s">
        <v>217</v>
      </c>
      <c r="D56" t="s">
        <v>17</v>
      </c>
      <c r="E56">
        <v>81</v>
      </c>
      <c r="F56" s="1">
        <v>45520</v>
      </c>
      <c r="G56" s="2">
        <v>0.3347222222222222</v>
      </c>
      <c r="H56" t="s">
        <v>218</v>
      </c>
      <c r="I56" t="s">
        <v>218</v>
      </c>
      <c r="J56" s="2">
        <v>0.60277777777777775</v>
      </c>
      <c r="M56" s="2">
        <f t="shared" si="0"/>
        <v>0.26805555555555555</v>
      </c>
    </row>
    <row r="57" spans="1:13" x14ac:dyDescent="0.3">
      <c r="A57" t="s">
        <v>219</v>
      </c>
      <c r="B57" t="s">
        <v>220</v>
      </c>
      <c r="C57" t="s">
        <v>221</v>
      </c>
      <c r="D57" t="s">
        <v>17</v>
      </c>
      <c r="E57">
        <v>80</v>
      </c>
      <c r="F57" s="1">
        <v>45519</v>
      </c>
      <c r="G57" s="2">
        <v>0.27638888888888885</v>
      </c>
      <c r="H57" t="s">
        <v>168</v>
      </c>
      <c r="I57" t="s">
        <v>168</v>
      </c>
      <c r="J57" s="2">
        <v>0.6958333333333333</v>
      </c>
      <c r="M57" s="2">
        <f t="shared" si="0"/>
        <v>0.41944444444444445</v>
      </c>
    </row>
    <row r="58" spans="1:13" x14ac:dyDescent="0.3">
      <c r="A58" t="s">
        <v>222</v>
      </c>
      <c r="B58" t="s">
        <v>223</v>
      </c>
      <c r="C58" t="s">
        <v>224</v>
      </c>
      <c r="D58" t="s">
        <v>17</v>
      </c>
      <c r="E58">
        <v>79</v>
      </c>
      <c r="F58" s="1">
        <v>45518</v>
      </c>
      <c r="G58" s="2">
        <v>0.2722222222222222</v>
      </c>
      <c r="H58" t="s">
        <v>168</v>
      </c>
      <c r="I58" t="s">
        <v>168</v>
      </c>
      <c r="J58" s="2">
        <v>0.63611111111111118</v>
      </c>
      <c r="M58" s="2">
        <f t="shared" si="0"/>
        <v>0.36388888888888898</v>
      </c>
    </row>
    <row r="59" spans="1:13" x14ac:dyDescent="0.3">
      <c r="A59" t="s">
        <v>225</v>
      </c>
      <c r="B59" t="s">
        <v>226</v>
      </c>
      <c r="C59" t="s">
        <v>227</v>
      </c>
      <c r="D59" t="s">
        <v>17</v>
      </c>
      <c r="E59">
        <v>78</v>
      </c>
      <c r="F59" s="1">
        <v>45517</v>
      </c>
      <c r="G59" s="2">
        <v>0.27777777777777779</v>
      </c>
      <c r="H59" t="s">
        <v>168</v>
      </c>
      <c r="I59" t="s">
        <v>168</v>
      </c>
      <c r="J59" s="2">
        <v>0.59444444444444444</v>
      </c>
      <c r="M59" s="2">
        <f t="shared" si="0"/>
        <v>0.31666666666666665</v>
      </c>
    </row>
    <row r="60" spans="1:13" x14ac:dyDescent="0.3">
      <c r="A60" t="s">
        <v>228</v>
      </c>
      <c r="B60" t="s">
        <v>229</v>
      </c>
      <c r="C60" t="s">
        <v>230</v>
      </c>
      <c r="D60" t="s">
        <v>17</v>
      </c>
      <c r="E60">
        <v>77</v>
      </c>
      <c r="F60" s="1">
        <v>45516</v>
      </c>
      <c r="G60" s="2">
        <v>0.27986111111111112</v>
      </c>
      <c r="H60" t="s">
        <v>168</v>
      </c>
      <c r="I60" t="s">
        <v>168</v>
      </c>
      <c r="J60" s="2">
        <v>0.54999999999999993</v>
      </c>
      <c r="M60" s="2">
        <f t="shared" si="0"/>
        <v>0.27013888888888882</v>
      </c>
    </row>
    <row r="61" spans="1:13" x14ac:dyDescent="0.3">
      <c r="A61" t="s">
        <v>231</v>
      </c>
      <c r="B61" t="s">
        <v>232</v>
      </c>
      <c r="C61" t="s">
        <v>233</v>
      </c>
      <c r="D61" t="s">
        <v>17</v>
      </c>
      <c r="E61">
        <v>76</v>
      </c>
      <c r="F61" s="1">
        <v>45515</v>
      </c>
      <c r="G61" s="2">
        <v>0.34097222222222223</v>
      </c>
      <c r="H61" t="s">
        <v>94</v>
      </c>
      <c r="I61" t="s">
        <v>94</v>
      </c>
      <c r="J61" s="2">
        <v>0.4694444444444445</v>
      </c>
      <c r="M61" s="2">
        <f t="shared" si="0"/>
        <v>0.12847222222222227</v>
      </c>
    </row>
    <row r="62" spans="1:13" x14ac:dyDescent="0.3">
      <c r="A62" t="s">
        <v>234</v>
      </c>
      <c r="B62" t="s">
        <v>235</v>
      </c>
      <c r="C62" t="s">
        <v>236</v>
      </c>
      <c r="D62" t="s">
        <v>17</v>
      </c>
      <c r="E62">
        <v>75</v>
      </c>
      <c r="F62" s="1">
        <v>45514</v>
      </c>
      <c r="H62" t="s">
        <v>237</v>
      </c>
      <c r="I62" t="s">
        <v>237</v>
      </c>
      <c r="M62" s="2">
        <f t="shared" si="0"/>
        <v>0</v>
      </c>
    </row>
    <row r="63" spans="1:13" x14ac:dyDescent="0.3">
      <c r="A63" t="s">
        <v>238</v>
      </c>
      <c r="B63" t="s">
        <v>239</v>
      </c>
      <c r="C63" t="s">
        <v>240</v>
      </c>
      <c r="D63" t="s">
        <v>17</v>
      </c>
      <c r="E63">
        <v>74</v>
      </c>
      <c r="F63" s="1">
        <v>45513</v>
      </c>
      <c r="G63" s="2">
        <v>0.31666666666666665</v>
      </c>
      <c r="H63" t="s">
        <v>168</v>
      </c>
      <c r="I63" t="s">
        <v>168</v>
      </c>
      <c r="J63" s="2">
        <v>0.66666666666666663</v>
      </c>
      <c r="M63" s="2">
        <f t="shared" si="0"/>
        <v>0.35</v>
      </c>
    </row>
    <row r="64" spans="1:13" x14ac:dyDescent="0.3">
      <c r="A64" t="s">
        <v>241</v>
      </c>
      <c r="B64" t="s">
        <v>242</v>
      </c>
      <c r="C64" t="s">
        <v>243</v>
      </c>
      <c r="D64" t="s">
        <v>17</v>
      </c>
      <c r="E64">
        <v>73</v>
      </c>
      <c r="F64" s="1">
        <v>45512</v>
      </c>
      <c r="G64" s="2">
        <v>0.29375000000000001</v>
      </c>
      <c r="H64" t="s">
        <v>244</v>
      </c>
      <c r="I64" t="s">
        <v>168</v>
      </c>
      <c r="J64" s="2">
        <v>0.60555555555555551</v>
      </c>
      <c r="M64" s="2">
        <f t="shared" si="0"/>
        <v>0.3118055555555555</v>
      </c>
    </row>
    <row r="65" spans="1:13" x14ac:dyDescent="0.3">
      <c r="A65" t="s">
        <v>245</v>
      </c>
      <c r="B65" t="s">
        <v>246</v>
      </c>
      <c r="C65" t="s">
        <v>247</v>
      </c>
      <c r="D65" t="s">
        <v>17</v>
      </c>
      <c r="E65">
        <v>72</v>
      </c>
      <c r="F65" s="1">
        <v>45511</v>
      </c>
      <c r="G65" s="2">
        <v>0.28402777777777777</v>
      </c>
      <c r="H65" t="s">
        <v>168</v>
      </c>
      <c r="I65" t="s">
        <v>168</v>
      </c>
      <c r="J65" s="2">
        <v>0.72013888888888899</v>
      </c>
      <c r="M65" s="2">
        <f t="shared" si="0"/>
        <v>0.43611111111111123</v>
      </c>
    </row>
    <row r="66" spans="1:13" x14ac:dyDescent="0.3">
      <c r="A66" t="s">
        <v>248</v>
      </c>
      <c r="B66" t="s">
        <v>249</v>
      </c>
      <c r="C66" t="s">
        <v>250</v>
      </c>
      <c r="D66" t="s">
        <v>17</v>
      </c>
      <c r="E66">
        <v>71</v>
      </c>
      <c r="F66" s="1">
        <v>45510</v>
      </c>
      <c r="G66" s="2">
        <v>0.27569444444444446</v>
      </c>
      <c r="H66" t="s">
        <v>168</v>
      </c>
      <c r="I66" t="s">
        <v>168</v>
      </c>
      <c r="J66" s="2">
        <v>0.58263888888888882</v>
      </c>
      <c r="M66" s="2">
        <f t="shared" si="0"/>
        <v>0.30694444444444435</v>
      </c>
    </row>
    <row r="67" spans="1:13" x14ac:dyDescent="0.3">
      <c r="A67" t="s">
        <v>251</v>
      </c>
      <c r="B67" t="s">
        <v>252</v>
      </c>
      <c r="C67" t="s">
        <v>253</v>
      </c>
      <c r="D67" t="s">
        <v>17</v>
      </c>
      <c r="E67">
        <v>70</v>
      </c>
      <c r="F67" s="1">
        <v>45509</v>
      </c>
      <c r="G67" s="2">
        <v>0.27777777777777779</v>
      </c>
      <c r="H67" t="s">
        <v>168</v>
      </c>
      <c r="I67" t="s">
        <v>168</v>
      </c>
      <c r="J67" s="2">
        <v>0.58472222222222225</v>
      </c>
      <c r="M67" s="2">
        <f t="shared" ref="M67:M94" si="1">MOD(J67-G67,1)</f>
        <v>0.30694444444444446</v>
      </c>
    </row>
    <row r="68" spans="1:13" x14ac:dyDescent="0.3">
      <c r="A68" t="s">
        <v>254</v>
      </c>
      <c r="B68" t="s">
        <v>255</v>
      </c>
      <c r="C68" t="s">
        <v>256</v>
      </c>
      <c r="D68" t="s">
        <v>17</v>
      </c>
      <c r="E68">
        <v>69</v>
      </c>
      <c r="F68" s="1">
        <v>45508</v>
      </c>
      <c r="G68" s="2">
        <v>0.34583333333333338</v>
      </c>
      <c r="H68" t="s">
        <v>94</v>
      </c>
      <c r="I68" t="s">
        <v>94</v>
      </c>
      <c r="J68" s="2">
        <v>0.48055555555555557</v>
      </c>
      <c r="M68" s="2">
        <f t="shared" si="1"/>
        <v>0.13472222222222219</v>
      </c>
    </row>
    <row r="69" spans="1:13" x14ac:dyDescent="0.3">
      <c r="A69" t="s">
        <v>257</v>
      </c>
      <c r="B69" t="s">
        <v>258</v>
      </c>
      <c r="C69" t="s">
        <v>259</v>
      </c>
      <c r="D69" t="s">
        <v>17</v>
      </c>
      <c r="E69">
        <v>68</v>
      </c>
      <c r="F69" s="1">
        <v>45507</v>
      </c>
      <c r="G69" s="2">
        <v>0.35625000000000001</v>
      </c>
      <c r="H69" t="s">
        <v>260</v>
      </c>
      <c r="I69" t="s">
        <v>260</v>
      </c>
      <c r="J69" s="2">
        <v>0.50486111111111109</v>
      </c>
      <c r="M69" s="2">
        <f t="shared" si="1"/>
        <v>0.14861111111111108</v>
      </c>
    </row>
    <row r="70" spans="1:13" x14ac:dyDescent="0.3">
      <c r="A70" t="s">
        <v>261</v>
      </c>
      <c r="B70" t="s">
        <v>262</v>
      </c>
      <c r="C70" t="s">
        <v>263</v>
      </c>
      <c r="D70" t="s">
        <v>17</v>
      </c>
      <c r="E70">
        <v>67</v>
      </c>
      <c r="F70" s="1">
        <v>45506</v>
      </c>
      <c r="G70" s="2">
        <v>0.27777777777777779</v>
      </c>
      <c r="H70" t="s">
        <v>168</v>
      </c>
      <c r="I70" t="s">
        <v>168</v>
      </c>
      <c r="J70" s="2">
        <v>0.68541666666666667</v>
      </c>
      <c r="M70" s="2">
        <f t="shared" si="1"/>
        <v>0.40763888888888888</v>
      </c>
    </row>
    <row r="71" spans="1:13" x14ac:dyDescent="0.3">
      <c r="A71" s="3" t="s">
        <v>264</v>
      </c>
      <c r="B71" t="s">
        <v>265</v>
      </c>
      <c r="C71" t="s">
        <v>266</v>
      </c>
      <c r="D71" t="s">
        <v>17</v>
      </c>
      <c r="E71">
        <v>66</v>
      </c>
      <c r="F71" s="1">
        <v>45505</v>
      </c>
      <c r="G71" s="2">
        <v>0.27083333333333331</v>
      </c>
      <c r="H71" t="s">
        <v>168</v>
      </c>
      <c r="I71" t="s">
        <v>168</v>
      </c>
      <c r="J71" s="2">
        <v>0.7319444444444444</v>
      </c>
      <c r="M71" s="2">
        <f t="shared" si="1"/>
        <v>0.46111111111111108</v>
      </c>
    </row>
    <row r="72" spans="1:13" x14ac:dyDescent="0.3">
      <c r="A72" t="s">
        <v>267</v>
      </c>
      <c r="B72" t="s">
        <v>268</v>
      </c>
      <c r="C72" t="s">
        <v>269</v>
      </c>
      <c r="D72" t="s">
        <v>17</v>
      </c>
      <c r="E72">
        <v>65</v>
      </c>
      <c r="F72" s="1">
        <v>45504</v>
      </c>
      <c r="G72" s="2">
        <v>0.27361111111111108</v>
      </c>
      <c r="H72" t="s">
        <v>168</v>
      </c>
      <c r="I72" t="s">
        <v>168</v>
      </c>
      <c r="J72" s="2">
        <v>0.64027777777777783</v>
      </c>
      <c r="M72" s="2">
        <f t="shared" si="1"/>
        <v>0.36666666666666675</v>
      </c>
    </row>
    <row r="73" spans="1:13" x14ac:dyDescent="0.3">
      <c r="A73" t="s">
        <v>270</v>
      </c>
      <c r="B73" t="s">
        <v>271</v>
      </c>
      <c r="C73" t="s">
        <v>272</v>
      </c>
      <c r="D73" t="s">
        <v>17</v>
      </c>
      <c r="E73">
        <v>64</v>
      </c>
      <c r="F73" s="1">
        <v>45503</v>
      </c>
      <c r="G73" s="2">
        <v>0.29166666666666669</v>
      </c>
      <c r="H73" t="s">
        <v>168</v>
      </c>
      <c r="I73" t="s">
        <v>168</v>
      </c>
      <c r="J73" s="2">
        <v>0.74652777777777779</v>
      </c>
      <c r="M73" s="2">
        <f t="shared" si="1"/>
        <v>0.4548611111111111</v>
      </c>
    </row>
    <row r="74" spans="1:13" x14ac:dyDescent="0.3">
      <c r="A74" t="s">
        <v>273</v>
      </c>
      <c r="B74" t="s">
        <v>274</v>
      </c>
      <c r="C74" t="s">
        <v>275</v>
      </c>
      <c r="D74" t="s">
        <v>17</v>
      </c>
      <c r="E74">
        <v>63</v>
      </c>
      <c r="F74" s="1">
        <v>45502</v>
      </c>
      <c r="G74" s="2">
        <v>0.30555555555555552</v>
      </c>
      <c r="H74" t="s">
        <v>168</v>
      </c>
      <c r="I74" t="s">
        <v>168</v>
      </c>
      <c r="J74" s="2">
        <v>0.74305555555555547</v>
      </c>
      <c r="M74" s="2">
        <f t="shared" si="1"/>
        <v>0.43749999999999994</v>
      </c>
    </row>
    <row r="75" spans="1:13" x14ac:dyDescent="0.3">
      <c r="A75" t="s">
        <v>276</v>
      </c>
      <c r="B75" t="s">
        <v>277</v>
      </c>
      <c r="C75" t="s">
        <v>278</v>
      </c>
      <c r="D75" t="s">
        <v>17</v>
      </c>
      <c r="E75">
        <v>62</v>
      </c>
      <c r="F75" s="1">
        <v>45501</v>
      </c>
      <c r="G75" s="2">
        <v>0.39583333333333331</v>
      </c>
      <c r="H75" t="s">
        <v>94</v>
      </c>
      <c r="I75" t="s">
        <v>94</v>
      </c>
      <c r="J75" s="2">
        <v>0.51388888888888895</v>
      </c>
      <c r="M75" s="2">
        <f t="shared" si="1"/>
        <v>0.11805555555555564</v>
      </c>
    </row>
    <row r="76" spans="1:13" x14ac:dyDescent="0.3">
      <c r="A76" t="s">
        <v>279</v>
      </c>
      <c r="B76" t="s">
        <v>280</v>
      </c>
      <c r="C76" t="s">
        <v>281</v>
      </c>
      <c r="D76" t="s">
        <v>17</v>
      </c>
      <c r="E76">
        <v>61</v>
      </c>
      <c r="F76" s="1">
        <v>45500</v>
      </c>
      <c r="G76" s="2">
        <v>0.4291666666666667</v>
      </c>
      <c r="H76" t="s">
        <v>282</v>
      </c>
      <c r="I76" t="s">
        <v>282</v>
      </c>
      <c r="J76" s="2">
        <v>0.67986111111111114</v>
      </c>
      <c r="M76" s="2">
        <f t="shared" si="1"/>
        <v>0.25069444444444444</v>
      </c>
    </row>
    <row r="77" spans="1:13" x14ac:dyDescent="0.3">
      <c r="A77" t="s">
        <v>283</v>
      </c>
      <c r="B77" t="s">
        <v>284</v>
      </c>
      <c r="C77" t="s">
        <v>285</v>
      </c>
      <c r="D77" t="s">
        <v>17</v>
      </c>
      <c r="E77">
        <v>60</v>
      </c>
      <c r="F77" s="1">
        <v>45499</v>
      </c>
      <c r="G77" s="2">
        <v>0.28958333333333336</v>
      </c>
      <c r="H77" t="s">
        <v>168</v>
      </c>
      <c r="I77" t="s">
        <v>168</v>
      </c>
      <c r="J77" s="2">
        <v>0.72499999999999998</v>
      </c>
      <c r="M77" s="2">
        <f t="shared" si="1"/>
        <v>0.43541666666666662</v>
      </c>
    </row>
    <row r="78" spans="1:13" x14ac:dyDescent="0.3">
      <c r="A78" t="s">
        <v>286</v>
      </c>
      <c r="B78" t="s">
        <v>287</v>
      </c>
      <c r="C78" t="s">
        <v>288</v>
      </c>
      <c r="D78" t="s">
        <v>17</v>
      </c>
      <c r="E78">
        <v>59</v>
      </c>
      <c r="F78" s="1">
        <v>45498</v>
      </c>
      <c r="G78" s="2">
        <v>0.28888888888888892</v>
      </c>
      <c r="H78" t="s">
        <v>168</v>
      </c>
      <c r="I78" t="s">
        <v>168</v>
      </c>
      <c r="J78" s="2">
        <v>0.74583333333333324</v>
      </c>
      <c r="M78" s="2">
        <f t="shared" si="1"/>
        <v>0.45694444444444432</v>
      </c>
    </row>
    <row r="79" spans="1:13" x14ac:dyDescent="0.3">
      <c r="A79" t="s">
        <v>289</v>
      </c>
      <c r="B79" t="s">
        <v>290</v>
      </c>
      <c r="C79" t="s">
        <v>291</v>
      </c>
      <c r="D79" t="s">
        <v>17</v>
      </c>
      <c r="E79">
        <v>58</v>
      </c>
      <c r="F79" s="1">
        <v>45497</v>
      </c>
      <c r="G79" s="2">
        <v>0.29583333333333334</v>
      </c>
      <c r="H79" t="s">
        <v>168</v>
      </c>
      <c r="I79" t="s">
        <v>168</v>
      </c>
      <c r="J79" s="2">
        <v>0.77430555555555547</v>
      </c>
      <c r="M79" s="2">
        <f t="shared" si="1"/>
        <v>0.47847222222222213</v>
      </c>
    </row>
    <row r="80" spans="1:13" x14ac:dyDescent="0.3">
      <c r="A80" t="s">
        <v>292</v>
      </c>
      <c r="B80" t="s">
        <v>293</v>
      </c>
      <c r="C80" t="s">
        <v>294</v>
      </c>
      <c r="D80" t="s">
        <v>17</v>
      </c>
      <c r="E80">
        <v>57</v>
      </c>
      <c r="F80" s="1">
        <v>45496</v>
      </c>
      <c r="G80" s="2">
        <v>0.2902777777777778</v>
      </c>
      <c r="H80" t="s">
        <v>168</v>
      </c>
      <c r="I80" t="s">
        <v>168</v>
      </c>
      <c r="J80" s="2">
        <v>0.76944444444444438</v>
      </c>
      <c r="M80" s="2">
        <f t="shared" si="1"/>
        <v>0.47916666666666657</v>
      </c>
    </row>
    <row r="81" spans="1:13" x14ac:dyDescent="0.3">
      <c r="A81" t="s">
        <v>295</v>
      </c>
      <c r="B81" t="s">
        <v>296</v>
      </c>
      <c r="C81" t="s">
        <v>297</v>
      </c>
      <c r="D81" t="s">
        <v>17</v>
      </c>
      <c r="E81">
        <v>56</v>
      </c>
      <c r="F81" s="1">
        <v>45495</v>
      </c>
      <c r="G81" s="2">
        <v>0.28194444444444444</v>
      </c>
      <c r="H81" t="s">
        <v>168</v>
      </c>
      <c r="I81" t="s">
        <v>168</v>
      </c>
      <c r="J81" s="2">
        <v>0.76041666666666663</v>
      </c>
      <c r="M81" s="2">
        <f t="shared" si="1"/>
        <v>0.47847222222222219</v>
      </c>
    </row>
    <row r="82" spans="1:13" x14ac:dyDescent="0.3">
      <c r="A82" t="s">
        <v>298</v>
      </c>
      <c r="B82" t="s">
        <v>299</v>
      </c>
      <c r="C82" t="s">
        <v>300</v>
      </c>
      <c r="D82" t="s">
        <v>17</v>
      </c>
      <c r="E82">
        <v>55</v>
      </c>
      <c r="F82" s="1">
        <v>45494</v>
      </c>
      <c r="G82" s="2">
        <v>0.375</v>
      </c>
      <c r="H82" t="s">
        <v>140</v>
      </c>
      <c r="I82" t="s">
        <v>140</v>
      </c>
      <c r="J82" s="2">
        <v>0.5</v>
      </c>
      <c r="M82" s="2">
        <f t="shared" si="1"/>
        <v>0.125</v>
      </c>
    </row>
    <row r="83" spans="1:13" x14ac:dyDescent="0.3">
      <c r="A83" t="s">
        <v>301</v>
      </c>
      <c r="B83" t="s">
        <v>302</v>
      </c>
      <c r="C83" t="s">
        <v>303</v>
      </c>
      <c r="D83" t="s">
        <v>17</v>
      </c>
      <c r="E83">
        <v>54</v>
      </c>
      <c r="F83" s="1">
        <v>45493</v>
      </c>
      <c r="G83" s="2">
        <v>0.29166666666666669</v>
      </c>
      <c r="H83" t="s">
        <v>168</v>
      </c>
      <c r="I83" t="s">
        <v>168</v>
      </c>
      <c r="J83" s="2">
        <v>0.53055555555555556</v>
      </c>
      <c r="M83" s="2">
        <f t="shared" si="1"/>
        <v>0.23888888888888887</v>
      </c>
    </row>
    <row r="84" spans="1:13" x14ac:dyDescent="0.3">
      <c r="A84" t="s">
        <v>304</v>
      </c>
      <c r="B84" t="s">
        <v>305</v>
      </c>
      <c r="C84" t="s">
        <v>306</v>
      </c>
      <c r="D84" t="s">
        <v>17</v>
      </c>
      <c r="E84">
        <v>53</v>
      </c>
      <c r="F84" s="1">
        <v>45492</v>
      </c>
      <c r="G84" s="2">
        <v>0.29097222222222224</v>
      </c>
      <c r="H84" t="s">
        <v>168</v>
      </c>
      <c r="I84" t="s">
        <v>168</v>
      </c>
      <c r="J84" s="2">
        <v>0.75</v>
      </c>
      <c r="M84" s="2">
        <f t="shared" si="1"/>
        <v>0.45902777777777776</v>
      </c>
    </row>
    <row r="85" spans="1:13" x14ac:dyDescent="0.3">
      <c r="A85" t="s">
        <v>307</v>
      </c>
      <c r="B85" t="s">
        <v>308</v>
      </c>
      <c r="C85" t="s">
        <v>309</v>
      </c>
      <c r="D85" t="s">
        <v>17</v>
      </c>
      <c r="E85">
        <v>52</v>
      </c>
      <c r="F85" s="1">
        <v>45491</v>
      </c>
      <c r="G85" s="2">
        <v>0.41666666666666669</v>
      </c>
      <c r="H85" t="s">
        <v>282</v>
      </c>
      <c r="I85" t="s">
        <v>282</v>
      </c>
      <c r="J85" s="2">
        <v>0.70833333333333337</v>
      </c>
      <c r="M85" s="2">
        <f t="shared" si="1"/>
        <v>0.29166666666666669</v>
      </c>
    </row>
    <row r="86" spans="1:13" x14ac:dyDescent="0.3">
      <c r="A86" t="s">
        <v>310</v>
      </c>
      <c r="B86" t="s">
        <v>311</v>
      </c>
      <c r="C86" t="s">
        <v>312</v>
      </c>
      <c r="D86" t="s">
        <v>17</v>
      </c>
      <c r="E86">
        <v>51</v>
      </c>
      <c r="F86" s="1">
        <v>45490</v>
      </c>
      <c r="G86" s="2">
        <v>0.28055555555555556</v>
      </c>
      <c r="H86" t="s">
        <v>168</v>
      </c>
      <c r="I86" t="s">
        <v>168</v>
      </c>
      <c r="J86" s="2">
        <v>0.7597222222222223</v>
      </c>
      <c r="M86" s="2">
        <f t="shared" si="1"/>
        <v>0.47916666666666674</v>
      </c>
    </row>
    <row r="87" spans="1:13" x14ac:dyDescent="0.3">
      <c r="A87" t="s">
        <v>313</v>
      </c>
      <c r="B87" t="s">
        <v>314</v>
      </c>
      <c r="C87" t="s">
        <v>315</v>
      </c>
      <c r="D87" t="s">
        <v>17</v>
      </c>
      <c r="E87">
        <v>50</v>
      </c>
      <c r="F87" s="1">
        <v>45489</v>
      </c>
      <c r="G87" s="2">
        <v>0.29305555555555557</v>
      </c>
      <c r="H87" t="s">
        <v>168</v>
      </c>
      <c r="I87" t="s">
        <v>168</v>
      </c>
      <c r="J87" s="2">
        <v>0.75277777777777777</v>
      </c>
      <c r="M87" s="2">
        <f t="shared" si="1"/>
        <v>0.4597222222222222</v>
      </c>
    </row>
    <row r="88" spans="1:13" x14ac:dyDescent="0.3">
      <c r="A88" s="3" t="s">
        <v>316</v>
      </c>
      <c r="B88" t="s">
        <v>317</v>
      </c>
      <c r="C88" t="s">
        <v>318</v>
      </c>
      <c r="D88" t="s">
        <v>17</v>
      </c>
      <c r="E88">
        <v>49</v>
      </c>
      <c r="F88" s="1">
        <v>45488</v>
      </c>
      <c r="G88" s="2">
        <v>0.375</v>
      </c>
      <c r="H88" t="s">
        <v>144</v>
      </c>
      <c r="I88" t="s">
        <v>144</v>
      </c>
      <c r="J88" s="2">
        <v>0.6958333333333333</v>
      </c>
      <c r="M88" s="2">
        <f t="shared" si="1"/>
        <v>0.3208333333333333</v>
      </c>
    </row>
    <row r="89" spans="1:13" x14ac:dyDescent="0.3">
      <c r="A89" t="s">
        <v>319</v>
      </c>
      <c r="B89" t="s">
        <v>320</v>
      </c>
      <c r="C89" t="s">
        <v>321</v>
      </c>
      <c r="D89" t="s">
        <v>17</v>
      </c>
      <c r="E89">
        <v>48</v>
      </c>
      <c r="F89" s="1">
        <v>45487</v>
      </c>
      <c r="G89" s="2">
        <v>0.375</v>
      </c>
      <c r="H89" t="s">
        <v>94</v>
      </c>
      <c r="I89" t="s">
        <v>94</v>
      </c>
      <c r="J89" s="2">
        <v>0.5625</v>
      </c>
      <c r="M89" s="2">
        <f t="shared" si="1"/>
        <v>0.1875</v>
      </c>
    </row>
    <row r="90" spans="1:13" x14ac:dyDescent="0.3">
      <c r="A90" t="s">
        <v>322</v>
      </c>
      <c r="B90" t="s">
        <v>323</v>
      </c>
      <c r="C90" t="s">
        <v>324</v>
      </c>
      <c r="D90" t="s">
        <v>17</v>
      </c>
      <c r="E90">
        <v>47</v>
      </c>
      <c r="F90" s="1">
        <v>45486</v>
      </c>
      <c r="G90" s="2">
        <v>0.29097222222222224</v>
      </c>
      <c r="H90" t="s">
        <v>168</v>
      </c>
      <c r="I90" t="s">
        <v>168</v>
      </c>
      <c r="J90" s="2">
        <v>0.75</v>
      </c>
      <c r="M90" s="2">
        <f t="shared" si="1"/>
        <v>0.45902777777777776</v>
      </c>
    </row>
    <row r="91" spans="1:13" x14ac:dyDescent="0.3">
      <c r="A91" t="s">
        <v>325</v>
      </c>
      <c r="B91" t="s">
        <v>326</v>
      </c>
      <c r="C91" t="s">
        <v>327</v>
      </c>
      <c r="D91" t="s">
        <v>17</v>
      </c>
      <c r="E91">
        <v>46</v>
      </c>
      <c r="F91" s="1">
        <v>45485</v>
      </c>
      <c r="G91" s="2">
        <v>0.3125</v>
      </c>
      <c r="H91" t="s">
        <v>168</v>
      </c>
      <c r="I91" t="s">
        <v>168</v>
      </c>
      <c r="J91" s="2">
        <v>0.74375000000000002</v>
      </c>
      <c r="M91" s="2">
        <f t="shared" si="1"/>
        <v>0.43125000000000002</v>
      </c>
    </row>
    <row r="92" spans="1:13" x14ac:dyDescent="0.3">
      <c r="A92" t="s">
        <v>328</v>
      </c>
      <c r="B92" t="s">
        <v>329</v>
      </c>
      <c r="C92" t="s">
        <v>330</v>
      </c>
      <c r="D92" t="s">
        <v>17</v>
      </c>
      <c r="E92">
        <v>45</v>
      </c>
      <c r="F92" s="1">
        <v>45484</v>
      </c>
      <c r="G92" s="2">
        <v>0.28402777777777777</v>
      </c>
      <c r="H92" t="s">
        <v>168</v>
      </c>
      <c r="I92" t="s">
        <v>168</v>
      </c>
      <c r="J92" s="2">
        <v>0.72916666666666663</v>
      </c>
      <c r="M92" s="2">
        <f t="shared" si="1"/>
        <v>0.44513888888888886</v>
      </c>
    </row>
    <row r="93" spans="1:13" x14ac:dyDescent="0.3">
      <c r="A93" t="s">
        <v>331</v>
      </c>
      <c r="B93" t="s">
        <v>332</v>
      </c>
      <c r="C93" t="s">
        <v>333</v>
      </c>
      <c r="D93" t="s">
        <v>17</v>
      </c>
      <c r="E93">
        <v>44</v>
      </c>
      <c r="F93" s="1">
        <v>45483</v>
      </c>
      <c r="G93" s="2">
        <v>0.29166666666666669</v>
      </c>
      <c r="H93" t="s">
        <v>168</v>
      </c>
      <c r="I93" t="s">
        <v>168</v>
      </c>
      <c r="J93" s="2">
        <v>0.75</v>
      </c>
      <c r="M93" s="2">
        <f t="shared" si="1"/>
        <v>0.45833333333333331</v>
      </c>
    </row>
    <row r="94" spans="1:13" x14ac:dyDescent="0.3">
      <c r="A94" t="s">
        <v>334</v>
      </c>
      <c r="B94" t="s">
        <v>335</v>
      </c>
      <c r="C94" t="s">
        <v>336</v>
      </c>
      <c r="D94" t="s">
        <v>17</v>
      </c>
      <c r="E94">
        <v>43</v>
      </c>
      <c r="F94" s="1">
        <v>45482</v>
      </c>
      <c r="G94" s="2">
        <v>0.33333333333333331</v>
      </c>
      <c r="H94" t="s">
        <v>282</v>
      </c>
      <c r="I94" t="s">
        <v>282</v>
      </c>
      <c r="J94" s="2">
        <v>0.76041666666666663</v>
      </c>
      <c r="M94" s="2">
        <f t="shared" si="1"/>
        <v>0.42708333333333331</v>
      </c>
    </row>
    <row r="96" spans="1:13" x14ac:dyDescent="0.3">
      <c r="A96" t="s">
        <v>7980</v>
      </c>
    </row>
    <row r="97" spans="1:1" x14ac:dyDescent="0.3">
      <c r="A97" t="s">
        <v>7981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topLeftCell="B43" zoomScale="92" workbookViewId="0">
      <selection activeCell="J25" sqref="J25"/>
    </sheetView>
  </sheetViews>
  <sheetFormatPr baseColWidth="10" defaultRowHeight="14.4" x14ac:dyDescent="0.3"/>
  <cols>
    <col min="3" max="3" width="41.33203125" customWidth="1"/>
    <col min="11" max="11" width="18" customWidth="1"/>
    <col min="14" max="14" width="34.21875" customWidth="1"/>
    <col min="16" max="16" width="23.109375" customWidth="1"/>
    <col min="17" max="17" width="32.21875" customWidth="1"/>
    <col min="28" max="28" width="25.109375" customWidth="1"/>
    <col min="29" max="29" width="28.6640625" customWidth="1"/>
    <col min="31" max="31" width="21.77734375" customWidth="1"/>
    <col min="32" max="32" width="29.109375" customWidth="1"/>
  </cols>
  <sheetData>
    <row r="1" spans="1:32" x14ac:dyDescent="0.3">
      <c r="A1" t="s">
        <v>0</v>
      </c>
      <c r="B1" t="s">
        <v>337</v>
      </c>
      <c r="C1" t="s">
        <v>1</v>
      </c>
      <c r="D1" t="s">
        <v>4</v>
      </c>
      <c r="E1" t="s">
        <v>338</v>
      </c>
      <c r="F1" t="s">
        <v>339</v>
      </c>
      <c r="G1" t="s">
        <v>340</v>
      </c>
      <c r="H1" t="s">
        <v>341</v>
      </c>
      <c r="I1" t="s">
        <v>342</v>
      </c>
      <c r="J1" t="s">
        <v>343</v>
      </c>
      <c r="K1" t="s">
        <v>344</v>
      </c>
      <c r="L1" t="s">
        <v>345</v>
      </c>
      <c r="M1" t="s">
        <v>346</v>
      </c>
      <c r="N1" t="s">
        <v>347</v>
      </c>
      <c r="O1" t="s">
        <v>348</v>
      </c>
      <c r="P1" t="s">
        <v>349</v>
      </c>
      <c r="Q1" t="s">
        <v>350</v>
      </c>
      <c r="R1" t="s">
        <v>351</v>
      </c>
      <c r="S1" t="s">
        <v>352</v>
      </c>
      <c r="T1" t="s">
        <v>353</v>
      </c>
      <c r="U1" t="s">
        <v>354</v>
      </c>
      <c r="V1" t="s">
        <v>355</v>
      </c>
      <c r="W1" t="s">
        <v>356</v>
      </c>
      <c r="X1" t="s">
        <v>357</v>
      </c>
      <c r="Y1" t="s">
        <v>358</v>
      </c>
      <c r="Z1" t="s">
        <v>359</v>
      </c>
      <c r="AA1" t="s">
        <v>360</v>
      </c>
      <c r="AE1" t="s">
        <v>7948</v>
      </c>
      <c r="AF1" t="s">
        <v>7944</v>
      </c>
    </row>
    <row r="2" spans="1:32" x14ac:dyDescent="0.3">
      <c r="A2" t="s">
        <v>361</v>
      </c>
      <c r="B2" t="s">
        <v>13</v>
      </c>
      <c r="C2" t="s">
        <v>362</v>
      </c>
      <c r="D2" t="s">
        <v>363</v>
      </c>
      <c r="E2" s="2">
        <v>0.4201388888888889</v>
      </c>
      <c r="F2">
        <v>1</v>
      </c>
      <c r="G2" t="s">
        <v>364</v>
      </c>
      <c r="I2" t="s">
        <v>365</v>
      </c>
      <c r="J2">
        <v>3529</v>
      </c>
      <c r="K2" t="s">
        <v>366</v>
      </c>
      <c r="L2" t="s">
        <v>367</v>
      </c>
      <c r="M2" s="2">
        <v>0.60416666666666663</v>
      </c>
      <c r="O2">
        <v>2</v>
      </c>
      <c r="P2">
        <v>3</v>
      </c>
      <c r="Q2">
        <v>3</v>
      </c>
      <c r="S2">
        <v>1</v>
      </c>
      <c r="T2">
        <v>1</v>
      </c>
      <c r="X2">
        <v>1</v>
      </c>
      <c r="AA2">
        <v>3</v>
      </c>
      <c r="AE2" s="14">
        <v>45575</v>
      </c>
      <c r="AF2" s="15">
        <f t="shared" ref="AF2:AF24" si="0">MOD(M2-E2,1)</f>
        <v>0.18402777777777773</v>
      </c>
    </row>
    <row r="3" spans="1:32" x14ac:dyDescent="0.3">
      <c r="A3" t="s">
        <v>368</v>
      </c>
      <c r="B3" s="3" t="s">
        <v>19</v>
      </c>
      <c r="C3" t="s">
        <v>369</v>
      </c>
      <c r="D3" t="s">
        <v>363</v>
      </c>
      <c r="E3" s="2">
        <v>0.30972222222222223</v>
      </c>
      <c r="F3">
        <v>1</v>
      </c>
      <c r="G3" t="s">
        <v>364</v>
      </c>
      <c r="I3" t="s">
        <v>365</v>
      </c>
      <c r="J3">
        <v>3510</v>
      </c>
      <c r="K3" t="s">
        <v>370</v>
      </c>
      <c r="L3" t="s">
        <v>367</v>
      </c>
      <c r="M3" s="2">
        <v>0.71250000000000002</v>
      </c>
      <c r="O3">
        <v>2</v>
      </c>
      <c r="P3">
        <v>3</v>
      </c>
      <c r="Q3">
        <v>3</v>
      </c>
      <c r="S3">
        <v>1</v>
      </c>
      <c r="T3">
        <v>1</v>
      </c>
      <c r="X3">
        <v>1</v>
      </c>
      <c r="AA3">
        <v>3</v>
      </c>
      <c r="AE3" s="14">
        <v>45574</v>
      </c>
      <c r="AF3" s="15">
        <f t="shared" si="0"/>
        <v>0.40277777777777779</v>
      </c>
    </row>
    <row r="4" spans="1:32" x14ac:dyDescent="0.3">
      <c r="A4" t="s">
        <v>371</v>
      </c>
      <c r="B4" t="s">
        <v>23</v>
      </c>
      <c r="C4" t="s">
        <v>372</v>
      </c>
      <c r="D4" t="s">
        <v>363</v>
      </c>
      <c r="E4" s="2">
        <v>0.30694444444444441</v>
      </c>
      <c r="F4">
        <v>1</v>
      </c>
      <c r="G4" t="s">
        <v>364</v>
      </c>
      <c r="I4" t="s">
        <v>365</v>
      </c>
      <c r="J4">
        <v>3482</v>
      </c>
      <c r="K4" t="s">
        <v>366</v>
      </c>
      <c r="L4" t="s">
        <v>367</v>
      </c>
      <c r="M4" s="2">
        <v>0.72986111111111107</v>
      </c>
      <c r="O4">
        <v>2</v>
      </c>
      <c r="P4">
        <v>3</v>
      </c>
      <c r="Q4">
        <v>3</v>
      </c>
      <c r="S4">
        <v>1</v>
      </c>
      <c r="T4">
        <v>1</v>
      </c>
      <c r="X4">
        <v>1</v>
      </c>
      <c r="AA4">
        <v>3</v>
      </c>
      <c r="AE4" s="14">
        <v>45573</v>
      </c>
      <c r="AF4" s="15">
        <f t="shared" si="0"/>
        <v>0.42291666666666666</v>
      </c>
    </row>
    <row r="5" spans="1:32" x14ac:dyDescent="0.3">
      <c r="A5" t="s">
        <v>373</v>
      </c>
      <c r="B5" t="s">
        <v>26</v>
      </c>
      <c r="C5" t="s">
        <v>374</v>
      </c>
      <c r="D5" t="s">
        <v>363</v>
      </c>
      <c r="E5" s="2">
        <v>0.40277777777777773</v>
      </c>
      <c r="F5">
        <v>1</v>
      </c>
      <c r="G5" t="s">
        <v>364</v>
      </c>
      <c r="I5" t="s">
        <v>365</v>
      </c>
      <c r="J5">
        <v>3457</v>
      </c>
      <c r="K5" t="s">
        <v>375</v>
      </c>
      <c r="L5" t="s">
        <v>367</v>
      </c>
      <c r="M5" s="2">
        <v>0.68125000000000002</v>
      </c>
      <c r="O5">
        <v>2</v>
      </c>
      <c r="P5">
        <v>4</v>
      </c>
      <c r="Q5">
        <v>3</v>
      </c>
      <c r="T5">
        <v>1</v>
      </c>
      <c r="X5">
        <v>1</v>
      </c>
      <c r="AA5">
        <v>3</v>
      </c>
      <c r="AE5" s="14">
        <v>45572</v>
      </c>
      <c r="AF5" s="15">
        <f t="shared" si="0"/>
        <v>0.27847222222222229</v>
      </c>
    </row>
    <row r="6" spans="1:32" x14ac:dyDescent="0.3">
      <c r="A6" t="s">
        <v>376</v>
      </c>
      <c r="B6" t="s">
        <v>64</v>
      </c>
      <c r="C6" t="s">
        <v>377</v>
      </c>
      <c r="D6" t="s">
        <v>363</v>
      </c>
      <c r="E6" s="2">
        <v>0.3263888888888889</v>
      </c>
      <c r="F6">
        <v>1</v>
      </c>
      <c r="G6" t="s">
        <v>364</v>
      </c>
      <c r="I6" t="s">
        <v>365</v>
      </c>
      <c r="J6">
        <v>3455</v>
      </c>
      <c r="K6" t="s">
        <v>366</v>
      </c>
      <c r="L6" t="s">
        <v>367</v>
      </c>
      <c r="M6" s="2">
        <v>0.54166666666666663</v>
      </c>
      <c r="N6" t="s">
        <v>378</v>
      </c>
      <c r="O6">
        <v>2</v>
      </c>
      <c r="P6">
        <v>4</v>
      </c>
      <c r="Q6">
        <v>3</v>
      </c>
      <c r="T6">
        <v>1</v>
      </c>
      <c r="X6">
        <v>1</v>
      </c>
      <c r="AA6">
        <v>3</v>
      </c>
      <c r="AE6" s="14">
        <v>45563</v>
      </c>
      <c r="AF6" s="15">
        <f t="shared" si="0"/>
        <v>0.21527777777777773</v>
      </c>
    </row>
    <row r="7" spans="1:32" x14ac:dyDescent="0.3">
      <c r="A7" t="s">
        <v>379</v>
      </c>
      <c r="B7" t="s">
        <v>67</v>
      </c>
      <c r="C7" t="s">
        <v>380</v>
      </c>
      <c r="D7" t="s">
        <v>363</v>
      </c>
      <c r="E7" s="2">
        <v>0.59791666666666665</v>
      </c>
      <c r="F7">
        <v>1</v>
      </c>
      <c r="G7" t="s">
        <v>364</v>
      </c>
      <c r="I7" t="s">
        <v>365</v>
      </c>
      <c r="J7">
        <v>3454</v>
      </c>
      <c r="K7" t="s">
        <v>366</v>
      </c>
      <c r="L7" t="s">
        <v>367</v>
      </c>
      <c r="M7" s="2">
        <v>0.69444444444444453</v>
      </c>
      <c r="N7" t="s">
        <v>381</v>
      </c>
      <c r="O7">
        <v>2</v>
      </c>
      <c r="P7">
        <v>4</v>
      </c>
      <c r="Q7">
        <v>3</v>
      </c>
      <c r="T7">
        <v>1</v>
      </c>
      <c r="X7">
        <v>1</v>
      </c>
      <c r="AA7">
        <v>3</v>
      </c>
      <c r="AE7" s="14">
        <v>45562</v>
      </c>
      <c r="AF7" s="15">
        <f t="shared" si="0"/>
        <v>9.6527777777777879E-2</v>
      </c>
    </row>
    <row r="8" spans="1:32" x14ac:dyDescent="0.3">
      <c r="A8" t="s">
        <v>382</v>
      </c>
      <c r="B8" t="s">
        <v>70</v>
      </c>
      <c r="C8" t="s">
        <v>383</v>
      </c>
      <c r="D8" t="s">
        <v>363</v>
      </c>
      <c r="E8" s="2">
        <v>0.32500000000000001</v>
      </c>
      <c r="F8">
        <v>1</v>
      </c>
      <c r="G8" t="s">
        <v>364</v>
      </c>
      <c r="I8" t="s">
        <v>365</v>
      </c>
      <c r="J8">
        <v>3438</v>
      </c>
      <c r="K8" t="s">
        <v>375</v>
      </c>
      <c r="L8" t="s">
        <v>367</v>
      </c>
      <c r="M8" s="2">
        <v>0.68333333333333324</v>
      </c>
      <c r="N8" t="s">
        <v>384</v>
      </c>
      <c r="O8">
        <v>2</v>
      </c>
      <c r="P8">
        <v>3</v>
      </c>
      <c r="Q8">
        <v>3</v>
      </c>
      <c r="T8">
        <v>1</v>
      </c>
      <c r="X8">
        <v>1</v>
      </c>
      <c r="AA8">
        <v>3</v>
      </c>
      <c r="AE8" s="14">
        <v>45561</v>
      </c>
      <c r="AF8" s="15">
        <f t="shared" si="0"/>
        <v>0.35833333333333323</v>
      </c>
    </row>
    <row r="9" spans="1:32" x14ac:dyDescent="0.3">
      <c r="A9" t="s">
        <v>385</v>
      </c>
      <c r="B9" t="s">
        <v>75</v>
      </c>
      <c r="C9" t="s">
        <v>386</v>
      </c>
      <c r="D9" t="s">
        <v>363</v>
      </c>
      <c r="E9" s="2">
        <v>0.34097222222222223</v>
      </c>
      <c r="F9">
        <v>1</v>
      </c>
      <c r="G9" t="s">
        <v>364</v>
      </c>
      <c r="I9" t="s">
        <v>365</v>
      </c>
      <c r="J9">
        <v>3427</v>
      </c>
      <c r="K9" t="s">
        <v>366</v>
      </c>
      <c r="L9" t="s">
        <v>367</v>
      </c>
      <c r="M9" s="2">
        <v>0.6875</v>
      </c>
      <c r="N9" t="s">
        <v>387</v>
      </c>
      <c r="O9">
        <v>3</v>
      </c>
      <c r="P9">
        <v>5</v>
      </c>
      <c r="Q9">
        <v>3</v>
      </c>
      <c r="T9">
        <v>1</v>
      </c>
      <c r="X9">
        <v>2</v>
      </c>
      <c r="AA9">
        <v>3</v>
      </c>
      <c r="AE9" s="14">
        <v>45560</v>
      </c>
      <c r="AF9" s="15">
        <f t="shared" si="0"/>
        <v>0.34652777777777777</v>
      </c>
    </row>
    <row r="10" spans="1:32" x14ac:dyDescent="0.3">
      <c r="A10" t="s">
        <v>388</v>
      </c>
      <c r="B10" t="s">
        <v>79</v>
      </c>
      <c r="C10" t="s">
        <v>389</v>
      </c>
      <c r="D10" t="s">
        <v>363</v>
      </c>
      <c r="E10" s="2">
        <v>0.30694444444444441</v>
      </c>
      <c r="F10">
        <v>1</v>
      </c>
      <c r="G10" t="s">
        <v>364</v>
      </c>
      <c r="I10" t="s">
        <v>365</v>
      </c>
      <c r="J10">
        <v>3414</v>
      </c>
      <c r="K10" t="s">
        <v>370</v>
      </c>
      <c r="L10" t="s">
        <v>367</v>
      </c>
      <c r="M10" s="2">
        <v>0.6875</v>
      </c>
      <c r="N10" t="s">
        <v>390</v>
      </c>
      <c r="O10">
        <v>3</v>
      </c>
      <c r="P10">
        <v>5</v>
      </c>
      <c r="Q10">
        <v>2</v>
      </c>
      <c r="X10">
        <v>1</v>
      </c>
      <c r="AA10">
        <v>3</v>
      </c>
      <c r="AE10" s="14">
        <v>45559</v>
      </c>
      <c r="AF10" s="15">
        <f t="shared" si="0"/>
        <v>0.38055555555555559</v>
      </c>
    </row>
    <row r="11" spans="1:32" x14ac:dyDescent="0.3">
      <c r="A11" t="s">
        <v>391</v>
      </c>
      <c r="B11" t="s">
        <v>83</v>
      </c>
      <c r="C11" t="s">
        <v>392</v>
      </c>
      <c r="D11" t="s">
        <v>363</v>
      </c>
      <c r="E11" s="2">
        <v>0.31458333333333333</v>
      </c>
      <c r="F11">
        <v>1</v>
      </c>
      <c r="G11" t="s">
        <v>364</v>
      </c>
      <c r="I11" t="s">
        <v>365</v>
      </c>
      <c r="J11">
        <v>3413</v>
      </c>
      <c r="K11" t="s">
        <v>370</v>
      </c>
      <c r="L11" t="s">
        <v>367</v>
      </c>
      <c r="M11" s="2">
        <v>0.52430555555555558</v>
      </c>
      <c r="O11">
        <v>3</v>
      </c>
      <c r="P11">
        <v>6</v>
      </c>
      <c r="Q11">
        <v>2</v>
      </c>
      <c r="X11">
        <v>1</v>
      </c>
      <c r="AA11">
        <v>2</v>
      </c>
      <c r="AE11" s="14">
        <v>45558</v>
      </c>
      <c r="AF11" s="15">
        <f t="shared" si="0"/>
        <v>0.20972222222222225</v>
      </c>
    </row>
    <row r="12" spans="1:32" x14ac:dyDescent="0.3">
      <c r="A12" t="s">
        <v>393</v>
      </c>
      <c r="B12" t="s">
        <v>99</v>
      </c>
      <c r="C12" t="s">
        <v>394</v>
      </c>
      <c r="D12" t="s">
        <v>363</v>
      </c>
      <c r="E12" s="2">
        <v>0.37361111111111112</v>
      </c>
      <c r="F12">
        <v>1</v>
      </c>
      <c r="G12" t="s">
        <v>364</v>
      </c>
      <c r="I12" t="s">
        <v>365</v>
      </c>
      <c r="J12">
        <v>3409</v>
      </c>
      <c r="K12" t="s">
        <v>370</v>
      </c>
      <c r="L12" t="s">
        <v>367</v>
      </c>
      <c r="M12" s="2">
        <v>0.69097222222222221</v>
      </c>
      <c r="O12">
        <v>4</v>
      </c>
      <c r="P12">
        <v>6</v>
      </c>
      <c r="Q12">
        <v>2</v>
      </c>
      <c r="T12">
        <v>1</v>
      </c>
      <c r="X12">
        <v>2</v>
      </c>
      <c r="AA12">
        <v>2</v>
      </c>
      <c r="AE12" s="14">
        <v>45556</v>
      </c>
      <c r="AF12" s="15">
        <f t="shared" si="0"/>
        <v>0.31736111111111109</v>
      </c>
    </row>
    <row r="13" spans="1:32" x14ac:dyDescent="0.3">
      <c r="A13" t="s">
        <v>395</v>
      </c>
      <c r="B13" t="s">
        <v>102</v>
      </c>
      <c r="C13" t="s">
        <v>396</v>
      </c>
      <c r="D13" t="s">
        <v>363</v>
      </c>
      <c r="E13" s="2">
        <v>0.30902777777777779</v>
      </c>
      <c r="F13">
        <v>1</v>
      </c>
      <c r="G13" t="s">
        <v>364</v>
      </c>
      <c r="I13" t="s">
        <v>365</v>
      </c>
      <c r="J13">
        <v>3401</v>
      </c>
      <c r="K13" t="s">
        <v>366</v>
      </c>
      <c r="L13" t="s">
        <v>367</v>
      </c>
      <c r="M13" s="2">
        <v>0.69652777777777775</v>
      </c>
      <c r="O13">
        <v>4</v>
      </c>
      <c r="P13">
        <v>6</v>
      </c>
      <c r="Q13">
        <v>2</v>
      </c>
      <c r="T13">
        <v>1</v>
      </c>
      <c r="X13">
        <v>2</v>
      </c>
      <c r="AA13">
        <v>2</v>
      </c>
      <c r="AE13" s="14">
        <v>45553</v>
      </c>
      <c r="AF13" s="15">
        <f t="shared" si="0"/>
        <v>0.38749999999999996</v>
      </c>
    </row>
    <row r="14" spans="1:32" x14ac:dyDescent="0.3">
      <c r="A14" t="s">
        <v>397</v>
      </c>
      <c r="B14" t="s">
        <v>105</v>
      </c>
      <c r="C14" t="s">
        <v>398</v>
      </c>
      <c r="D14" t="s">
        <v>363</v>
      </c>
      <c r="E14" s="2">
        <v>0.49513888888888885</v>
      </c>
      <c r="F14">
        <v>1</v>
      </c>
      <c r="G14" t="s">
        <v>364</v>
      </c>
      <c r="I14" t="s">
        <v>365</v>
      </c>
      <c r="J14">
        <v>3399</v>
      </c>
      <c r="K14" t="s">
        <v>370</v>
      </c>
      <c r="L14" t="s">
        <v>367</v>
      </c>
      <c r="M14" s="2">
        <v>0.65972222222222221</v>
      </c>
      <c r="O14">
        <v>2</v>
      </c>
      <c r="P14">
        <v>6</v>
      </c>
      <c r="Q14">
        <v>1</v>
      </c>
      <c r="X14">
        <v>2</v>
      </c>
      <c r="AA14">
        <v>1</v>
      </c>
      <c r="AE14" s="14">
        <v>45552</v>
      </c>
      <c r="AF14" s="15">
        <f t="shared" si="0"/>
        <v>0.16458333333333336</v>
      </c>
    </row>
    <row r="15" spans="1:32" x14ac:dyDescent="0.3">
      <c r="A15" t="s">
        <v>399</v>
      </c>
      <c r="B15" t="s">
        <v>108</v>
      </c>
      <c r="C15" t="s">
        <v>400</v>
      </c>
      <c r="D15" t="s">
        <v>363</v>
      </c>
      <c r="E15" s="2">
        <v>0.40902777777777777</v>
      </c>
      <c r="F15">
        <v>1</v>
      </c>
      <c r="G15" t="s">
        <v>364</v>
      </c>
      <c r="I15" t="s">
        <v>365</v>
      </c>
      <c r="J15">
        <v>3394</v>
      </c>
      <c r="K15" t="s">
        <v>370</v>
      </c>
      <c r="L15" t="s">
        <v>367</v>
      </c>
      <c r="M15" s="2">
        <v>0.68055555555555547</v>
      </c>
      <c r="O15">
        <v>4</v>
      </c>
      <c r="P15">
        <v>6</v>
      </c>
      <c r="Q15">
        <v>2</v>
      </c>
      <c r="X15">
        <v>2</v>
      </c>
      <c r="AA15">
        <v>2</v>
      </c>
      <c r="AE15" s="14">
        <v>45551</v>
      </c>
      <c r="AF15" s="15">
        <f t="shared" si="0"/>
        <v>0.2715277777777777</v>
      </c>
    </row>
    <row r="16" spans="1:32" x14ac:dyDescent="0.3">
      <c r="A16" t="s">
        <v>401</v>
      </c>
      <c r="B16" t="s">
        <v>122</v>
      </c>
      <c r="C16" t="s">
        <v>402</v>
      </c>
      <c r="D16" t="s">
        <v>363</v>
      </c>
      <c r="E16" s="2">
        <v>0.30555555555555552</v>
      </c>
      <c r="F16">
        <v>1</v>
      </c>
      <c r="G16" t="s">
        <v>364</v>
      </c>
      <c r="I16" t="s">
        <v>365</v>
      </c>
      <c r="J16">
        <v>3379</v>
      </c>
      <c r="K16" t="s">
        <v>403</v>
      </c>
      <c r="L16" t="s">
        <v>367</v>
      </c>
      <c r="M16" s="2">
        <v>0.70833333333333337</v>
      </c>
      <c r="O16">
        <v>3</v>
      </c>
      <c r="P16">
        <v>7</v>
      </c>
      <c r="Q16">
        <v>3</v>
      </c>
      <c r="X16">
        <v>2</v>
      </c>
      <c r="AA16">
        <v>3</v>
      </c>
      <c r="AE16" s="14">
        <v>45547</v>
      </c>
      <c r="AF16" s="15">
        <f t="shared" si="0"/>
        <v>0.40277777777777785</v>
      </c>
    </row>
    <row r="17" spans="1:32" x14ac:dyDescent="0.3">
      <c r="A17" t="s">
        <v>404</v>
      </c>
      <c r="B17" t="s">
        <v>127</v>
      </c>
      <c r="C17" t="s">
        <v>405</v>
      </c>
      <c r="D17" t="s">
        <v>363</v>
      </c>
      <c r="E17" s="2">
        <v>0.30972222222222223</v>
      </c>
      <c r="F17">
        <v>1</v>
      </c>
      <c r="G17" t="s">
        <v>364</v>
      </c>
      <c r="I17" t="s">
        <v>365</v>
      </c>
      <c r="J17">
        <v>3356</v>
      </c>
      <c r="K17" t="s">
        <v>375</v>
      </c>
      <c r="L17" t="s">
        <v>367</v>
      </c>
      <c r="M17" s="2">
        <v>0.7104166666666667</v>
      </c>
      <c r="O17">
        <v>4</v>
      </c>
      <c r="P17">
        <v>6</v>
      </c>
      <c r="Q17">
        <v>3</v>
      </c>
      <c r="X17">
        <v>3</v>
      </c>
      <c r="AA17">
        <v>3</v>
      </c>
      <c r="AE17" s="14">
        <v>45546</v>
      </c>
      <c r="AF17" s="15">
        <f t="shared" si="0"/>
        <v>0.40069444444444446</v>
      </c>
    </row>
    <row r="18" spans="1:32" x14ac:dyDescent="0.3">
      <c r="A18" t="s">
        <v>406</v>
      </c>
      <c r="B18" t="s">
        <v>130</v>
      </c>
      <c r="C18" t="s">
        <v>407</v>
      </c>
      <c r="D18" t="s">
        <v>363</v>
      </c>
      <c r="E18" s="2">
        <v>0.29583333333333334</v>
      </c>
      <c r="F18">
        <v>1</v>
      </c>
      <c r="G18" t="s">
        <v>364</v>
      </c>
      <c r="I18" t="s">
        <v>365</v>
      </c>
      <c r="J18">
        <v>3328</v>
      </c>
      <c r="K18" t="s">
        <v>370</v>
      </c>
      <c r="L18" t="s">
        <v>367</v>
      </c>
      <c r="M18" s="2">
        <v>0.7284722222222223</v>
      </c>
      <c r="O18">
        <v>4</v>
      </c>
      <c r="P18">
        <v>7</v>
      </c>
      <c r="Q18">
        <v>2</v>
      </c>
      <c r="X18">
        <v>3</v>
      </c>
      <c r="AA18">
        <v>3</v>
      </c>
      <c r="AE18" s="14">
        <v>45545</v>
      </c>
      <c r="AF18" s="15">
        <f t="shared" si="0"/>
        <v>0.43263888888888896</v>
      </c>
    </row>
    <row r="19" spans="1:32" x14ac:dyDescent="0.3">
      <c r="A19" t="s">
        <v>408</v>
      </c>
      <c r="B19" t="s">
        <v>133</v>
      </c>
      <c r="C19" t="s">
        <v>409</v>
      </c>
      <c r="D19" t="s">
        <v>363</v>
      </c>
      <c r="E19" s="2">
        <v>0.3263888888888889</v>
      </c>
      <c r="F19">
        <v>1</v>
      </c>
      <c r="G19" t="s">
        <v>364</v>
      </c>
      <c r="I19" t="s">
        <v>365</v>
      </c>
      <c r="J19">
        <v>3314</v>
      </c>
      <c r="K19" t="s">
        <v>403</v>
      </c>
      <c r="L19" t="s">
        <v>367</v>
      </c>
      <c r="M19" s="2">
        <v>0.7104166666666667</v>
      </c>
      <c r="O19">
        <v>4</v>
      </c>
      <c r="P19">
        <v>7</v>
      </c>
      <c r="Q19">
        <v>3</v>
      </c>
      <c r="X19">
        <v>3</v>
      </c>
      <c r="AA19">
        <v>3</v>
      </c>
      <c r="AE19" s="14">
        <v>45544</v>
      </c>
      <c r="AF19" s="15">
        <f t="shared" si="0"/>
        <v>0.3840277777777778</v>
      </c>
    </row>
    <row r="20" spans="1:32" x14ac:dyDescent="0.3">
      <c r="A20" t="s">
        <v>410</v>
      </c>
      <c r="B20" t="s">
        <v>145</v>
      </c>
      <c r="C20" t="s">
        <v>411</v>
      </c>
      <c r="D20" t="s">
        <v>363</v>
      </c>
      <c r="E20" s="2">
        <v>0.29930555555555555</v>
      </c>
      <c r="F20">
        <v>1</v>
      </c>
      <c r="G20" t="s">
        <v>364</v>
      </c>
      <c r="I20" t="s">
        <v>365</v>
      </c>
      <c r="J20">
        <v>3299</v>
      </c>
      <c r="K20" t="s">
        <v>366</v>
      </c>
      <c r="L20" t="s">
        <v>367</v>
      </c>
      <c r="M20" s="2">
        <v>0.71250000000000002</v>
      </c>
      <c r="N20" t="s">
        <v>412</v>
      </c>
      <c r="O20">
        <v>4</v>
      </c>
      <c r="P20">
        <v>5</v>
      </c>
      <c r="Q20">
        <v>2</v>
      </c>
      <c r="X20">
        <v>3</v>
      </c>
      <c r="AA20">
        <v>2</v>
      </c>
      <c r="AE20" s="14">
        <v>45541</v>
      </c>
      <c r="AF20" s="15">
        <f t="shared" si="0"/>
        <v>0.41319444444444448</v>
      </c>
    </row>
    <row r="21" spans="1:32" x14ac:dyDescent="0.3">
      <c r="A21" t="s">
        <v>413</v>
      </c>
      <c r="B21" t="s">
        <v>149</v>
      </c>
      <c r="C21" t="s">
        <v>414</v>
      </c>
      <c r="D21" t="s">
        <v>415</v>
      </c>
      <c r="E21" s="2">
        <v>0.39861111111111108</v>
      </c>
      <c r="F21">
        <v>3</v>
      </c>
      <c r="G21" t="s">
        <v>364</v>
      </c>
      <c r="I21" t="s">
        <v>365</v>
      </c>
      <c r="J21">
        <v>3288</v>
      </c>
      <c r="K21" t="s">
        <v>366</v>
      </c>
      <c r="L21" t="s">
        <v>367</v>
      </c>
      <c r="M21" s="2">
        <v>0.70833333333333337</v>
      </c>
      <c r="O21">
        <v>3</v>
      </c>
      <c r="P21">
        <v>4</v>
      </c>
      <c r="Q21">
        <v>2</v>
      </c>
      <c r="X21">
        <v>4</v>
      </c>
      <c r="AA21">
        <v>2</v>
      </c>
      <c r="AE21" s="14">
        <v>45540</v>
      </c>
      <c r="AF21" s="15">
        <f t="shared" si="0"/>
        <v>0.30972222222222229</v>
      </c>
    </row>
    <row r="22" spans="1:32" x14ac:dyDescent="0.3">
      <c r="A22" t="s">
        <v>416</v>
      </c>
      <c r="B22" t="s">
        <v>149</v>
      </c>
      <c r="C22" t="s">
        <v>417</v>
      </c>
      <c r="D22" t="s">
        <v>363</v>
      </c>
      <c r="E22" s="2">
        <v>0.31666666666666665</v>
      </c>
      <c r="F22">
        <v>1</v>
      </c>
      <c r="G22" t="s">
        <v>364</v>
      </c>
      <c r="I22" t="s">
        <v>365</v>
      </c>
      <c r="K22" t="s">
        <v>370</v>
      </c>
      <c r="L22" t="s">
        <v>367</v>
      </c>
      <c r="M22" s="2">
        <v>0.70833333333333337</v>
      </c>
      <c r="Q22">
        <v>1</v>
      </c>
      <c r="AA22">
        <v>1</v>
      </c>
      <c r="AE22" s="14">
        <v>45540</v>
      </c>
      <c r="AF22" s="15">
        <f t="shared" si="0"/>
        <v>0.39166666666666672</v>
      </c>
    </row>
    <row r="23" spans="1:32" x14ac:dyDescent="0.3">
      <c r="A23" t="s">
        <v>418</v>
      </c>
      <c r="B23" t="s">
        <v>154</v>
      </c>
      <c r="C23" t="s">
        <v>419</v>
      </c>
      <c r="D23" t="s">
        <v>363</v>
      </c>
      <c r="E23" s="2">
        <v>0.2902777777777778</v>
      </c>
      <c r="F23">
        <v>1</v>
      </c>
      <c r="G23" t="s">
        <v>364</v>
      </c>
      <c r="I23" t="s">
        <v>365</v>
      </c>
      <c r="J23">
        <v>3276</v>
      </c>
      <c r="K23" t="s">
        <v>370</v>
      </c>
      <c r="L23" t="s">
        <v>367</v>
      </c>
      <c r="M23" s="2">
        <v>0.68055555555555547</v>
      </c>
      <c r="O23">
        <v>2</v>
      </c>
      <c r="P23">
        <v>3</v>
      </c>
      <c r="X23">
        <v>4</v>
      </c>
      <c r="AE23" s="14">
        <v>45538</v>
      </c>
      <c r="AF23" s="15">
        <f t="shared" si="0"/>
        <v>0.39027777777777767</v>
      </c>
    </row>
    <row r="24" spans="1:32" x14ac:dyDescent="0.3">
      <c r="A24" t="s">
        <v>420</v>
      </c>
      <c r="B24" t="s">
        <v>158</v>
      </c>
      <c r="C24" t="s">
        <v>421</v>
      </c>
      <c r="D24" t="s">
        <v>363</v>
      </c>
      <c r="E24" s="2">
        <v>0.41666666666666669</v>
      </c>
      <c r="F24">
        <v>1</v>
      </c>
      <c r="G24" t="s">
        <v>364</v>
      </c>
      <c r="I24" t="s">
        <v>365</v>
      </c>
      <c r="J24">
        <v>3271</v>
      </c>
      <c r="K24" t="s">
        <v>375</v>
      </c>
      <c r="L24" t="s">
        <v>367</v>
      </c>
      <c r="M24" s="2">
        <v>0.66875000000000007</v>
      </c>
      <c r="O24">
        <v>1</v>
      </c>
      <c r="P24">
        <v>3</v>
      </c>
      <c r="T24">
        <v>1</v>
      </c>
      <c r="AB24" t="s">
        <v>7947</v>
      </c>
      <c r="AC24" t="s">
        <v>7942</v>
      </c>
      <c r="AE24" s="14">
        <v>45537</v>
      </c>
      <c r="AF24" s="15">
        <f t="shared" si="0"/>
        <v>0.25208333333333338</v>
      </c>
    </row>
    <row r="25" spans="1:32" x14ac:dyDescent="0.3">
      <c r="A25" t="s">
        <v>422</v>
      </c>
      <c r="B25" t="s">
        <v>165</v>
      </c>
      <c r="C25" t="s">
        <v>423</v>
      </c>
      <c r="D25" t="s">
        <v>363</v>
      </c>
      <c r="E25" s="2">
        <v>0.28819444444444448</v>
      </c>
      <c r="F25">
        <v>1</v>
      </c>
      <c r="G25" t="s">
        <v>364</v>
      </c>
      <c r="I25" t="s">
        <v>7938</v>
      </c>
      <c r="J25">
        <v>3261</v>
      </c>
      <c r="K25" t="s">
        <v>375</v>
      </c>
      <c r="L25" t="s">
        <v>367</v>
      </c>
      <c r="M25" s="2">
        <v>0.49861111111111112</v>
      </c>
      <c r="O25">
        <v>3</v>
      </c>
      <c r="P25">
        <v>7</v>
      </c>
      <c r="T25">
        <v>1</v>
      </c>
      <c r="X25">
        <v>4</v>
      </c>
      <c r="AB25" s="14">
        <v>45535</v>
      </c>
      <c r="AC25" s="15">
        <f t="shared" ref="AC25:AC52" si="1">MOD(M25-E25,1)</f>
        <v>0.21041666666666664</v>
      </c>
      <c r="AE25" s="16" t="s">
        <v>7946</v>
      </c>
      <c r="AF25" s="17">
        <f>SUM(AF2:AF24)</f>
        <v>7.4131944444444438</v>
      </c>
    </row>
    <row r="26" spans="1:32" x14ac:dyDescent="0.3">
      <c r="A26" s="3" t="s">
        <v>424</v>
      </c>
      <c r="B26" t="s">
        <v>169</v>
      </c>
      <c r="C26" t="s">
        <v>425</v>
      </c>
      <c r="D26" t="s">
        <v>363</v>
      </c>
      <c r="E26" s="2">
        <v>0.2986111111111111</v>
      </c>
      <c r="F26">
        <v>1</v>
      </c>
      <c r="G26" t="s">
        <v>364</v>
      </c>
      <c r="I26" t="s">
        <v>7938</v>
      </c>
      <c r="J26">
        <v>3243</v>
      </c>
      <c r="K26" t="s">
        <v>375</v>
      </c>
      <c r="L26" t="s">
        <v>367</v>
      </c>
      <c r="M26" s="2">
        <v>0.72916666666666663</v>
      </c>
      <c r="O26">
        <v>3</v>
      </c>
      <c r="P26">
        <v>6</v>
      </c>
      <c r="T26">
        <v>1</v>
      </c>
      <c r="X26">
        <v>4</v>
      </c>
      <c r="AB26" s="14">
        <v>45534</v>
      </c>
      <c r="AC26" s="15">
        <f t="shared" si="1"/>
        <v>0.43055555555555552</v>
      </c>
    </row>
    <row r="27" spans="1:32" x14ac:dyDescent="0.3">
      <c r="A27" t="s">
        <v>426</v>
      </c>
      <c r="B27" t="s">
        <v>172</v>
      </c>
      <c r="C27" t="s">
        <v>427</v>
      </c>
      <c r="D27" t="s">
        <v>363</v>
      </c>
      <c r="E27" s="2">
        <v>0.54166666666666663</v>
      </c>
      <c r="F27">
        <v>1</v>
      </c>
      <c r="G27" t="s">
        <v>364</v>
      </c>
      <c r="I27" t="s">
        <v>7938</v>
      </c>
      <c r="J27">
        <v>3241</v>
      </c>
      <c r="K27" t="s">
        <v>370</v>
      </c>
      <c r="L27" t="s">
        <v>367</v>
      </c>
      <c r="M27" s="2">
        <v>0.71527777777777779</v>
      </c>
      <c r="O27">
        <v>3</v>
      </c>
      <c r="P27">
        <v>6</v>
      </c>
      <c r="T27">
        <v>1</v>
      </c>
      <c r="X27">
        <v>4</v>
      </c>
      <c r="AB27" s="14">
        <v>45533</v>
      </c>
      <c r="AC27" s="15">
        <f t="shared" si="1"/>
        <v>0.17361111111111116</v>
      </c>
    </row>
    <row r="28" spans="1:32" x14ac:dyDescent="0.3">
      <c r="A28" t="s">
        <v>428</v>
      </c>
      <c r="B28" t="s">
        <v>175</v>
      </c>
      <c r="C28" t="s">
        <v>429</v>
      </c>
      <c r="D28" t="s">
        <v>363</v>
      </c>
      <c r="E28" s="2">
        <v>0.28333333333333333</v>
      </c>
      <c r="F28">
        <v>1</v>
      </c>
      <c r="G28" t="s">
        <v>364</v>
      </c>
      <c r="I28" t="s">
        <v>7938</v>
      </c>
      <c r="J28">
        <v>3238</v>
      </c>
      <c r="K28" t="s">
        <v>370</v>
      </c>
      <c r="L28" t="s">
        <v>430</v>
      </c>
      <c r="M28" s="2">
        <v>0.52083333333333337</v>
      </c>
      <c r="O28">
        <v>3</v>
      </c>
      <c r="P28">
        <v>6</v>
      </c>
      <c r="T28">
        <v>1</v>
      </c>
      <c r="X28">
        <v>4</v>
      </c>
      <c r="AB28" s="14">
        <v>45532</v>
      </c>
      <c r="AC28" s="15">
        <f t="shared" si="1"/>
        <v>0.23750000000000004</v>
      </c>
    </row>
    <row r="29" spans="1:32" x14ac:dyDescent="0.3">
      <c r="A29" t="s">
        <v>431</v>
      </c>
      <c r="B29" t="s">
        <v>181</v>
      </c>
      <c r="C29" t="s">
        <v>432</v>
      </c>
      <c r="D29" t="s">
        <v>363</v>
      </c>
      <c r="E29" s="2">
        <v>0.34583333333333338</v>
      </c>
      <c r="F29">
        <v>1</v>
      </c>
      <c r="G29" t="s">
        <v>364</v>
      </c>
      <c r="I29" t="s">
        <v>7938</v>
      </c>
      <c r="J29">
        <v>3224</v>
      </c>
      <c r="K29" t="s">
        <v>370</v>
      </c>
      <c r="L29" t="s">
        <v>367</v>
      </c>
      <c r="M29" s="2">
        <v>0.7319444444444444</v>
      </c>
      <c r="O29">
        <v>3</v>
      </c>
      <c r="P29">
        <v>6</v>
      </c>
      <c r="T29">
        <v>1</v>
      </c>
      <c r="X29">
        <v>4</v>
      </c>
      <c r="AB29" s="14">
        <v>45531</v>
      </c>
      <c r="AC29" s="15">
        <f t="shared" si="1"/>
        <v>0.38611111111111102</v>
      </c>
    </row>
    <row r="30" spans="1:32" x14ac:dyDescent="0.3">
      <c r="A30" t="s">
        <v>433</v>
      </c>
      <c r="B30" t="s">
        <v>184</v>
      </c>
      <c r="C30" t="s">
        <v>434</v>
      </c>
      <c r="D30" t="s">
        <v>363</v>
      </c>
      <c r="E30" s="2">
        <v>0.30833333333333335</v>
      </c>
      <c r="F30">
        <v>1</v>
      </c>
      <c r="G30" t="s">
        <v>364</v>
      </c>
      <c r="I30" t="s">
        <v>7938</v>
      </c>
      <c r="J30">
        <v>3222</v>
      </c>
      <c r="K30" t="s">
        <v>370</v>
      </c>
      <c r="L30" t="s">
        <v>430</v>
      </c>
      <c r="M30" s="2">
        <v>0.35694444444444445</v>
      </c>
      <c r="O30">
        <v>1</v>
      </c>
      <c r="P30">
        <v>2</v>
      </c>
      <c r="X30">
        <v>2</v>
      </c>
      <c r="AB30" s="14">
        <v>45530</v>
      </c>
      <c r="AC30" s="15">
        <f t="shared" si="1"/>
        <v>4.8611111111111105E-2</v>
      </c>
    </row>
    <row r="31" spans="1:32" x14ac:dyDescent="0.3">
      <c r="A31" t="s">
        <v>435</v>
      </c>
      <c r="B31" t="s">
        <v>187</v>
      </c>
      <c r="C31" t="s">
        <v>436</v>
      </c>
      <c r="D31" t="s">
        <v>363</v>
      </c>
      <c r="E31" s="2">
        <v>0.29652777777777778</v>
      </c>
      <c r="F31">
        <v>1</v>
      </c>
      <c r="G31" t="s">
        <v>364</v>
      </c>
      <c r="I31" t="s">
        <v>7938</v>
      </c>
      <c r="J31">
        <v>3210</v>
      </c>
      <c r="K31" t="s">
        <v>370</v>
      </c>
      <c r="L31" t="s">
        <v>367</v>
      </c>
      <c r="M31" s="2">
        <v>0.72222222222222221</v>
      </c>
      <c r="O31">
        <v>3</v>
      </c>
      <c r="P31">
        <v>6</v>
      </c>
      <c r="T31">
        <v>1</v>
      </c>
      <c r="X31">
        <v>4</v>
      </c>
      <c r="AB31" s="14">
        <v>45528</v>
      </c>
      <c r="AC31" s="15">
        <f t="shared" si="1"/>
        <v>0.42569444444444443</v>
      </c>
    </row>
    <row r="32" spans="1:32" x14ac:dyDescent="0.3">
      <c r="A32" t="s">
        <v>437</v>
      </c>
      <c r="B32" t="s">
        <v>190</v>
      </c>
      <c r="C32" t="s">
        <v>438</v>
      </c>
      <c r="D32" t="s">
        <v>363</v>
      </c>
      <c r="E32" s="2">
        <v>0.28402777777777777</v>
      </c>
      <c r="F32">
        <v>1</v>
      </c>
      <c r="G32" t="s">
        <v>364</v>
      </c>
      <c r="I32" t="s">
        <v>7938</v>
      </c>
      <c r="J32">
        <v>3200</v>
      </c>
      <c r="K32" t="s">
        <v>403</v>
      </c>
      <c r="L32" t="s">
        <v>367</v>
      </c>
      <c r="M32" s="2">
        <v>0.74722222222222223</v>
      </c>
      <c r="O32">
        <v>2</v>
      </c>
      <c r="P32">
        <v>7</v>
      </c>
      <c r="T32">
        <v>1</v>
      </c>
      <c r="X32">
        <v>4</v>
      </c>
      <c r="AB32" s="14">
        <v>45527</v>
      </c>
      <c r="AC32" s="15">
        <f t="shared" si="1"/>
        <v>0.46319444444444446</v>
      </c>
    </row>
    <row r="33" spans="1:29" x14ac:dyDescent="0.3">
      <c r="A33" t="s">
        <v>439</v>
      </c>
      <c r="B33" t="s">
        <v>193</v>
      </c>
      <c r="C33" t="s">
        <v>440</v>
      </c>
      <c r="D33" t="s">
        <v>363</v>
      </c>
      <c r="E33" s="2">
        <v>0.28402777777777777</v>
      </c>
      <c r="F33">
        <v>1</v>
      </c>
      <c r="G33" t="s">
        <v>364</v>
      </c>
      <c r="I33" t="s">
        <v>7938</v>
      </c>
      <c r="J33">
        <v>3187</v>
      </c>
      <c r="K33" t="s">
        <v>370</v>
      </c>
      <c r="L33" t="s">
        <v>367</v>
      </c>
      <c r="M33" s="2">
        <v>0.74722222222222223</v>
      </c>
      <c r="O33">
        <v>3</v>
      </c>
      <c r="P33">
        <v>7</v>
      </c>
      <c r="T33">
        <v>1</v>
      </c>
      <c r="X33">
        <v>4</v>
      </c>
      <c r="AB33" s="14">
        <v>45526</v>
      </c>
      <c r="AC33" s="15">
        <f t="shared" si="1"/>
        <v>0.46319444444444446</v>
      </c>
    </row>
    <row r="34" spans="1:29" x14ac:dyDescent="0.3">
      <c r="A34" t="s">
        <v>441</v>
      </c>
      <c r="B34" t="s">
        <v>196</v>
      </c>
      <c r="C34" t="s">
        <v>442</v>
      </c>
      <c r="D34" t="s">
        <v>364</v>
      </c>
      <c r="E34" s="2">
        <v>0.29652777777777778</v>
      </c>
      <c r="F34">
        <v>1</v>
      </c>
      <c r="G34" t="s">
        <v>364</v>
      </c>
      <c r="I34" t="s">
        <v>7938</v>
      </c>
      <c r="J34">
        <v>3186</v>
      </c>
      <c r="K34" t="s">
        <v>370</v>
      </c>
      <c r="L34" t="s">
        <v>367</v>
      </c>
      <c r="M34" s="2">
        <v>0.7583333333333333</v>
      </c>
      <c r="O34">
        <v>3</v>
      </c>
      <c r="P34">
        <v>7</v>
      </c>
      <c r="T34">
        <v>1</v>
      </c>
      <c r="X34">
        <v>4</v>
      </c>
      <c r="AB34" s="14">
        <v>45525</v>
      </c>
      <c r="AC34" s="15">
        <f t="shared" si="1"/>
        <v>0.46180555555555552</v>
      </c>
    </row>
    <row r="35" spans="1:29" x14ac:dyDescent="0.3">
      <c r="A35" t="s">
        <v>443</v>
      </c>
      <c r="B35" t="s">
        <v>245</v>
      </c>
      <c r="C35" t="s">
        <v>444</v>
      </c>
      <c r="D35" t="s">
        <v>363</v>
      </c>
      <c r="E35" s="2">
        <v>0.3972222222222222</v>
      </c>
      <c r="F35">
        <v>1</v>
      </c>
      <c r="G35" t="s">
        <v>364</v>
      </c>
      <c r="I35" t="s">
        <v>7938</v>
      </c>
      <c r="J35">
        <v>3183</v>
      </c>
      <c r="K35" t="s">
        <v>366</v>
      </c>
      <c r="L35" t="s">
        <v>367</v>
      </c>
      <c r="M35" s="2">
        <v>0.71944444444444444</v>
      </c>
      <c r="O35">
        <v>2</v>
      </c>
      <c r="P35">
        <v>5</v>
      </c>
      <c r="X35">
        <v>3</v>
      </c>
      <c r="AB35" s="14">
        <v>45511</v>
      </c>
      <c r="AC35" s="15">
        <f t="shared" si="1"/>
        <v>0.32222222222222224</v>
      </c>
    </row>
    <row r="36" spans="1:29" x14ac:dyDescent="0.3">
      <c r="A36" t="s">
        <v>445</v>
      </c>
      <c r="B36" t="s">
        <v>248</v>
      </c>
      <c r="C36" t="s">
        <v>446</v>
      </c>
      <c r="D36" t="s">
        <v>363</v>
      </c>
      <c r="E36" s="2">
        <v>0.33194444444444443</v>
      </c>
      <c r="F36">
        <v>1</v>
      </c>
      <c r="G36" t="s">
        <v>364</v>
      </c>
      <c r="I36" t="s">
        <v>7938</v>
      </c>
      <c r="J36">
        <v>3182</v>
      </c>
      <c r="K36" t="s">
        <v>370</v>
      </c>
      <c r="L36" t="s">
        <v>367</v>
      </c>
      <c r="M36" s="2">
        <v>0.5756944444444444</v>
      </c>
      <c r="O36">
        <v>1</v>
      </c>
      <c r="P36">
        <v>4</v>
      </c>
      <c r="X36">
        <v>2</v>
      </c>
      <c r="AB36" s="14">
        <v>45510</v>
      </c>
      <c r="AC36" s="15">
        <f t="shared" si="1"/>
        <v>0.24374999999999997</v>
      </c>
    </row>
    <row r="37" spans="1:29" x14ac:dyDescent="0.3">
      <c r="A37" t="s">
        <v>447</v>
      </c>
      <c r="B37" t="s">
        <v>251</v>
      </c>
      <c r="C37" t="s">
        <v>448</v>
      </c>
      <c r="D37" t="s">
        <v>363</v>
      </c>
      <c r="E37" s="2">
        <v>0.29166666666666669</v>
      </c>
      <c r="F37">
        <v>1</v>
      </c>
      <c r="G37" t="s">
        <v>364</v>
      </c>
      <c r="I37" t="s">
        <v>7938</v>
      </c>
      <c r="J37">
        <v>3181</v>
      </c>
      <c r="K37" t="s">
        <v>370</v>
      </c>
      <c r="L37" t="s">
        <v>430</v>
      </c>
      <c r="M37" s="2">
        <v>0.45902777777777781</v>
      </c>
      <c r="O37">
        <v>2</v>
      </c>
      <c r="P37">
        <v>2</v>
      </c>
      <c r="X37">
        <v>1</v>
      </c>
      <c r="AB37" s="14">
        <v>45509</v>
      </c>
      <c r="AC37" s="15">
        <f t="shared" si="1"/>
        <v>0.16736111111111113</v>
      </c>
    </row>
    <row r="38" spans="1:29" x14ac:dyDescent="0.3">
      <c r="A38" t="s">
        <v>449</v>
      </c>
      <c r="B38" t="s">
        <v>261</v>
      </c>
      <c r="C38" t="s">
        <v>450</v>
      </c>
      <c r="D38" t="s">
        <v>363</v>
      </c>
      <c r="E38" s="2">
        <v>0.34027777777777773</v>
      </c>
      <c r="F38">
        <v>1</v>
      </c>
      <c r="G38" t="s">
        <v>364</v>
      </c>
      <c r="I38" t="s">
        <v>7938</v>
      </c>
      <c r="J38">
        <v>3178</v>
      </c>
      <c r="K38" t="s">
        <v>370</v>
      </c>
      <c r="L38" t="s">
        <v>367</v>
      </c>
      <c r="M38" s="2">
        <v>0.64513888888888882</v>
      </c>
      <c r="O38">
        <v>3</v>
      </c>
      <c r="P38">
        <v>7</v>
      </c>
      <c r="T38">
        <v>1</v>
      </c>
      <c r="W38">
        <v>1</v>
      </c>
      <c r="X38">
        <v>4</v>
      </c>
      <c r="AB38" s="14">
        <v>45506</v>
      </c>
      <c r="AC38" s="15">
        <f t="shared" si="1"/>
        <v>0.30486111111111108</v>
      </c>
    </row>
    <row r="39" spans="1:29" x14ac:dyDescent="0.3">
      <c r="A39" t="s">
        <v>451</v>
      </c>
      <c r="B39" s="3" t="s">
        <v>264</v>
      </c>
      <c r="C39" t="s">
        <v>452</v>
      </c>
      <c r="D39" t="s">
        <v>363</v>
      </c>
      <c r="E39" s="2">
        <v>0.3527777777777778</v>
      </c>
      <c r="F39">
        <v>1</v>
      </c>
      <c r="G39" t="s">
        <v>364</v>
      </c>
      <c r="I39" t="s">
        <v>7938</v>
      </c>
      <c r="J39">
        <v>3170</v>
      </c>
      <c r="K39" t="s">
        <v>403</v>
      </c>
      <c r="L39" t="s">
        <v>367</v>
      </c>
      <c r="M39" s="2">
        <v>0.73055555555555562</v>
      </c>
      <c r="O39">
        <v>3</v>
      </c>
      <c r="P39">
        <v>7</v>
      </c>
      <c r="T39">
        <v>1</v>
      </c>
      <c r="W39">
        <v>1</v>
      </c>
      <c r="X39">
        <v>4</v>
      </c>
      <c r="AB39" s="14">
        <v>45505</v>
      </c>
      <c r="AC39" s="15">
        <f t="shared" si="1"/>
        <v>0.37777777777777782</v>
      </c>
    </row>
    <row r="40" spans="1:29" x14ac:dyDescent="0.3">
      <c r="A40" t="s">
        <v>453</v>
      </c>
      <c r="B40" t="s">
        <v>267</v>
      </c>
      <c r="C40" t="s">
        <v>454</v>
      </c>
      <c r="D40" t="s">
        <v>363</v>
      </c>
      <c r="E40" s="2">
        <v>0.28402777777777777</v>
      </c>
      <c r="F40">
        <v>1</v>
      </c>
      <c r="G40" t="s">
        <v>364</v>
      </c>
      <c r="I40" t="s">
        <v>7938</v>
      </c>
      <c r="J40">
        <v>3168</v>
      </c>
      <c r="K40" t="s">
        <v>370</v>
      </c>
      <c r="L40" t="s">
        <v>367</v>
      </c>
      <c r="M40" s="2">
        <v>0.62708333333333333</v>
      </c>
      <c r="O40">
        <v>2</v>
      </c>
      <c r="P40">
        <v>7</v>
      </c>
      <c r="T40">
        <v>1</v>
      </c>
      <c r="W40">
        <v>1</v>
      </c>
      <c r="X40">
        <v>4</v>
      </c>
      <c r="AB40" s="14">
        <v>45504</v>
      </c>
      <c r="AC40" s="15">
        <f t="shared" si="1"/>
        <v>0.34305555555555556</v>
      </c>
    </row>
    <row r="41" spans="1:29" x14ac:dyDescent="0.3">
      <c r="A41" s="3" t="s">
        <v>455</v>
      </c>
      <c r="B41" t="s">
        <v>270</v>
      </c>
      <c r="C41" t="s">
        <v>456</v>
      </c>
      <c r="D41" t="s">
        <v>363</v>
      </c>
      <c r="E41" s="2">
        <v>0.29722222222222222</v>
      </c>
      <c r="F41">
        <v>1</v>
      </c>
      <c r="G41" t="s">
        <v>364</v>
      </c>
      <c r="I41" t="s">
        <v>7938</v>
      </c>
      <c r="J41">
        <v>3163</v>
      </c>
      <c r="K41" t="s">
        <v>375</v>
      </c>
      <c r="L41" t="s">
        <v>367</v>
      </c>
      <c r="M41" s="2">
        <v>0.7416666666666667</v>
      </c>
      <c r="O41">
        <v>2</v>
      </c>
      <c r="P41">
        <v>8</v>
      </c>
      <c r="T41">
        <v>1</v>
      </c>
      <c r="V41">
        <v>0</v>
      </c>
      <c r="W41">
        <v>1</v>
      </c>
      <c r="X41">
        <v>4</v>
      </c>
      <c r="AB41" s="14">
        <v>45503</v>
      </c>
      <c r="AC41" s="15">
        <f t="shared" si="1"/>
        <v>0.44444444444444448</v>
      </c>
    </row>
    <row r="42" spans="1:29" x14ac:dyDescent="0.3">
      <c r="A42" t="s">
        <v>457</v>
      </c>
      <c r="B42" t="s">
        <v>273</v>
      </c>
      <c r="C42" t="s">
        <v>458</v>
      </c>
      <c r="D42" t="s">
        <v>363</v>
      </c>
      <c r="E42" s="2">
        <v>0.3125</v>
      </c>
      <c r="F42">
        <v>1</v>
      </c>
      <c r="G42" t="s">
        <v>364</v>
      </c>
      <c r="I42" t="s">
        <v>7938</v>
      </c>
      <c r="J42">
        <v>3153</v>
      </c>
      <c r="K42" t="s">
        <v>370</v>
      </c>
      <c r="L42" t="s">
        <v>367</v>
      </c>
      <c r="M42" s="2">
        <v>0.73472222222222217</v>
      </c>
      <c r="O42">
        <v>2</v>
      </c>
      <c r="P42">
        <v>6</v>
      </c>
      <c r="T42">
        <v>1</v>
      </c>
      <c r="W42">
        <v>1</v>
      </c>
      <c r="X42">
        <v>3</v>
      </c>
      <c r="AB42" s="14">
        <v>45502</v>
      </c>
      <c r="AC42" s="15">
        <f t="shared" si="1"/>
        <v>0.42222222222222217</v>
      </c>
    </row>
    <row r="43" spans="1:29" x14ac:dyDescent="0.3">
      <c r="A43" t="s">
        <v>459</v>
      </c>
      <c r="B43" t="s">
        <v>283</v>
      </c>
      <c r="C43" t="s">
        <v>460</v>
      </c>
      <c r="D43" t="s">
        <v>363</v>
      </c>
      <c r="E43" s="2">
        <v>0.29444444444444445</v>
      </c>
      <c r="F43">
        <v>1</v>
      </c>
      <c r="G43" t="s">
        <v>364</v>
      </c>
      <c r="I43" t="s">
        <v>7938</v>
      </c>
      <c r="J43">
        <v>3152</v>
      </c>
      <c r="K43" t="s">
        <v>370</v>
      </c>
      <c r="L43" t="s">
        <v>430</v>
      </c>
      <c r="M43" s="2">
        <v>0.70833333333333337</v>
      </c>
      <c r="O43">
        <v>2</v>
      </c>
      <c r="P43">
        <v>8</v>
      </c>
      <c r="T43">
        <v>1</v>
      </c>
      <c r="W43">
        <v>1</v>
      </c>
      <c r="X43">
        <v>4</v>
      </c>
      <c r="AB43" s="14">
        <v>45499</v>
      </c>
      <c r="AC43" s="15">
        <f t="shared" si="1"/>
        <v>0.41388888888888892</v>
      </c>
    </row>
    <row r="44" spans="1:29" x14ac:dyDescent="0.3">
      <c r="A44" t="s">
        <v>461</v>
      </c>
      <c r="B44" t="s">
        <v>286</v>
      </c>
      <c r="C44" t="s">
        <v>462</v>
      </c>
      <c r="D44" t="s">
        <v>363</v>
      </c>
      <c r="E44" s="2">
        <v>0.2986111111111111</v>
      </c>
      <c r="F44">
        <v>1</v>
      </c>
      <c r="G44" t="s">
        <v>364</v>
      </c>
      <c r="I44" t="s">
        <v>7938</v>
      </c>
      <c r="J44">
        <v>3142</v>
      </c>
      <c r="K44" t="s">
        <v>370</v>
      </c>
      <c r="L44" t="s">
        <v>367</v>
      </c>
      <c r="M44" s="2">
        <v>0.74652777777777779</v>
      </c>
      <c r="O44">
        <v>2</v>
      </c>
      <c r="P44">
        <v>8</v>
      </c>
      <c r="T44">
        <v>1</v>
      </c>
      <c r="W44">
        <v>1</v>
      </c>
      <c r="X44">
        <v>4</v>
      </c>
      <c r="AB44" s="14">
        <v>45498</v>
      </c>
      <c r="AC44" s="15">
        <f t="shared" si="1"/>
        <v>0.44791666666666669</v>
      </c>
    </row>
    <row r="45" spans="1:29" x14ac:dyDescent="0.3">
      <c r="A45" t="s">
        <v>463</v>
      </c>
      <c r="B45" t="s">
        <v>289</v>
      </c>
      <c r="C45" t="s">
        <v>464</v>
      </c>
      <c r="D45" t="s">
        <v>363</v>
      </c>
      <c r="E45" s="2">
        <v>0.29652777777777778</v>
      </c>
      <c r="F45">
        <v>1</v>
      </c>
      <c r="G45" t="s">
        <v>364</v>
      </c>
      <c r="I45" t="s">
        <v>7938</v>
      </c>
      <c r="J45">
        <v>3131</v>
      </c>
      <c r="K45" t="s">
        <v>370</v>
      </c>
      <c r="L45" t="s">
        <v>367</v>
      </c>
      <c r="M45" s="2">
        <v>0.76736111111111116</v>
      </c>
      <c r="O45">
        <v>2</v>
      </c>
      <c r="P45">
        <v>8</v>
      </c>
      <c r="T45">
        <v>1</v>
      </c>
      <c r="W45">
        <v>1</v>
      </c>
      <c r="X45">
        <v>4</v>
      </c>
      <c r="AB45" s="14">
        <v>45497</v>
      </c>
      <c r="AC45" s="15">
        <f t="shared" si="1"/>
        <v>0.47083333333333338</v>
      </c>
    </row>
    <row r="46" spans="1:29" x14ac:dyDescent="0.3">
      <c r="A46" t="s">
        <v>465</v>
      </c>
      <c r="B46" t="s">
        <v>292</v>
      </c>
      <c r="C46" t="s">
        <v>466</v>
      </c>
      <c r="D46" t="s">
        <v>363</v>
      </c>
      <c r="E46" s="2">
        <v>0.29444444444444445</v>
      </c>
      <c r="F46">
        <v>1</v>
      </c>
      <c r="G46" t="s">
        <v>364</v>
      </c>
      <c r="I46" t="s">
        <v>7938</v>
      </c>
      <c r="J46">
        <v>3113</v>
      </c>
      <c r="K46" t="s">
        <v>375</v>
      </c>
      <c r="L46" t="s">
        <v>367</v>
      </c>
      <c r="M46" s="2">
        <v>0.76874999999999993</v>
      </c>
      <c r="O46">
        <v>2</v>
      </c>
      <c r="P46">
        <v>8</v>
      </c>
      <c r="T46">
        <v>1</v>
      </c>
      <c r="W46">
        <v>1</v>
      </c>
      <c r="X46">
        <v>4</v>
      </c>
      <c r="AB46" s="14">
        <v>45496</v>
      </c>
      <c r="AC46" s="15">
        <f t="shared" si="1"/>
        <v>0.47430555555555548</v>
      </c>
    </row>
    <row r="47" spans="1:29" x14ac:dyDescent="0.3">
      <c r="A47" t="s">
        <v>467</v>
      </c>
      <c r="B47" t="s">
        <v>295</v>
      </c>
      <c r="C47" t="s">
        <v>468</v>
      </c>
      <c r="D47" t="s">
        <v>363</v>
      </c>
      <c r="E47" s="2">
        <v>0.30694444444444441</v>
      </c>
      <c r="F47">
        <v>1</v>
      </c>
      <c r="G47" t="s">
        <v>364</v>
      </c>
      <c r="I47" t="s">
        <v>7938</v>
      </c>
      <c r="J47">
        <v>3101</v>
      </c>
      <c r="K47" t="s">
        <v>375</v>
      </c>
      <c r="L47" t="s">
        <v>367</v>
      </c>
      <c r="M47" s="2">
        <v>0.75</v>
      </c>
      <c r="O47">
        <v>1</v>
      </c>
      <c r="P47">
        <v>2</v>
      </c>
      <c r="X47">
        <v>1</v>
      </c>
      <c r="AB47" s="14">
        <v>45495</v>
      </c>
      <c r="AC47" s="15">
        <f t="shared" si="1"/>
        <v>0.44305555555555559</v>
      </c>
    </row>
    <row r="48" spans="1:29" x14ac:dyDescent="0.3">
      <c r="A48" t="s">
        <v>469</v>
      </c>
      <c r="B48" t="s">
        <v>304</v>
      </c>
      <c r="C48" t="s">
        <v>470</v>
      </c>
      <c r="D48" t="s">
        <v>363</v>
      </c>
      <c r="E48" s="2">
        <v>0.40972222222222227</v>
      </c>
      <c r="F48">
        <v>1</v>
      </c>
      <c r="G48" t="s">
        <v>364</v>
      </c>
      <c r="I48" t="s">
        <v>7938</v>
      </c>
      <c r="J48">
        <v>3097</v>
      </c>
      <c r="K48" t="s">
        <v>403</v>
      </c>
      <c r="L48" t="s">
        <v>367</v>
      </c>
      <c r="M48" s="2">
        <v>0.70972222222222225</v>
      </c>
      <c r="O48">
        <v>2</v>
      </c>
      <c r="P48">
        <v>4</v>
      </c>
      <c r="T48">
        <v>1</v>
      </c>
      <c r="V48">
        <v>1</v>
      </c>
      <c r="X48">
        <v>1</v>
      </c>
      <c r="AB48" s="14">
        <v>45492</v>
      </c>
      <c r="AC48" s="15">
        <f t="shared" si="1"/>
        <v>0.3</v>
      </c>
    </row>
    <row r="49" spans="1:29" x14ac:dyDescent="0.3">
      <c r="A49" t="s">
        <v>471</v>
      </c>
      <c r="B49" t="s">
        <v>310</v>
      </c>
      <c r="C49" t="s">
        <v>472</v>
      </c>
      <c r="D49" t="s">
        <v>363</v>
      </c>
      <c r="E49" s="2">
        <v>0.36319444444444443</v>
      </c>
      <c r="F49">
        <v>1</v>
      </c>
      <c r="G49" t="s">
        <v>364</v>
      </c>
      <c r="I49" t="s">
        <v>7938</v>
      </c>
      <c r="J49">
        <v>3092</v>
      </c>
      <c r="K49" t="s">
        <v>403</v>
      </c>
      <c r="L49" t="s">
        <v>367</v>
      </c>
      <c r="M49" s="2">
        <v>0.71666666666666667</v>
      </c>
      <c r="O49">
        <v>2</v>
      </c>
      <c r="P49">
        <v>6</v>
      </c>
      <c r="T49">
        <v>1</v>
      </c>
      <c r="X49">
        <v>2</v>
      </c>
      <c r="AB49" s="14">
        <v>45490</v>
      </c>
      <c r="AC49" s="15">
        <f t="shared" si="1"/>
        <v>0.35347222222222224</v>
      </c>
    </row>
    <row r="50" spans="1:29" x14ac:dyDescent="0.3">
      <c r="A50" t="s">
        <v>473</v>
      </c>
      <c r="B50" t="s">
        <v>313</v>
      </c>
      <c r="C50" t="s">
        <v>474</v>
      </c>
      <c r="D50" t="s">
        <v>363</v>
      </c>
      <c r="E50" s="2">
        <v>0.33749999999999997</v>
      </c>
      <c r="F50">
        <v>1</v>
      </c>
      <c r="G50" t="s">
        <v>364</v>
      </c>
      <c r="I50" t="s">
        <v>7938</v>
      </c>
      <c r="J50">
        <v>3074</v>
      </c>
      <c r="K50" t="s">
        <v>375</v>
      </c>
      <c r="L50" t="s">
        <v>367</v>
      </c>
      <c r="M50" s="2">
        <v>0.74652777777777779</v>
      </c>
      <c r="O50">
        <v>2</v>
      </c>
      <c r="P50">
        <v>7</v>
      </c>
      <c r="T50">
        <v>1</v>
      </c>
      <c r="X50">
        <v>2</v>
      </c>
      <c r="AB50" s="14">
        <v>45489</v>
      </c>
      <c r="AC50" s="15">
        <f t="shared" si="1"/>
        <v>0.40902777777777782</v>
      </c>
    </row>
    <row r="51" spans="1:29" x14ac:dyDescent="0.3">
      <c r="A51" t="s">
        <v>475</v>
      </c>
      <c r="B51" t="s">
        <v>322</v>
      </c>
      <c r="C51" t="s">
        <v>476</v>
      </c>
      <c r="D51" t="s">
        <v>363</v>
      </c>
      <c r="E51" s="2">
        <v>0.37083333333333335</v>
      </c>
      <c r="F51">
        <v>1</v>
      </c>
      <c r="G51" t="s">
        <v>364</v>
      </c>
      <c r="I51" t="s">
        <v>7938</v>
      </c>
      <c r="J51">
        <v>3065</v>
      </c>
      <c r="K51" t="s">
        <v>370</v>
      </c>
      <c r="L51" t="s">
        <v>367</v>
      </c>
      <c r="M51" s="2">
        <v>0.53611111111111109</v>
      </c>
      <c r="O51">
        <v>2</v>
      </c>
      <c r="P51">
        <v>4</v>
      </c>
      <c r="Q51">
        <v>1</v>
      </c>
      <c r="T51">
        <v>1</v>
      </c>
      <c r="X51">
        <v>1</v>
      </c>
      <c r="AB51" s="14">
        <v>45486</v>
      </c>
      <c r="AC51" s="15">
        <f t="shared" si="1"/>
        <v>0.16527777777777775</v>
      </c>
    </row>
    <row r="52" spans="1:29" x14ac:dyDescent="0.3">
      <c r="A52" t="s">
        <v>477</v>
      </c>
      <c r="B52" t="s">
        <v>325</v>
      </c>
      <c r="C52" t="s">
        <v>478</v>
      </c>
      <c r="D52" t="s">
        <v>363</v>
      </c>
      <c r="E52" s="2">
        <v>0.38472222222222219</v>
      </c>
      <c r="F52">
        <v>1</v>
      </c>
      <c r="G52" t="s">
        <v>364</v>
      </c>
      <c r="I52" t="s">
        <v>7938</v>
      </c>
      <c r="J52">
        <v>3054</v>
      </c>
      <c r="K52" t="s">
        <v>366</v>
      </c>
      <c r="L52" t="s">
        <v>367</v>
      </c>
      <c r="M52" s="2">
        <v>0.72291666666666676</v>
      </c>
      <c r="O52">
        <v>2</v>
      </c>
      <c r="P52">
        <v>5</v>
      </c>
      <c r="Q52">
        <v>1</v>
      </c>
      <c r="T52">
        <v>1</v>
      </c>
      <c r="X52">
        <v>1</v>
      </c>
      <c r="AB52" s="14">
        <v>45485</v>
      </c>
      <c r="AC52" s="15">
        <f t="shared" si="1"/>
        <v>0.33819444444444458</v>
      </c>
    </row>
    <row r="53" spans="1:29" x14ac:dyDescent="0.3">
      <c r="AB53" s="16" t="s">
        <v>7949</v>
      </c>
      <c r="AC53" s="17">
        <f>SUM(AC25:AC52)</f>
        <v>9.7423611111111157</v>
      </c>
    </row>
    <row r="54" spans="1:29" x14ac:dyDescent="0.3">
      <c r="AC54" s="4"/>
    </row>
    <row r="55" spans="1:29" x14ac:dyDescent="0.3">
      <c r="C55" s="12" t="s">
        <v>7943</v>
      </c>
      <c r="D55" s="12" t="s">
        <v>7939</v>
      </c>
      <c r="E55" s="12" t="s">
        <v>7940</v>
      </c>
      <c r="F55" s="12" t="s">
        <v>7951</v>
      </c>
    </row>
    <row r="56" spans="1:29" x14ac:dyDescent="0.3">
      <c r="C56" s="12" t="s">
        <v>7941</v>
      </c>
      <c r="D56" s="12">
        <v>28</v>
      </c>
      <c r="E56" s="12">
        <v>23</v>
      </c>
      <c r="F56">
        <v>51</v>
      </c>
    </row>
    <row r="57" spans="1:29" x14ac:dyDescent="0.3">
      <c r="C57" s="12" t="s">
        <v>7945</v>
      </c>
      <c r="D57" s="13">
        <v>9.7423611111111104</v>
      </c>
      <c r="E57" s="13">
        <v>7.4131944444444438</v>
      </c>
      <c r="F57" s="4">
        <v>17.155555555555555</v>
      </c>
      <c r="AB57" s="16" t="s">
        <v>7950</v>
      </c>
      <c r="AC57" s="17">
        <f>SUM(AF25,AC53)</f>
        <v>17.155555555555559</v>
      </c>
    </row>
    <row r="58" spans="1:29" x14ac:dyDescent="0.3">
      <c r="C58" s="12"/>
      <c r="D58" s="12"/>
      <c r="E58" s="12"/>
    </row>
    <row r="59" spans="1:29" x14ac:dyDescent="0.3">
      <c r="C59" s="12"/>
      <c r="D59" s="13"/>
      <c r="E59" s="12"/>
    </row>
    <row r="68" spans="3:3" x14ac:dyDescent="0.3">
      <c r="C68" t="s">
        <v>7929</v>
      </c>
    </row>
  </sheetData>
  <phoneticPr fontId="18" type="noConversion"/>
  <pageMargins left="0.7" right="0.7" top="0.75" bottom="0.75" header="0.3" footer="0.3"/>
  <pageSetup paperSize="9"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EBEE8-20FC-40E1-8A9D-263C06C12236}">
  <dimension ref="A1:V145"/>
  <sheetViews>
    <sheetView tabSelected="1" zoomScale="109" workbookViewId="0">
      <selection activeCell="D1" sqref="D1"/>
    </sheetView>
  </sheetViews>
  <sheetFormatPr baseColWidth="10" defaultRowHeight="14.4" x14ac:dyDescent="0.3"/>
  <cols>
    <col min="3" max="3" width="27.77734375" customWidth="1"/>
    <col min="4" max="4" width="30" customWidth="1"/>
    <col min="5" max="5" width="19.6640625" customWidth="1"/>
    <col min="6" max="6" width="18.21875" customWidth="1"/>
    <col min="7" max="7" width="17.5546875" customWidth="1"/>
    <col min="8" max="8" width="15.33203125" customWidth="1"/>
    <col min="9" max="17" width="14.77734375" customWidth="1"/>
    <col min="18" max="18" width="24" customWidth="1"/>
    <col min="20" max="20" width="23.6640625" customWidth="1"/>
    <col min="21" max="21" width="18.77734375" customWidth="1"/>
  </cols>
  <sheetData>
    <row r="1" spans="1:22" x14ac:dyDescent="0.3">
      <c r="A1" t="s">
        <v>791</v>
      </c>
      <c r="B1" t="s">
        <v>792</v>
      </c>
      <c r="C1" t="s">
        <v>1</v>
      </c>
      <c r="D1" t="s">
        <v>2</v>
      </c>
      <c r="E1" t="s">
        <v>793</v>
      </c>
      <c r="F1" t="s">
        <v>7968</v>
      </c>
      <c r="G1" t="s">
        <v>794</v>
      </c>
      <c r="H1" t="s">
        <v>795</v>
      </c>
      <c r="I1" t="s">
        <v>796</v>
      </c>
      <c r="J1" t="s">
        <v>7957</v>
      </c>
      <c r="K1" t="s">
        <v>7963</v>
      </c>
      <c r="L1" t="s">
        <v>7964</v>
      </c>
      <c r="M1" t="s">
        <v>7965</v>
      </c>
      <c r="N1" t="s">
        <v>7966</v>
      </c>
      <c r="O1" t="s">
        <v>7967</v>
      </c>
      <c r="P1" t="s">
        <v>7967</v>
      </c>
      <c r="Q1" t="s">
        <v>7967</v>
      </c>
      <c r="R1" t="s">
        <v>7958</v>
      </c>
      <c r="S1" t="s">
        <v>7959</v>
      </c>
      <c r="T1" t="s">
        <v>7960</v>
      </c>
      <c r="U1" t="s">
        <v>7961</v>
      </c>
      <c r="V1" t="s">
        <v>7962</v>
      </c>
    </row>
    <row r="2" spans="1:22" x14ac:dyDescent="0.3">
      <c r="A2" t="s">
        <v>494</v>
      </c>
      <c r="B2" t="s">
        <v>797</v>
      </c>
      <c r="C2" t="s">
        <v>798</v>
      </c>
      <c r="D2" t="s">
        <v>799</v>
      </c>
      <c r="E2" s="2">
        <v>0.51111111111111118</v>
      </c>
      <c r="F2" s="27" t="s">
        <v>7986</v>
      </c>
      <c r="G2" t="s">
        <v>8000</v>
      </c>
      <c r="H2" t="s">
        <v>8008</v>
      </c>
      <c r="I2" t="s">
        <v>8009</v>
      </c>
      <c r="J2" t="s">
        <v>8001</v>
      </c>
      <c r="K2" t="s">
        <v>8002</v>
      </c>
      <c r="L2" t="s">
        <v>8003</v>
      </c>
      <c r="M2" t="s">
        <v>8004</v>
      </c>
      <c r="N2" t="s">
        <v>8005</v>
      </c>
      <c r="O2" t="s">
        <v>7987</v>
      </c>
      <c r="P2" t="s">
        <v>8006</v>
      </c>
      <c r="Q2" t="s">
        <v>8007</v>
      </c>
      <c r="R2" t="s">
        <v>801</v>
      </c>
      <c r="S2" s="2">
        <v>0.54166666666666663</v>
      </c>
      <c r="T2" s="20" t="s">
        <v>802</v>
      </c>
      <c r="U2" t="s">
        <v>803</v>
      </c>
    </row>
    <row r="3" spans="1:22" x14ac:dyDescent="0.3">
      <c r="A3" t="s">
        <v>502</v>
      </c>
      <c r="B3" t="s">
        <v>804</v>
      </c>
      <c r="C3" t="s">
        <v>805</v>
      </c>
      <c r="D3" t="s">
        <v>806</v>
      </c>
      <c r="E3" s="2">
        <v>0.43263888888888885</v>
      </c>
      <c r="F3" s="27" t="s">
        <v>8005</v>
      </c>
      <c r="G3" t="s">
        <v>8002</v>
      </c>
      <c r="H3" t="s">
        <v>8001</v>
      </c>
      <c r="I3" t="s">
        <v>7986</v>
      </c>
      <c r="J3" t="s">
        <v>8000</v>
      </c>
      <c r="K3" t="s">
        <v>8009</v>
      </c>
      <c r="L3" t="s">
        <v>8008</v>
      </c>
      <c r="M3" t="s">
        <v>8007</v>
      </c>
      <c r="N3" t="s">
        <v>8006</v>
      </c>
      <c r="O3" t="s">
        <v>8004</v>
      </c>
      <c r="P3" t="s">
        <v>8003</v>
      </c>
      <c r="Q3" t="s">
        <v>7987</v>
      </c>
      <c r="R3" t="s">
        <v>403</v>
      </c>
      <c r="S3" s="2">
        <v>0.48958333333333331</v>
      </c>
      <c r="T3" t="s">
        <v>807</v>
      </c>
    </row>
    <row r="4" spans="1:22" x14ac:dyDescent="0.3">
      <c r="A4" t="s">
        <v>508</v>
      </c>
      <c r="B4" t="s">
        <v>808</v>
      </c>
      <c r="C4" t="s">
        <v>809</v>
      </c>
      <c r="D4" t="s">
        <v>810</v>
      </c>
      <c r="E4" s="2">
        <v>0.66666666666666663</v>
      </c>
      <c r="F4" s="27" t="s">
        <v>7987</v>
      </c>
      <c r="G4" t="s">
        <v>8003</v>
      </c>
      <c r="H4" t="s">
        <v>8004</v>
      </c>
      <c r="I4" t="s">
        <v>8001</v>
      </c>
      <c r="J4" t="s">
        <v>8005</v>
      </c>
      <c r="K4" t="s">
        <v>8000</v>
      </c>
      <c r="L4" t="s">
        <v>7986</v>
      </c>
      <c r="M4" t="s">
        <v>8002</v>
      </c>
      <c r="N4" t="s">
        <v>8006</v>
      </c>
      <c r="O4" t="s">
        <v>8008</v>
      </c>
      <c r="P4" t="s">
        <v>8009</v>
      </c>
      <c r="Q4" t="s">
        <v>8007</v>
      </c>
      <c r="R4" t="s">
        <v>403</v>
      </c>
      <c r="S4" s="2">
        <v>0.69236111111111109</v>
      </c>
      <c r="T4" t="s">
        <v>807</v>
      </c>
    </row>
    <row r="5" spans="1:22" x14ac:dyDescent="0.3">
      <c r="A5" t="s">
        <v>508</v>
      </c>
      <c r="B5" t="s">
        <v>811</v>
      </c>
      <c r="C5" t="s">
        <v>812</v>
      </c>
      <c r="D5" t="s">
        <v>813</v>
      </c>
      <c r="E5" s="2">
        <v>0.33611111111111108</v>
      </c>
      <c r="F5" s="27" t="s">
        <v>7987</v>
      </c>
      <c r="G5" t="s">
        <v>8003</v>
      </c>
      <c r="H5" t="s">
        <v>8004</v>
      </c>
      <c r="I5" t="s">
        <v>8002</v>
      </c>
      <c r="J5" t="s">
        <v>8005</v>
      </c>
      <c r="K5" t="s">
        <v>8000</v>
      </c>
      <c r="L5" t="s">
        <v>7986</v>
      </c>
      <c r="M5" t="s">
        <v>8001</v>
      </c>
      <c r="N5" t="s">
        <v>8008</v>
      </c>
      <c r="O5" t="s">
        <v>8006</v>
      </c>
      <c r="P5" t="s">
        <v>8009</v>
      </c>
      <c r="Q5" t="s">
        <v>8007</v>
      </c>
      <c r="R5" t="s">
        <v>403</v>
      </c>
      <c r="S5" s="2">
        <v>0.4152777777777778</v>
      </c>
      <c r="T5" t="s">
        <v>807</v>
      </c>
    </row>
    <row r="6" spans="1:22" x14ac:dyDescent="0.3">
      <c r="A6" t="s">
        <v>513</v>
      </c>
      <c r="B6" t="s">
        <v>814</v>
      </c>
      <c r="C6" t="s">
        <v>815</v>
      </c>
      <c r="D6" t="s">
        <v>816</v>
      </c>
      <c r="E6" s="2">
        <v>0.65069444444444446</v>
      </c>
      <c r="F6" s="27" t="s">
        <v>7986</v>
      </c>
      <c r="G6" t="s">
        <v>7987</v>
      </c>
      <c r="H6" t="s">
        <v>8003</v>
      </c>
      <c r="I6" t="s">
        <v>8004</v>
      </c>
      <c r="J6" t="s">
        <v>8000</v>
      </c>
      <c r="K6" t="s">
        <v>8005</v>
      </c>
      <c r="L6" t="s">
        <v>8006</v>
      </c>
      <c r="M6" t="s">
        <v>8002</v>
      </c>
      <c r="N6" t="s">
        <v>8001</v>
      </c>
      <c r="O6" t="s">
        <v>8009</v>
      </c>
      <c r="P6" t="s">
        <v>8007</v>
      </c>
      <c r="Q6" t="s">
        <v>8008</v>
      </c>
      <c r="R6" t="s">
        <v>403</v>
      </c>
      <c r="S6" s="2">
        <v>0.72430555555555554</v>
      </c>
      <c r="T6" t="s">
        <v>807</v>
      </c>
    </row>
    <row r="7" spans="1:22" x14ac:dyDescent="0.3">
      <c r="A7" t="s">
        <v>513</v>
      </c>
      <c r="B7" t="s">
        <v>817</v>
      </c>
      <c r="C7" t="s">
        <v>818</v>
      </c>
      <c r="D7" t="s">
        <v>819</v>
      </c>
      <c r="E7" s="2">
        <v>0.3979166666666667</v>
      </c>
      <c r="F7" s="27" t="s">
        <v>7986</v>
      </c>
      <c r="G7" t="s">
        <v>8000</v>
      </c>
      <c r="H7" t="s">
        <v>8003</v>
      </c>
      <c r="I7" t="s">
        <v>8004</v>
      </c>
      <c r="J7" t="s">
        <v>8002</v>
      </c>
      <c r="K7" t="s">
        <v>8006</v>
      </c>
      <c r="L7" t="s">
        <v>8001</v>
      </c>
      <c r="M7" t="s">
        <v>8005</v>
      </c>
      <c r="N7" t="s">
        <v>7987</v>
      </c>
      <c r="O7" t="s">
        <v>8008</v>
      </c>
      <c r="P7" t="s">
        <v>8009</v>
      </c>
      <c r="Q7" t="s">
        <v>8007</v>
      </c>
      <c r="R7" t="s">
        <v>820</v>
      </c>
      <c r="S7" s="2">
        <v>0.47222222222222227</v>
      </c>
      <c r="T7" s="20" t="s">
        <v>802</v>
      </c>
    </row>
    <row r="8" spans="1:22" x14ac:dyDescent="0.3">
      <c r="A8" t="s">
        <v>517</v>
      </c>
      <c r="B8" t="s">
        <v>821</v>
      </c>
      <c r="C8" t="s">
        <v>822</v>
      </c>
      <c r="D8" t="s">
        <v>823</v>
      </c>
      <c r="E8" s="2">
        <v>0.58958333333333335</v>
      </c>
      <c r="F8" s="27" t="s">
        <v>7987</v>
      </c>
      <c r="G8" t="s">
        <v>8003</v>
      </c>
      <c r="H8" t="s">
        <v>8004</v>
      </c>
      <c r="I8" t="s">
        <v>8005</v>
      </c>
      <c r="J8" t="s">
        <v>8008</v>
      </c>
      <c r="K8" t="s">
        <v>7986</v>
      </c>
      <c r="L8" t="s">
        <v>8002</v>
      </c>
      <c r="M8" t="s">
        <v>8001</v>
      </c>
      <c r="N8" t="s">
        <v>8000</v>
      </c>
      <c r="O8" t="s">
        <v>8006</v>
      </c>
      <c r="P8" t="s">
        <v>8007</v>
      </c>
      <c r="Q8" t="s">
        <v>8009</v>
      </c>
      <c r="R8" s="24" t="s">
        <v>801</v>
      </c>
      <c r="S8" s="25">
        <v>0.62916666666666665</v>
      </c>
      <c r="T8" s="24" t="s">
        <v>807</v>
      </c>
    </row>
    <row r="9" spans="1:22" x14ac:dyDescent="0.3">
      <c r="A9" t="s">
        <v>521</v>
      </c>
      <c r="B9" t="s">
        <v>824</v>
      </c>
      <c r="C9" t="s">
        <v>825</v>
      </c>
      <c r="D9" t="s">
        <v>826</v>
      </c>
      <c r="E9" s="2">
        <v>0.52361111111111114</v>
      </c>
      <c r="F9" s="27" t="s">
        <v>8004</v>
      </c>
      <c r="G9" t="s">
        <v>8003</v>
      </c>
      <c r="H9" t="s">
        <v>8005</v>
      </c>
      <c r="I9" t="s">
        <v>8008</v>
      </c>
      <c r="J9" t="s">
        <v>8001</v>
      </c>
      <c r="K9" t="s">
        <v>8000</v>
      </c>
      <c r="L9" t="s">
        <v>8002</v>
      </c>
      <c r="M9" t="s">
        <v>8006</v>
      </c>
      <c r="N9" t="s">
        <v>8009</v>
      </c>
      <c r="O9" t="s">
        <v>7986</v>
      </c>
      <c r="P9" t="s">
        <v>8007</v>
      </c>
      <c r="Q9" t="s">
        <v>7987</v>
      </c>
      <c r="R9" t="s">
        <v>403</v>
      </c>
      <c r="S9" s="2">
        <v>0.5756944444444444</v>
      </c>
      <c r="T9" t="s">
        <v>807</v>
      </c>
    </row>
    <row r="10" spans="1:22" x14ac:dyDescent="0.3">
      <c r="A10" t="s">
        <v>526</v>
      </c>
      <c r="B10" t="s">
        <v>827</v>
      </c>
      <c r="C10" t="s">
        <v>828</v>
      </c>
      <c r="D10" t="s">
        <v>829</v>
      </c>
      <c r="E10" s="2">
        <v>0.41250000000000003</v>
      </c>
      <c r="F10" s="27" t="s">
        <v>8000</v>
      </c>
      <c r="G10" t="s">
        <v>8005</v>
      </c>
      <c r="H10" t="s">
        <v>7986</v>
      </c>
      <c r="I10" t="s">
        <v>7987</v>
      </c>
      <c r="J10" t="s">
        <v>8003</v>
      </c>
      <c r="K10" t="s">
        <v>8002</v>
      </c>
      <c r="L10" t="s">
        <v>8006</v>
      </c>
      <c r="M10" t="s">
        <v>8001</v>
      </c>
      <c r="N10" t="s">
        <v>8004</v>
      </c>
      <c r="O10" t="s">
        <v>8008</v>
      </c>
      <c r="P10" t="s">
        <v>8009</v>
      </c>
      <c r="Q10" t="s">
        <v>8007</v>
      </c>
      <c r="R10" t="s">
        <v>403</v>
      </c>
      <c r="S10" s="2">
        <v>0.43055555555555558</v>
      </c>
      <c r="T10" t="s">
        <v>807</v>
      </c>
    </row>
    <row r="11" spans="1:22" x14ac:dyDescent="0.3">
      <c r="A11" t="s">
        <v>530</v>
      </c>
      <c r="B11" t="s">
        <v>830</v>
      </c>
      <c r="C11" t="s">
        <v>831</v>
      </c>
      <c r="D11" t="s">
        <v>832</v>
      </c>
      <c r="E11" s="2">
        <v>0.56319444444444444</v>
      </c>
      <c r="F11" s="27" t="s">
        <v>8000</v>
      </c>
      <c r="G11" t="s">
        <v>7986</v>
      </c>
      <c r="H11" t="s">
        <v>7987</v>
      </c>
      <c r="I11" t="s">
        <v>8005</v>
      </c>
      <c r="J11" t="s">
        <v>8002</v>
      </c>
      <c r="K11" t="s">
        <v>8006</v>
      </c>
      <c r="L11" t="s">
        <v>8003</v>
      </c>
      <c r="M11" t="s">
        <v>8001</v>
      </c>
      <c r="N11" t="s">
        <v>8008</v>
      </c>
      <c r="O11" t="s">
        <v>8004</v>
      </c>
      <c r="P11" t="s">
        <v>8009</v>
      </c>
      <c r="Q11" t="s">
        <v>8007</v>
      </c>
      <c r="R11" t="s">
        <v>403</v>
      </c>
      <c r="S11" s="2">
        <v>0.60763888888888895</v>
      </c>
      <c r="T11" t="s">
        <v>807</v>
      </c>
    </row>
    <row r="12" spans="1:22" x14ac:dyDescent="0.3">
      <c r="A12" t="s">
        <v>534</v>
      </c>
      <c r="B12" t="s">
        <v>833</v>
      </c>
      <c r="C12" t="s">
        <v>834</v>
      </c>
      <c r="D12" t="s">
        <v>835</v>
      </c>
      <c r="E12" s="2">
        <v>0.44027777777777777</v>
      </c>
      <c r="F12" s="27" t="s">
        <v>8008</v>
      </c>
      <c r="G12" t="s">
        <v>7987</v>
      </c>
      <c r="H12" t="s">
        <v>7986</v>
      </c>
      <c r="I12" t="s">
        <v>8000</v>
      </c>
      <c r="J12" t="s">
        <v>8001</v>
      </c>
      <c r="K12" t="s">
        <v>8005</v>
      </c>
      <c r="L12" t="s">
        <v>8002</v>
      </c>
      <c r="M12" t="s">
        <v>8003</v>
      </c>
      <c r="N12" t="s">
        <v>8004</v>
      </c>
      <c r="O12" t="s">
        <v>8007</v>
      </c>
      <c r="P12" t="s">
        <v>8009</v>
      </c>
      <c r="Q12" t="s">
        <v>8008</v>
      </c>
      <c r="R12" t="s">
        <v>403</v>
      </c>
      <c r="S12" s="2">
        <v>0.47361111111111115</v>
      </c>
      <c r="T12" t="s">
        <v>807</v>
      </c>
    </row>
    <row r="13" spans="1:22" x14ac:dyDescent="0.3">
      <c r="A13" t="s">
        <v>539</v>
      </c>
      <c r="B13" t="s">
        <v>836</v>
      </c>
      <c r="C13" t="s">
        <v>837</v>
      </c>
      <c r="D13" t="s">
        <v>838</v>
      </c>
      <c r="E13" s="2">
        <v>0.56527777777777777</v>
      </c>
      <c r="F13" s="27" t="s">
        <v>8000</v>
      </c>
      <c r="G13" t="s">
        <v>7986</v>
      </c>
      <c r="H13" t="s">
        <v>8004</v>
      </c>
      <c r="I13" t="s">
        <v>8003</v>
      </c>
      <c r="J13" t="s">
        <v>8005</v>
      </c>
      <c r="K13" t="s">
        <v>8001</v>
      </c>
      <c r="L13" t="s">
        <v>8002</v>
      </c>
      <c r="M13" t="s">
        <v>8009</v>
      </c>
      <c r="N13" t="s">
        <v>8008</v>
      </c>
      <c r="O13" t="s">
        <v>8006</v>
      </c>
      <c r="P13" t="s">
        <v>8007</v>
      </c>
      <c r="Q13" t="s">
        <v>7987</v>
      </c>
      <c r="R13" t="s">
        <v>403</v>
      </c>
      <c r="S13" s="2">
        <v>0.61041666666666672</v>
      </c>
      <c r="T13" t="s">
        <v>807</v>
      </c>
    </row>
    <row r="14" spans="1:22" x14ac:dyDescent="0.3">
      <c r="A14" t="s">
        <v>539</v>
      </c>
      <c r="B14" t="s">
        <v>839</v>
      </c>
      <c r="C14" t="s">
        <v>840</v>
      </c>
      <c r="D14" t="s">
        <v>841</v>
      </c>
      <c r="E14" s="2">
        <v>0.34652777777777777</v>
      </c>
      <c r="F14" s="27" t="s">
        <v>8000</v>
      </c>
      <c r="G14" t="s">
        <v>7986</v>
      </c>
      <c r="H14" t="s">
        <v>8001</v>
      </c>
      <c r="I14" t="s">
        <v>8002</v>
      </c>
      <c r="J14" t="s">
        <v>8003</v>
      </c>
      <c r="K14" t="s">
        <v>8004</v>
      </c>
      <c r="L14" t="s">
        <v>8005</v>
      </c>
      <c r="M14" t="s">
        <v>8006</v>
      </c>
      <c r="N14" t="s">
        <v>8008</v>
      </c>
      <c r="O14" t="s">
        <v>8009</v>
      </c>
      <c r="P14" t="s">
        <v>7987</v>
      </c>
      <c r="Q14" t="s">
        <v>8007</v>
      </c>
      <c r="R14" t="s">
        <v>403</v>
      </c>
      <c r="S14" s="2">
        <v>0.37638888888888888</v>
      </c>
      <c r="T14" t="s">
        <v>807</v>
      </c>
    </row>
    <row r="15" spans="1:22" x14ac:dyDescent="0.3">
      <c r="A15" t="s">
        <v>543</v>
      </c>
      <c r="B15" t="s">
        <v>843</v>
      </c>
      <c r="C15" t="s">
        <v>844</v>
      </c>
      <c r="D15" t="s">
        <v>845</v>
      </c>
      <c r="E15" s="2">
        <v>0.44513888888888892</v>
      </c>
      <c r="F15" s="27" t="s">
        <v>8002</v>
      </c>
      <c r="G15" t="s">
        <v>8006</v>
      </c>
      <c r="H15" t="s">
        <v>7986</v>
      </c>
      <c r="I15" t="s">
        <v>8004</v>
      </c>
      <c r="J15" t="s">
        <v>8003</v>
      </c>
      <c r="K15" t="s">
        <v>8005</v>
      </c>
      <c r="L15" t="s">
        <v>7987</v>
      </c>
      <c r="M15" t="s">
        <v>8000</v>
      </c>
      <c r="N15" t="s">
        <v>8001</v>
      </c>
      <c r="O15" t="s">
        <v>8008</v>
      </c>
      <c r="P15" t="s">
        <v>8009</v>
      </c>
      <c r="Q15" t="s">
        <v>8007</v>
      </c>
      <c r="R15" t="s">
        <v>403</v>
      </c>
      <c r="S15" s="2">
        <v>0.4680555555555555</v>
      </c>
      <c r="T15" t="s">
        <v>807</v>
      </c>
    </row>
    <row r="16" spans="1:22" x14ac:dyDescent="0.3">
      <c r="A16" t="s">
        <v>543</v>
      </c>
      <c r="B16" t="s">
        <v>846</v>
      </c>
      <c r="C16" t="s">
        <v>847</v>
      </c>
      <c r="D16" t="s">
        <v>848</v>
      </c>
      <c r="E16" s="2">
        <v>0.3979166666666667</v>
      </c>
      <c r="F16" s="27" t="s">
        <v>8001</v>
      </c>
      <c r="G16" t="s">
        <v>8000</v>
      </c>
      <c r="H16" t="s">
        <v>7986</v>
      </c>
      <c r="I16" t="s">
        <v>8005</v>
      </c>
      <c r="J16" t="s">
        <v>8002</v>
      </c>
      <c r="K16" t="s">
        <v>8006</v>
      </c>
      <c r="L16" t="s">
        <v>8003</v>
      </c>
      <c r="M16" t="s">
        <v>8004</v>
      </c>
      <c r="N16" t="s">
        <v>8009</v>
      </c>
      <c r="O16" t="s">
        <v>8008</v>
      </c>
      <c r="P16" t="s">
        <v>8007</v>
      </c>
      <c r="Q16" t="s">
        <v>7987</v>
      </c>
      <c r="R16" t="s">
        <v>403</v>
      </c>
      <c r="S16" s="2">
        <v>0.44166666666666665</v>
      </c>
      <c r="T16" t="s">
        <v>807</v>
      </c>
    </row>
    <row r="17" spans="1:20" x14ac:dyDescent="0.3">
      <c r="A17" t="s">
        <v>547</v>
      </c>
      <c r="B17" t="s">
        <v>849</v>
      </c>
      <c r="C17" t="s">
        <v>850</v>
      </c>
      <c r="D17" t="s">
        <v>851</v>
      </c>
      <c r="E17" s="2">
        <v>0.4513888888888889</v>
      </c>
      <c r="F17" s="27" t="s">
        <v>7986</v>
      </c>
      <c r="G17" t="s">
        <v>8001</v>
      </c>
      <c r="H17" t="s">
        <v>8000</v>
      </c>
      <c r="I17" t="s">
        <v>8008</v>
      </c>
      <c r="J17" t="s">
        <v>7987</v>
      </c>
      <c r="K17" t="s">
        <v>8005</v>
      </c>
      <c r="L17" t="s">
        <v>8003</v>
      </c>
      <c r="M17" t="s">
        <v>8002</v>
      </c>
      <c r="N17" t="s">
        <v>8004</v>
      </c>
      <c r="O17" t="s">
        <v>8007</v>
      </c>
      <c r="P17" t="s">
        <v>8009</v>
      </c>
      <c r="Q17" t="s">
        <v>8006</v>
      </c>
      <c r="R17" t="s">
        <v>820</v>
      </c>
      <c r="S17" s="2">
        <v>0.48958333333333331</v>
      </c>
      <c r="T17" s="20" t="s">
        <v>802</v>
      </c>
    </row>
    <row r="18" spans="1:20" x14ac:dyDescent="0.3">
      <c r="A18" t="s">
        <v>552</v>
      </c>
      <c r="B18" t="s">
        <v>852</v>
      </c>
      <c r="C18" t="s">
        <v>853</v>
      </c>
      <c r="D18" t="s">
        <v>854</v>
      </c>
      <c r="E18" s="2">
        <v>0.47083333333333338</v>
      </c>
      <c r="F18" s="27" t="s">
        <v>7986</v>
      </c>
      <c r="G18" t="s">
        <v>8001</v>
      </c>
      <c r="H18" t="s">
        <v>8002</v>
      </c>
      <c r="I18" t="s">
        <v>7987</v>
      </c>
      <c r="J18" t="s">
        <v>8003</v>
      </c>
      <c r="K18" t="s">
        <v>8004</v>
      </c>
      <c r="L18" t="s">
        <v>8000</v>
      </c>
      <c r="M18" t="s">
        <v>8005</v>
      </c>
      <c r="N18" t="s">
        <v>8010</v>
      </c>
      <c r="O18" t="s">
        <v>8007</v>
      </c>
      <c r="P18" t="s">
        <v>8006</v>
      </c>
      <c r="Q18" t="s">
        <v>8009</v>
      </c>
      <c r="R18" t="s">
        <v>855</v>
      </c>
      <c r="S18" s="2">
        <v>0.50069444444444444</v>
      </c>
      <c r="T18" t="s">
        <v>807</v>
      </c>
    </row>
    <row r="19" spans="1:20" x14ac:dyDescent="0.3">
      <c r="A19" t="s">
        <v>557</v>
      </c>
      <c r="B19" t="s">
        <v>856</v>
      </c>
      <c r="C19" t="s">
        <v>857</v>
      </c>
      <c r="D19" t="s">
        <v>858</v>
      </c>
      <c r="E19" s="2">
        <v>0.54375000000000007</v>
      </c>
      <c r="F19" s="27" t="s">
        <v>7987</v>
      </c>
      <c r="G19" t="s">
        <v>8008</v>
      </c>
      <c r="H19" t="s">
        <v>7986</v>
      </c>
      <c r="I19" t="s">
        <v>8001</v>
      </c>
      <c r="J19" t="s">
        <v>8005</v>
      </c>
      <c r="K19" t="s">
        <v>8002</v>
      </c>
      <c r="L19" t="s">
        <v>8003</v>
      </c>
      <c r="M19" t="s">
        <v>8004</v>
      </c>
      <c r="N19" t="s">
        <v>8000</v>
      </c>
      <c r="O19" t="s">
        <v>8009</v>
      </c>
      <c r="P19" t="s">
        <v>8006</v>
      </c>
      <c r="Q19" t="s">
        <v>8007</v>
      </c>
      <c r="R19" t="s">
        <v>403</v>
      </c>
      <c r="S19" s="2">
        <v>0.63194444444444442</v>
      </c>
      <c r="T19" s="20" t="s">
        <v>802</v>
      </c>
    </row>
    <row r="20" spans="1:20" x14ac:dyDescent="0.3">
      <c r="A20" t="s">
        <v>557</v>
      </c>
      <c r="B20" t="s">
        <v>859</v>
      </c>
      <c r="C20" t="s">
        <v>860</v>
      </c>
      <c r="D20" t="s">
        <v>861</v>
      </c>
      <c r="E20" s="2">
        <v>0.39930555555555558</v>
      </c>
      <c r="F20" s="27" t="s">
        <v>8002</v>
      </c>
      <c r="G20" t="s">
        <v>8006</v>
      </c>
      <c r="H20" t="s">
        <v>8008</v>
      </c>
      <c r="I20" t="s">
        <v>7986</v>
      </c>
      <c r="J20" t="s">
        <v>8004</v>
      </c>
      <c r="K20" t="s">
        <v>8003</v>
      </c>
      <c r="L20" t="s">
        <v>8009</v>
      </c>
      <c r="M20" t="s">
        <v>8005</v>
      </c>
      <c r="N20" t="s">
        <v>8001</v>
      </c>
      <c r="O20" t="s">
        <v>8007</v>
      </c>
      <c r="P20" t="s">
        <v>8000</v>
      </c>
      <c r="Q20" t="s">
        <v>7987</v>
      </c>
      <c r="R20" t="s">
        <v>820</v>
      </c>
      <c r="S20" s="2">
        <v>0.45277777777777778</v>
      </c>
      <c r="T20" t="s">
        <v>807</v>
      </c>
    </row>
    <row r="21" spans="1:20" x14ac:dyDescent="0.3">
      <c r="A21" t="s">
        <v>561</v>
      </c>
      <c r="B21" t="s">
        <v>862</v>
      </c>
      <c r="C21" t="s">
        <v>863</v>
      </c>
      <c r="D21" t="s">
        <v>864</v>
      </c>
      <c r="E21" s="2">
        <v>0.50277777777777777</v>
      </c>
      <c r="F21" s="27" t="s">
        <v>7987</v>
      </c>
      <c r="G21" t="s">
        <v>8003</v>
      </c>
      <c r="H21" t="s">
        <v>8004</v>
      </c>
      <c r="I21" t="s">
        <v>8008</v>
      </c>
      <c r="J21" t="s">
        <v>8005</v>
      </c>
      <c r="K21" t="s">
        <v>8001</v>
      </c>
      <c r="L21" t="s">
        <v>8000</v>
      </c>
      <c r="M21" t="s">
        <v>7986</v>
      </c>
      <c r="N21" t="s">
        <v>8002</v>
      </c>
      <c r="O21" t="s">
        <v>8006</v>
      </c>
      <c r="P21" t="s">
        <v>8009</v>
      </c>
      <c r="Q21" t="s">
        <v>8007</v>
      </c>
      <c r="R21" t="s">
        <v>820</v>
      </c>
      <c r="S21" s="2">
        <v>0.53472222222222221</v>
      </c>
      <c r="T21" s="20" t="s">
        <v>802</v>
      </c>
    </row>
    <row r="22" spans="1:20" x14ac:dyDescent="0.3">
      <c r="A22" t="s">
        <v>565</v>
      </c>
      <c r="B22" t="s">
        <v>865</v>
      </c>
      <c r="C22" t="s">
        <v>866</v>
      </c>
      <c r="D22" t="s">
        <v>867</v>
      </c>
      <c r="E22" s="2">
        <v>0.63194444444444442</v>
      </c>
      <c r="F22" s="27" t="s">
        <v>7986</v>
      </c>
      <c r="G22" t="s">
        <v>8001</v>
      </c>
      <c r="H22" t="s">
        <v>7987</v>
      </c>
      <c r="I22" t="s">
        <v>8006</v>
      </c>
      <c r="J22" t="s">
        <v>8008</v>
      </c>
      <c r="K22" t="s">
        <v>8002</v>
      </c>
      <c r="L22" t="s">
        <v>8005</v>
      </c>
      <c r="M22" t="s">
        <v>8003</v>
      </c>
      <c r="N22" t="s">
        <v>8004</v>
      </c>
      <c r="O22" t="s">
        <v>8000</v>
      </c>
      <c r="P22" t="s">
        <v>8007</v>
      </c>
      <c r="Q22" t="s">
        <v>8009</v>
      </c>
      <c r="R22" t="s">
        <v>855</v>
      </c>
      <c r="S22" s="2">
        <v>0.64027777777777783</v>
      </c>
      <c r="T22" t="s">
        <v>807</v>
      </c>
    </row>
    <row r="23" spans="1:20" x14ac:dyDescent="0.3">
      <c r="A23" t="s">
        <v>565</v>
      </c>
      <c r="B23" t="s">
        <v>868</v>
      </c>
      <c r="C23" t="s">
        <v>869</v>
      </c>
      <c r="D23" t="s">
        <v>870</v>
      </c>
      <c r="E23" s="2">
        <v>0.56736111111111109</v>
      </c>
      <c r="F23" s="27" t="s">
        <v>7986</v>
      </c>
      <c r="G23" t="s">
        <v>8002</v>
      </c>
      <c r="H23" t="s">
        <v>8006</v>
      </c>
      <c r="I23" t="s">
        <v>8008</v>
      </c>
      <c r="J23" t="s">
        <v>8001</v>
      </c>
      <c r="K23" t="s">
        <v>8005</v>
      </c>
      <c r="L23" t="s">
        <v>8000</v>
      </c>
      <c r="M23" t="s">
        <v>7987</v>
      </c>
      <c r="N23" t="s">
        <v>8003</v>
      </c>
      <c r="O23" t="s">
        <v>8004</v>
      </c>
      <c r="P23" t="s">
        <v>8007</v>
      </c>
      <c r="Q23" t="s">
        <v>8009</v>
      </c>
      <c r="R23" s="24" t="s">
        <v>801</v>
      </c>
      <c r="S23" s="25">
        <v>0.59166666666666667</v>
      </c>
      <c r="T23" s="24" t="s">
        <v>807</v>
      </c>
    </row>
    <row r="24" spans="1:20" x14ac:dyDescent="0.3">
      <c r="A24" t="s">
        <v>569</v>
      </c>
      <c r="B24" t="s">
        <v>871</v>
      </c>
      <c r="C24" t="s">
        <v>872</v>
      </c>
      <c r="D24" t="s">
        <v>873</v>
      </c>
      <c r="E24" s="2">
        <v>0.42777777777777781</v>
      </c>
      <c r="F24" s="27" t="s">
        <v>8000</v>
      </c>
      <c r="G24" t="s">
        <v>7986</v>
      </c>
      <c r="H24" t="s">
        <v>8008</v>
      </c>
      <c r="I24" t="s">
        <v>7987</v>
      </c>
      <c r="J24" t="s">
        <v>8005</v>
      </c>
      <c r="K24" t="s">
        <v>8002</v>
      </c>
      <c r="L24" t="s">
        <v>8003</v>
      </c>
      <c r="M24" t="s">
        <v>8001</v>
      </c>
      <c r="N24" t="s">
        <v>8004</v>
      </c>
      <c r="O24" t="s">
        <v>8006</v>
      </c>
      <c r="P24" t="s">
        <v>8009</v>
      </c>
      <c r="Q24" t="s">
        <v>8007</v>
      </c>
      <c r="R24" t="s">
        <v>403</v>
      </c>
      <c r="S24" s="2">
        <v>0.48125000000000001</v>
      </c>
      <c r="T24" t="s">
        <v>807</v>
      </c>
    </row>
    <row r="25" spans="1:20" x14ac:dyDescent="0.3">
      <c r="A25" t="s">
        <v>569</v>
      </c>
      <c r="B25" t="s">
        <v>874</v>
      </c>
      <c r="C25" t="s">
        <v>875</v>
      </c>
      <c r="D25" t="s">
        <v>876</v>
      </c>
      <c r="E25" s="2">
        <v>0.35902777777777778</v>
      </c>
      <c r="F25" s="27" t="s">
        <v>8000</v>
      </c>
      <c r="G25" t="s">
        <v>8002</v>
      </c>
      <c r="H25" t="s">
        <v>8001</v>
      </c>
      <c r="I25" t="s">
        <v>8006</v>
      </c>
      <c r="J25" t="s">
        <v>8005</v>
      </c>
      <c r="K25" t="s">
        <v>8003</v>
      </c>
      <c r="L25" t="s">
        <v>7987</v>
      </c>
      <c r="M25" t="s">
        <v>8004</v>
      </c>
      <c r="N25" t="s">
        <v>8008</v>
      </c>
      <c r="O25" t="s">
        <v>8009</v>
      </c>
      <c r="P25" t="s">
        <v>8007</v>
      </c>
      <c r="Q25" t="s">
        <v>7986</v>
      </c>
      <c r="R25" t="s">
        <v>403</v>
      </c>
      <c r="S25" s="2">
        <v>0.38194444444444442</v>
      </c>
      <c r="T25" t="s">
        <v>807</v>
      </c>
    </row>
    <row r="26" spans="1:20" x14ac:dyDescent="0.3">
      <c r="A26" t="s">
        <v>573</v>
      </c>
      <c r="B26" t="s">
        <v>877</v>
      </c>
      <c r="C26" t="s">
        <v>878</v>
      </c>
      <c r="D26" t="s">
        <v>879</v>
      </c>
      <c r="E26" s="2">
        <v>0.33333333333333331</v>
      </c>
      <c r="F26" s="27" t="s">
        <v>7987</v>
      </c>
      <c r="G26" t="s">
        <v>7986</v>
      </c>
      <c r="H26" t="s">
        <v>8003</v>
      </c>
      <c r="I26" t="s">
        <v>8004</v>
      </c>
      <c r="J26" t="s">
        <v>8005</v>
      </c>
      <c r="K26" t="s">
        <v>8002</v>
      </c>
      <c r="L26" t="s">
        <v>8006</v>
      </c>
      <c r="M26" t="s">
        <v>8008</v>
      </c>
      <c r="N26" t="s">
        <v>8001</v>
      </c>
      <c r="O26" t="s">
        <v>8000</v>
      </c>
      <c r="P26" t="s">
        <v>8009</v>
      </c>
      <c r="Q26" t="s">
        <v>8007</v>
      </c>
      <c r="R26" t="s">
        <v>801</v>
      </c>
      <c r="S26" s="2">
        <v>0.35416666666666669</v>
      </c>
      <c r="T26" s="20" t="s">
        <v>802</v>
      </c>
    </row>
    <row r="27" spans="1:20" x14ac:dyDescent="0.3">
      <c r="A27" t="s">
        <v>577</v>
      </c>
      <c r="B27" t="s">
        <v>880</v>
      </c>
      <c r="C27" t="s">
        <v>881</v>
      </c>
      <c r="D27" t="s">
        <v>882</v>
      </c>
      <c r="E27" s="2">
        <v>0.54166666666666663</v>
      </c>
      <c r="F27" s="27" t="s">
        <v>7987</v>
      </c>
      <c r="G27" t="s">
        <v>7986</v>
      </c>
      <c r="H27" t="s">
        <v>8000</v>
      </c>
      <c r="I27" t="s">
        <v>8008</v>
      </c>
      <c r="J27" t="s">
        <v>8005</v>
      </c>
      <c r="K27" t="s">
        <v>8004</v>
      </c>
      <c r="L27" t="s">
        <v>8003</v>
      </c>
      <c r="M27" t="s">
        <v>8002</v>
      </c>
      <c r="N27" t="s">
        <v>8006</v>
      </c>
      <c r="O27" t="s">
        <v>8009</v>
      </c>
      <c r="P27" t="s">
        <v>8001</v>
      </c>
      <c r="Q27" t="s">
        <v>8007</v>
      </c>
      <c r="R27" t="s">
        <v>855</v>
      </c>
      <c r="S27" s="2">
        <v>0.66666666666666663</v>
      </c>
      <c r="T27" s="20" t="s">
        <v>802</v>
      </c>
    </row>
    <row r="28" spans="1:20" x14ac:dyDescent="0.3">
      <c r="A28" t="s">
        <v>577</v>
      </c>
      <c r="B28" t="s">
        <v>883</v>
      </c>
      <c r="C28" t="s">
        <v>884</v>
      </c>
      <c r="D28" t="s">
        <v>885</v>
      </c>
      <c r="E28" s="2">
        <v>0.43124999999999997</v>
      </c>
      <c r="F28" s="27" t="s">
        <v>7986</v>
      </c>
      <c r="G28" t="s">
        <v>8000</v>
      </c>
      <c r="H28" t="s">
        <v>8008</v>
      </c>
      <c r="I28" t="s">
        <v>7987</v>
      </c>
      <c r="J28" t="s">
        <v>8004</v>
      </c>
      <c r="K28" t="s">
        <v>8003</v>
      </c>
      <c r="L28" t="s">
        <v>8005</v>
      </c>
      <c r="M28" t="s">
        <v>8006</v>
      </c>
      <c r="N28" t="s">
        <v>8001</v>
      </c>
      <c r="O28" t="s">
        <v>8002</v>
      </c>
      <c r="P28" t="s">
        <v>8009</v>
      </c>
      <c r="Q28" t="s">
        <v>8007</v>
      </c>
      <c r="R28" t="s">
        <v>855</v>
      </c>
      <c r="S28" s="2">
        <v>0.45833333333333331</v>
      </c>
      <c r="T28" t="s">
        <v>807</v>
      </c>
    </row>
    <row r="29" spans="1:20" x14ac:dyDescent="0.3">
      <c r="A29" t="s">
        <v>581</v>
      </c>
      <c r="B29" t="s">
        <v>886</v>
      </c>
      <c r="C29" t="s">
        <v>887</v>
      </c>
      <c r="D29" t="s">
        <v>888</v>
      </c>
      <c r="E29" s="2">
        <v>0.56319444444444444</v>
      </c>
      <c r="F29" s="27" t="s">
        <v>8003</v>
      </c>
      <c r="G29" t="s">
        <v>8004</v>
      </c>
      <c r="H29" t="s">
        <v>8000</v>
      </c>
      <c r="I29" t="s">
        <v>7986</v>
      </c>
      <c r="J29" t="s">
        <v>7987</v>
      </c>
      <c r="K29" t="s">
        <v>8005</v>
      </c>
      <c r="L29" t="s">
        <v>8008</v>
      </c>
      <c r="M29" t="s">
        <v>8006</v>
      </c>
      <c r="N29" t="s">
        <v>8009</v>
      </c>
      <c r="O29" t="s">
        <v>8001</v>
      </c>
      <c r="P29" t="s">
        <v>8002</v>
      </c>
      <c r="Q29" t="s">
        <v>8007</v>
      </c>
      <c r="R29" t="s">
        <v>855</v>
      </c>
      <c r="S29" s="2">
        <v>0.63194444444444442</v>
      </c>
      <c r="T29" t="s">
        <v>807</v>
      </c>
    </row>
    <row r="30" spans="1:20" x14ac:dyDescent="0.3">
      <c r="A30" t="s">
        <v>585</v>
      </c>
      <c r="B30" t="s">
        <v>889</v>
      </c>
      <c r="C30" t="s">
        <v>890</v>
      </c>
      <c r="D30" t="s">
        <v>891</v>
      </c>
      <c r="E30" s="2">
        <v>0.34861111111111115</v>
      </c>
      <c r="F30" s="27" t="s">
        <v>7987</v>
      </c>
      <c r="G30" t="s">
        <v>7986</v>
      </c>
      <c r="H30" t="s">
        <v>8000</v>
      </c>
      <c r="I30" t="s">
        <v>8008</v>
      </c>
      <c r="J30" t="s">
        <v>8006</v>
      </c>
      <c r="K30" t="s">
        <v>8009</v>
      </c>
      <c r="L30" t="s">
        <v>8001</v>
      </c>
      <c r="M30" t="s">
        <v>8002</v>
      </c>
      <c r="N30" t="s">
        <v>8004</v>
      </c>
      <c r="O30" t="s">
        <v>8003</v>
      </c>
      <c r="P30" t="s">
        <v>8007</v>
      </c>
      <c r="Q30" t="s">
        <v>8005</v>
      </c>
      <c r="R30" t="s">
        <v>403</v>
      </c>
      <c r="S30" s="2">
        <v>0.36458333333333331</v>
      </c>
      <c r="T30" t="s">
        <v>807</v>
      </c>
    </row>
    <row r="31" spans="1:20" x14ac:dyDescent="0.3">
      <c r="A31" t="s">
        <v>589</v>
      </c>
      <c r="B31" t="s">
        <v>892</v>
      </c>
      <c r="C31" t="s">
        <v>893</v>
      </c>
      <c r="D31" t="s">
        <v>894</v>
      </c>
      <c r="E31" s="2">
        <v>0.6479166666666667</v>
      </c>
      <c r="F31" s="27" t="s">
        <v>7987</v>
      </c>
      <c r="G31" t="s">
        <v>8000</v>
      </c>
      <c r="H31" t="s">
        <v>7986</v>
      </c>
      <c r="I31" t="s">
        <v>8008</v>
      </c>
      <c r="J31" t="s">
        <v>8004</v>
      </c>
      <c r="K31" t="s">
        <v>8006</v>
      </c>
      <c r="L31" t="s">
        <v>8001</v>
      </c>
      <c r="M31" t="s">
        <v>8005</v>
      </c>
      <c r="N31" t="s">
        <v>8003</v>
      </c>
      <c r="O31" t="s">
        <v>8007</v>
      </c>
      <c r="P31" t="s">
        <v>8002</v>
      </c>
      <c r="Q31" t="s">
        <v>8009</v>
      </c>
      <c r="R31" t="s">
        <v>820</v>
      </c>
      <c r="S31" s="2">
        <v>0.70694444444444438</v>
      </c>
      <c r="T31" s="20" t="s">
        <v>802</v>
      </c>
    </row>
    <row r="32" spans="1:20" x14ac:dyDescent="0.3">
      <c r="A32" t="s">
        <v>589</v>
      </c>
      <c r="B32" t="s">
        <v>895</v>
      </c>
      <c r="C32" t="s">
        <v>896</v>
      </c>
      <c r="D32" t="s">
        <v>897</v>
      </c>
      <c r="E32" s="2">
        <v>0.53680555555555554</v>
      </c>
      <c r="F32" s="27" t="s">
        <v>7986</v>
      </c>
      <c r="G32" t="s">
        <v>8000</v>
      </c>
      <c r="H32" t="s">
        <v>8004</v>
      </c>
      <c r="I32" t="s">
        <v>8003</v>
      </c>
      <c r="J32" t="s">
        <v>8006</v>
      </c>
      <c r="K32" t="s">
        <v>8002</v>
      </c>
      <c r="L32" t="s">
        <v>8001</v>
      </c>
      <c r="M32" t="s">
        <v>8008</v>
      </c>
      <c r="N32" t="s">
        <v>7987</v>
      </c>
      <c r="O32" t="s">
        <v>8007</v>
      </c>
      <c r="P32" t="s">
        <v>8005</v>
      </c>
      <c r="Q32" t="s">
        <v>8009</v>
      </c>
      <c r="R32" t="s">
        <v>403</v>
      </c>
      <c r="S32" s="2">
        <v>0.59166666666666667</v>
      </c>
      <c r="T32" t="s">
        <v>807</v>
      </c>
    </row>
    <row r="33" spans="1:20" x14ac:dyDescent="0.3">
      <c r="A33" t="s">
        <v>589</v>
      </c>
      <c r="B33" t="s">
        <v>898</v>
      </c>
      <c r="C33" t="s">
        <v>899</v>
      </c>
      <c r="D33" t="s">
        <v>900</v>
      </c>
      <c r="E33" s="2">
        <v>0.36944444444444446</v>
      </c>
      <c r="F33" s="27" t="s">
        <v>7986</v>
      </c>
      <c r="G33" t="s">
        <v>8001</v>
      </c>
      <c r="H33" t="s">
        <v>8005</v>
      </c>
      <c r="I33" t="s">
        <v>7987</v>
      </c>
      <c r="J33" t="s">
        <v>8002</v>
      </c>
      <c r="K33" t="s">
        <v>8006</v>
      </c>
      <c r="L33" t="s">
        <v>8000</v>
      </c>
      <c r="M33" t="s">
        <v>8003</v>
      </c>
      <c r="N33" t="s">
        <v>8004</v>
      </c>
      <c r="O33" t="s">
        <v>8009</v>
      </c>
      <c r="P33" t="s">
        <v>8008</v>
      </c>
      <c r="Q33" t="s">
        <v>8007</v>
      </c>
      <c r="R33" t="s">
        <v>403</v>
      </c>
      <c r="S33" s="2">
        <v>0.3923611111111111</v>
      </c>
      <c r="T33" s="20" t="s">
        <v>802</v>
      </c>
    </row>
    <row r="34" spans="1:20" x14ac:dyDescent="0.3">
      <c r="A34" t="s">
        <v>592</v>
      </c>
      <c r="B34" t="s">
        <v>901</v>
      </c>
      <c r="C34" t="s">
        <v>902</v>
      </c>
      <c r="D34" t="s">
        <v>903</v>
      </c>
      <c r="E34" s="2">
        <v>0.57291666666666663</v>
      </c>
      <c r="F34" s="27" t="s">
        <v>7986</v>
      </c>
      <c r="G34" t="s">
        <v>8000</v>
      </c>
      <c r="H34" t="s">
        <v>7987</v>
      </c>
      <c r="I34" t="s">
        <v>8003</v>
      </c>
      <c r="J34" t="s">
        <v>8004</v>
      </c>
      <c r="K34" t="s">
        <v>8005</v>
      </c>
      <c r="L34" t="s">
        <v>8008</v>
      </c>
      <c r="M34" t="s">
        <v>8002</v>
      </c>
      <c r="N34" t="s">
        <v>8006</v>
      </c>
      <c r="O34" t="s">
        <v>8001</v>
      </c>
      <c r="P34" t="s">
        <v>8007</v>
      </c>
      <c r="Q34" t="s">
        <v>8009</v>
      </c>
      <c r="R34" t="s">
        <v>403</v>
      </c>
      <c r="S34" s="2">
        <v>0.625</v>
      </c>
      <c r="T34" t="s">
        <v>807</v>
      </c>
    </row>
    <row r="35" spans="1:20" x14ac:dyDescent="0.3">
      <c r="A35" t="s">
        <v>592</v>
      </c>
      <c r="B35" t="s">
        <v>904</v>
      </c>
      <c r="C35" t="s">
        <v>905</v>
      </c>
      <c r="D35" t="s">
        <v>906</v>
      </c>
      <c r="E35" s="2">
        <v>0.30555555555555552</v>
      </c>
      <c r="F35" s="27" t="s">
        <v>7987</v>
      </c>
      <c r="G35" t="s">
        <v>7986</v>
      </c>
      <c r="H35" t="s">
        <v>8000</v>
      </c>
      <c r="I35" t="s">
        <v>8001</v>
      </c>
      <c r="J35" t="s">
        <v>8005</v>
      </c>
      <c r="K35" t="s">
        <v>8002</v>
      </c>
      <c r="L35" t="s">
        <v>8006</v>
      </c>
      <c r="M35" t="s">
        <v>8003</v>
      </c>
      <c r="N35" t="s">
        <v>8004</v>
      </c>
      <c r="O35" t="s">
        <v>8008</v>
      </c>
      <c r="P35" t="s">
        <v>8007</v>
      </c>
      <c r="Q35" t="s">
        <v>8009</v>
      </c>
      <c r="R35" t="s">
        <v>855</v>
      </c>
      <c r="S35" s="2">
        <v>0.33333333333333331</v>
      </c>
      <c r="T35" s="20" t="s">
        <v>802</v>
      </c>
    </row>
    <row r="36" spans="1:20" x14ac:dyDescent="0.3">
      <c r="A36" t="s">
        <v>596</v>
      </c>
      <c r="B36" t="s">
        <v>907</v>
      </c>
      <c r="C36" t="s">
        <v>908</v>
      </c>
      <c r="D36" t="s">
        <v>909</v>
      </c>
      <c r="E36" s="2">
        <v>0.53472222222222221</v>
      </c>
      <c r="F36" s="27" t="s">
        <v>8001</v>
      </c>
      <c r="G36" t="s">
        <v>8005</v>
      </c>
      <c r="H36" t="s">
        <v>7987</v>
      </c>
      <c r="I36" t="s">
        <v>8002</v>
      </c>
      <c r="J36" t="s">
        <v>8003</v>
      </c>
      <c r="K36" t="s">
        <v>8004</v>
      </c>
      <c r="L36" t="s">
        <v>8000</v>
      </c>
      <c r="M36" t="s">
        <v>7986</v>
      </c>
      <c r="N36" t="s">
        <v>8008</v>
      </c>
      <c r="O36" t="s">
        <v>8007</v>
      </c>
      <c r="P36" t="s">
        <v>8009</v>
      </c>
      <c r="Q36" t="s">
        <v>8006</v>
      </c>
      <c r="R36" t="s">
        <v>403</v>
      </c>
      <c r="S36" s="2">
        <v>0.56736111111111109</v>
      </c>
      <c r="T36" s="20" t="s">
        <v>802</v>
      </c>
    </row>
    <row r="37" spans="1:20" x14ac:dyDescent="0.3">
      <c r="A37" t="s">
        <v>596</v>
      </c>
      <c r="B37" t="s">
        <v>910</v>
      </c>
      <c r="C37" t="s">
        <v>911</v>
      </c>
      <c r="D37" t="s">
        <v>912</v>
      </c>
      <c r="E37" s="2">
        <v>0.33402777777777781</v>
      </c>
      <c r="F37" s="27" t="s">
        <v>8002</v>
      </c>
      <c r="G37" t="s">
        <v>8003</v>
      </c>
      <c r="H37" t="s">
        <v>8004</v>
      </c>
      <c r="I37" t="s">
        <v>8001</v>
      </c>
      <c r="J37" t="s">
        <v>8005</v>
      </c>
      <c r="K37" t="s">
        <v>8000</v>
      </c>
      <c r="L37" t="s">
        <v>8008</v>
      </c>
      <c r="M37" t="s">
        <v>7987</v>
      </c>
      <c r="N37" t="s">
        <v>8006</v>
      </c>
      <c r="O37" t="s">
        <v>8009</v>
      </c>
      <c r="P37" t="s">
        <v>7986</v>
      </c>
      <c r="Q37" t="s">
        <v>8007</v>
      </c>
      <c r="R37" t="s">
        <v>403</v>
      </c>
      <c r="S37" s="2">
        <v>0.42777777777777781</v>
      </c>
      <c r="T37" s="20" t="s">
        <v>802</v>
      </c>
    </row>
    <row r="38" spans="1:20" s="22" customFormat="1" x14ac:dyDescent="0.3">
      <c r="A38" s="22" t="s">
        <v>605</v>
      </c>
      <c r="B38" s="22" t="s">
        <v>913</v>
      </c>
      <c r="C38" s="22" t="s">
        <v>914</v>
      </c>
      <c r="D38" s="22" t="s">
        <v>915</v>
      </c>
      <c r="E38" s="23">
        <v>0.29583333333333334</v>
      </c>
      <c r="F38" s="26" t="s">
        <v>609</v>
      </c>
      <c r="G38" s="22" t="s">
        <v>7989</v>
      </c>
      <c r="H38" s="22" t="s">
        <v>7992</v>
      </c>
      <c r="I38" s="22" t="s">
        <v>7994</v>
      </c>
      <c r="J38" s="22" t="s">
        <v>7995</v>
      </c>
      <c r="K38" s="22" t="s">
        <v>7996</v>
      </c>
      <c r="L38" s="22" t="s">
        <v>7993</v>
      </c>
      <c r="M38" s="22" t="s">
        <v>7990</v>
      </c>
      <c r="N38" s="22" t="s">
        <v>7991</v>
      </c>
      <c r="O38" s="22" t="s">
        <v>7988</v>
      </c>
      <c r="R38" s="22" t="s">
        <v>403</v>
      </c>
      <c r="S38" s="23">
        <v>0.3756944444444445</v>
      </c>
      <c r="T38" s="20" t="s">
        <v>802</v>
      </c>
    </row>
    <row r="39" spans="1:20" x14ac:dyDescent="0.3">
      <c r="A39" t="s">
        <v>610</v>
      </c>
      <c r="B39" t="s">
        <v>916</v>
      </c>
      <c r="C39" t="s">
        <v>917</v>
      </c>
      <c r="D39" t="s">
        <v>918</v>
      </c>
      <c r="E39" s="2">
        <v>0.59027777777777779</v>
      </c>
      <c r="F39" s="26" t="s">
        <v>7988</v>
      </c>
      <c r="G39" t="s">
        <v>7992</v>
      </c>
      <c r="H39" t="s">
        <v>7990</v>
      </c>
      <c r="I39" t="s">
        <v>7995</v>
      </c>
      <c r="J39" t="s">
        <v>7989</v>
      </c>
      <c r="K39" t="s">
        <v>7993</v>
      </c>
      <c r="L39" t="s">
        <v>7991</v>
      </c>
      <c r="M39" t="s">
        <v>7994</v>
      </c>
      <c r="N39" t="s">
        <v>7996</v>
      </c>
      <c r="O39" t="s">
        <v>609</v>
      </c>
      <c r="P39" s="21"/>
      <c r="Q39" s="21"/>
      <c r="R39" t="s">
        <v>403</v>
      </c>
      <c r="S39" s="2">
        <v>0.63750000000000007</v>
      </c>
      <c r="T39" t="s">
        <v>807</v>
      </c>
    </row>
    <row r="40" spans="1:20" x14ac:dyDescent="0.3">
      <c r="A40" t="s">
        <v>615</v>
      </c>
      <c r="B40" t="s">
        <v>919</v>
      </c>
      <c r="C40" t="s">
        <v>920</v>
      </c>
      <c r="D40" t="s">
        <v>921</v>
      </c>
      <c r="E40" s="2">
        <v>0.46319444444444446</v>
      </c>
      <c r="F40" s="26" t="s">
        <v>609</v>
      </c>
      <c r="G40" t="s">
        <v>7995</v>
      </c>
      <c r="H40" t="s">
        <v>7992</v>
      </c>
      <c r="I40" t="s">
        <v>7988</v>
      </c>
      <c r="J40" t="s">
        <v>7991</v>
      </c>
      <c r="K40" t="s">
        <v>7993</v>
      </c>
      <c r="L40" t="s">
        <v>7994</v>
      </c>
      <c r="M40" t="s">
        <v>7996</v>
      </c>
      <c r="N40" t="s">
        <v>7989</v>
      </c>
      <c r="O40" t="s">
        <v>7990</v>
      </c>
      <c r="P40" s="21"/>
      <c r="Q40" s="21"/>
      <c r="R40" t="s">
        <v>403</v>
      </c>
      <c r="S40" s="2">
        <v>0.51388888888888895</v>
      </c>
      <c r="T40" s="20" t="s">
        <v>802</v>
      </c>
    </row>
    <row r="41" spans="1:20" x14ac:dyDescent="0.3">
      <c r="A41" t="s">
        <v>615</v>
      </c>
      <c r="B41" t="s">
        <v>922</v>
      </c>
      <c r="C41" t="s">
        <v>923</v>
      </c>
      <c r="D41" t="s">
        <v>924</v>
      </c>
      <c r="E41" s="2">
        <v>0.29930555555555555</v>
      </c>
      <c r="F41" s="26" t="s">
        <v>609</v>
      </c>
      <c r="G41" t="s">
        <v>7988</v>
      </c>
      <c r="H41" t="s">
        <v>7992</v>
      </c>
      <c r="I41" t="s">
        <v>7993</v>
      </c>
      <c r="J41" t="s">
        <v>7989</v>
      </c>
      <c r="K41" t="s">
        <v>7991</v>
      </c>
      <c r="L41" t="s">
        <v>7996</v>
      </c>
      <c r="M41" t="s">
        <v>7995</v>
      </c>
      <c r="N41" t="s">
        <v>7990</v>
      </c>
      <c r="O41" t="s">
        <v>7994</v>
      </c>
      <c r="P41" s="21"/>
      <c r="Q41" s="21"/>
      <c r="R41" t="s">
        <v>403</v>
      </c>
      <c r="S41" s="2">
        <v>0.35138888888888892</v>
      </c>
      <c r="T41" t="s">
        <v>807</v>
      </c>
    </row>
    <row r="42" spans="1:20" x14ac:dyDescent="0.3">
      <c r="A42" t="s">
        <v>619</v>
      </c>
      <c r="B42" t="s">
        <v>925</v>
      </c>
      <c r="C42" t="s">
        <v>926</v>
      </c>
      <c r="D42" t="s">
        <v>927</v>
      </c>
      <c r="E42" s="2">
        <v>0.54722222222222217</v>
      </c>
      <c r="F42" s="26" t="s">
        <v>609</v>
      </c>
      <c r="G42" t="s">
        <v>7992</v>
      </c>
      <c r="H42" t="s">
        <v>7989</v>
      </c>
      <c r="I42" t="s">
        <v>7988</v>
      </c>
      <c r="J42" t="s">
        <v>7994</v>
      </c>
      <c r="K42" t="s">
        <v>7993</v>
      </c>
      <c r="L42" t="s">
        <v>7995</v>
      </c>
      <c r="M42" t="s">
        <v>7990</v>
      </c>
      <c r="N42" t="s">
        <v>7991</v>
      </c>
      <c r="O42" t="s">
        <v>7996</v>
      </c>
      <c r="P42" s="21"/>
      <c r="Q42" s="21"/>
      <c r="R42" t="s">
        <v>820</v>
      </c>
      <c r="S42" s="2">
        <v>0.7006944444444444</v>
      </c>
      <c r="T42" s="20" t="s">
        <v>802</v>
      </c>
    </row>
    <row r="43" spans="1:20" x14ac:dyDescent="0.3">
      <c r="A43" t="s">
        <v>623</v>
      </c>
      <c r="B43" t="s">
        <v>928</v>
      </c>
      <c r="C43" t="s">
        <v>929</v>
      </c>
      <c r="D43" t="s">
        <v>930</v>
      </c>
      <c r="E43" s="2">
        <v>0.3833333333333333</v>
      </c>
      <c r="F43" s="26" t="s">
        <v>609</v>
      </c>
      <c r="G43" t="s">
        <v>7992</v>
      </c>
      <c r="H43" t="s">
        <v>7995</v>
      </c>
      <c r="I43" t="s">
        <v>7990</v>
      </c>
      <c r="J43" t="s">
        <v>7991</v>
      </c>
      <c r="K43" t="s">
        <v>7989</v>
      </c>
      <c r="L43" t="s">
        <v>7994</v>
      </c>
      <c r="M43" t="s">
        <v>7988</v>
      </c>
      <c r="N43" t="s">
        <v>7993</v>
      </c>
      <c r="O43" t="s">
        <v>7996</v>
      </c>
      <c r="P43" s="21"/>
      <c r="Q43" s="21"/>
      <c r="R43" t="s">
        <v>855</v>
      </c>
      <c r="S43" s="2">
        <v>0.4513888888888889</v>
      </c>
      <c r="T43" s="20" t="s">
        <v>802</v>
      </c>
    </row>
    <row r="44" spans="1:20" x14ac:dyDescent="0.3">
      <c r="A44" t="s">
        <v>628</v>
      </c>
      <c r="B44" t="s">
        <v>931</v>
      </c>
      <c r="C44" t="s">
        <v>932</v>
      </c>
      <c r="D44" t="s">
        <v>933</v>
      </c>
      <c r="E44" s="2">
        <v>0.47083333333333338</v>
      </c>
      <c r="F44" s="26" t="s">
        <v>7989</v>
      </c>
      <c r="G44" t="s">
        <v>7991</v>
      </c>
      <c r="H44" t="s">
        <v>609</v>
      </c>
      <c r="I44" t="s">
        <v>7993</v>
      </c>
      <c r="J44" t="s">
        <v>7992</v>
      </c>
      <c r="K44" t="s">
        <v>7995</v>
      </c>
      <c r="L44" t="s">
        <v>7988</v>
      </c>
      <c r="M44" t="s">
        <v>7990</v>
      </c>
      <c r="N44" t="s">
        <v>7994</v>
      </c>
      <c r="O44" t="s">
        <v>7996</v>
      </c>
      <c r="P44" s="21"/>
      <c r="Q44" s="21"/>
      <c r="R44" t="s">
        <v>403</v>
      </c>
      <c r="S44" s="2">
        <v>0.55138888888888882</v>
      </c>
      <c r="T44" s="20" t="s">
        <v>802</v>
      </c>
    </row>
    <row r="45" spans="1:20" x14ac:dyDescent="0.3">
      <c r="A45" t="s">
        <v>628</v>
      </c>
      <c r="B45" t="s">
        <v>934</v>
      </c>
      <c r="C45" t="s">
        <v>935</v>
      </c>
      <c r="D45" t="s">
        <v>936</v>
      </c>
      <c r="E45" s="2">
        <v>0.35138888888888892</v>
      </c>
      <c r="F45" s="26" t="s">
        <v>7989</v>
      </c>
      <c r="G45" t="s">
        <v>7992</v>
      </c>
      <c r="H45" t="s">
        <v>609</v>
      </c>
      <c r="I45" t="s">
        <v>7995</v>
      </c>
      <c r="J45" t="s">
        <v>7990</v>
      </c>
      <c r="K45" t="s">
        <v>7994</v>
      </c>
      <c r="L45" t="s">
        <v>7993</v>
      </c>
      <c r="M45" t="s">
        <v>7988</v>
      </c>
      <c r="N45" t="s">
        <v>7996</v>
      </c>
      <c r="O45" t="s">
        <v>7991</v>
      </c>
      <c r="P45" s="21"/>
      <c r="Q45" s="21"/>
      <c r="R45" t="s">
        <v>820</v>
      </c>
      <c r="S45" s="2">
        <v>0.45208333333333334</v>
      </c>
      <c r="T45" t="s">
        <v>807</v>
      </c>
    </row>
    <row r="46" spans="1:20" x14ac:dyDescent="0.3">
      <c r="A46" t="s">
        <v>633</v>
      </c>
      <c r="B46" t="s">
        <v>937</v>
      </c>
      <c r="C46" t="s">
        <v>938</v>
      </c>
      <c r="D46" t="s">
        <v>939</v>
      </c>
      <c r="E46" s="2">
        <v>0.34583333333333338</v>
      </c>
      <c r="F46" s="26" t="s">
        <v>7990</v>
      </c>
      <c r="G46" t="s">
        <v>7992</v>
      </c>
      <c r="H46" t="s">
        <v>7993</v>
      </c>
      <c r="I46" t="s">
        <v>7989</v>
      </c>
      <c r="J46" t="s">
        <v>7995</v>
      </c>
      <c r="K46" t="s">
        <v>7996</v>
      </c>
      <c r="L46" t="s">
        <v>7991</v>
      </c>
      <c r="M46" t="s">
        <v>609</v>
      </c>
      <c r="N46" t="s">
        <v>7988</v>
      </c>
      <c r="O46" t="s">
        <v>7994</v>
      </c>
      <c r="P46" s="21"/>
      <c r="Q46" s="21"/>
      <c r="R46" t="s">
        <v>403</v>
      </c>
      <c r="S46" s="2">
        <v>0.35486111111111113</v>
      </c>
      <c r="T46" t="s">
        <v>807</v>
      </c>
    </row>
    <row r="47" spans="1:20" x14ac:dyDescent="0.3">
      <c r="A47" t="s">
        <v>638</v>
      </c>
      <c r="B47" t="s">
        <v>940</v>
      </c>
      <c r="C47" t="s">
        <v>941</v>
      </c>
      <c r="D47" t="s">
        <v>942</v>
      </c>
      <c r="E47" s="2">
        <v>0.61736111111111114</v>
      </c>
      <c r="F47" s="26" t="s">
        <v>7991</v>
      </c>
      <c r="G47" t="s">
        <v>7996</v>
      </c>
      <c r="H47" t="s">
        <v>609</v>
      </c>
      <c r="I47" t="s">
        <v>7993</v>
      </c>
      <c r="J47" t="s">
        <v>7989</v>
      </c>
      <c r="K47" t="s">
        <v>7992</v>
      </c>
      <c r="L47" t="s">
        <v>7995</v>
      </c>
      <c r="M47" t="s">
        <v>7994</v>
      </c>
      <c r="N47" t="s">
        <v>7990</v>
      </c>
      <c r="O47" t="s">
        <v>7988</v>
      </c>
      <c r="P47" s="21"/>
      <c r="Q47" s="21"/>
      <c r="R47" t="s">
        <v>403</v>
      </c>
      <c r="S47" s="2">
        <v>0.65277777777777779</v>
      </c>
      <c r="T47" t="s">
        <v>807</v>
      </c>
    </row>
    <row r="48" spans="1:20" x14ac:dyDescent="0.3">
      <c r="A48" t="s">
        <v>638</v>
      </c>
      <c r="B48" t="s">
        <v>943</v>
      </c>
      <c r="C48" t="s">
        <v>944</v>
      </c>
      <c r="D48" t="s">
        <v>945</v>
      </c>
      <c r="E48" s="2">
        <v>0.55625000000000002</v>
      </c>
      <c r="F48" s="26" t="s">
        <v>7995</v>
      </c>
      <c r="G48" t="s">
        <v>7990</v>
      </c>
      <c r="H48" t="s">
        <v>7996</v>
      </c>
      <c r="I48" t="s">
        <v>7992</v>
      </c>
      <c r="J48" t="s">
        <v>7993</v>
      </c>
      <c r="K48" t="s">
        <v>7991</v>
      </c>
      <c r="L48" t="s">
        <v>7988</v>
      </c>
      <c r="M48" t="s">
        <v>7989</v>
      </c>
      <c r="N48" t="s">
        <v>609</v>
      </c>
      <c r="O48" t="s">
        <v>7994</v>
      </c>
      <c r="P48" s="21"/>
      <c r="Q48" s="21"/>
      <c r="R48" t="s">
        <v>403</v>
      </c>
      <c r="S48" s="2">
        <v>0.61111111111111105</v>
      </c>
      <c r="T48" t="s">
        <v>807</v>
      </c>
    </row>
    <row r="49" spans="1:22" x14ac:dyDescent="0.3">
      <c r="A49" t="s">
        <v>642</v>
      </c>
      <c r="B49" t="s">
        <v>946</v>
      </c>
      <c r="C49" t="s">
        <v>947</v>
      </c>
      <c r="D49" t="s">
        <v>948</v>
      </c>
      <c r="E49" s="2">
        <v>0.66666666666666663</v>
      </c>
      <c r="F49" s="26" t="s">
        <v>7991</v>
      </c>
      <c r="G49" t="s">
        <v>7996</v>
      </c>
      <c r="H49" t="s">
        <v>7988</v>
      </c>
      <c r="I49" t="s">
        <v>7993</v>
      </c>
      <c r="J49" t="s">
        <v>7989</v>
      </c>
      <c r="K49" t="s">
        <v>7990</v>
      </c>
      <c r="L49" t="s">
        <v>7992</v>
      </c>
      <c r="M49" t="s">
        <v>7994</v>
      </c>
      <c r="N49" t="s">
        <v>7995</v>
      </c>
      <c r="O49" t="s">
        <v>609</v>
      </c>
      <c r="P49" s="21"/>
      <c r="Q49" s="21"/>
      <c r="R49" t="s">
        <v>403</v>
      </c>
      <c r="S49" s="2">
        <v>0.69097222222222221</v>
      </c>
      <c r="T49" t="s">
        <v>807</v>
      </c>
      <c r="U49" t="s">
        <v>949</v>
      </c>
    </row>
    <row r="50" spans="1:22" x14ac:dyDescent="0.3">
      <c r="A50" t="s">
        <v>647</v>
      </c>
      <c r="B50" t="s">
        <v>950</v>
      </c>
      <c r="C50" t="s">
        <v>951</v>
      </c>
      <c r="D50" t="s">
        <v>952</v>
      </c>
      <c r="E50" s="2">
        <v>0.51111111111111118</v>
      </c>
      <c r="F50" s="26" t="s">
        <v>7988</v>
      </c>
      <c r="G50" t="s">
        <v>7991</v>
      </c>
      <c r="H50" t="s">
        <v>7992</v>
      </c>
      <c r="I50" t="s">
        <v>7993</v>
      </c>
      <c r="J50" t="s">
        <v>7996</v>
      </c>
      <c r="K50" t="s">
        <v>7989</v>
      </c>
      <c r="L50" t="s">
        <v>7990</v>
      </c>
      <c r="M50" t="s">
        <v>7994</v>
      </c>
      <c r="N50" t="s">
        <v>7995</v>
      </c>
      <c r="O50" t="s">
        <v>609</v>
      </c>
      <c r="P50" s="21"/>
      <c r="Q50" s="21"/>
      <c r="R50" t="s">
        <v>403</v>
      </c>
      <c r="S50" s="2">
        <v>0.59375</v>
      </c>
      <c r="T50" t="s">
        <v>807</v>
      </c>
    </row>
    <row r="51" spans="1:22" x14ac:dyDescent="0.3">
      <c r="A51" t="s">
        <v>651</v>
      </c>
      <c r="B51" t="s">
        <v>953</v>
      </c>
      <c r="C51" t="s">
        <v>954</v>
      </c>
      <c r="D51" t="s">
        <v>955</v>
      </c>
      <c r="E51" s="2">
        <v>0.67152777777777783</v>
      </c>
      <c r="F51" s="26" t="s">
        <v>7991</v>
      </c>
      <c r="G51" t="s">
        <v>7996</v>
      </c>
      <c r="H51" t="s">
        <v>7993</v>
      </c>
      <c r="I51" t="s">
        <v>7992</v>
      </c>
      <c r="J51" t="s">
        <v>7990</v>
      </c>
      <c r="K51" t="s">
        <v>7989</v>
      </c>
      <c r="L51" t="s">
        <v>7994</v>
      </c>
      <c r="M51" t="s">
        <v>7995</v>
      </c>
      <c r="N51" t="s">
        <v>609</v>
      </c>
      <c r="O51" t="s">
        <v>7988</v>
      </c>
      <c r="P51" s="21"/>
      <c r="Q51" s="21"/>
      <c r="R51" t="s">
        <v>403</v>
      </c>
      <c r="S51" s="2">
        <v>0.68680555555555556</v>
      </c>
      <c r="T51" t="s">
        <v>807</v>
      </c>
    </row>
    <row r="52" spans="1:22" x14ac:dyDescent="0.3">
      <c r="A52" t="s">
        <v>651</v>
      </c>
      <c r="B52" t="s">
        <v>956</v>
      </c>
      <c r="C52" t="s">
        <v>957</v>
      </c>
      <c r="D52" t="s">
        <v>958</v>
      </c>
      <c r="E52" s="2">
        <v>0.6430555555555556</v>
      </c>
      <c r="F52" s="26" t="s">
        <v>7991</v>
      </c>
      <c r="G52" t="s">
        <v>7995</v>
      </c>
      <c r="H52" t="s">
        <v>7990</v>
      </c>
      <c r="I52" t="s">
        <v>7988</v>
      </c>
      <c r="J52" t="s">
        <v>7994</v>
      </c>
      <c r="K52" t="s">
        <v>7992</v>
      </c>
      <c r="L52" t="s">
        <v>609</v>
      </c>
      <c r="M52" t="s">
        <v>7993</v>
      </c>
      <c r="N52" t="s">
        <v>7996</v>
      </c>
      <c r="O52" t="s">
        <v>7989</v>
      </c>
      <c r="R52" t="s">
        <v>855</v>
      </c>
      <c r="S52" s="2">
        <v>0.65902777777777777</v>
      </c>
      <c r="T52" t="s">
        <v>807</v>
      </c>
    </row>
    <row r="53" spans="1:22" x14ac:dyDescent="0.3">
      <c r="A53" t="s">
        <v>651</v>
      </c>
      <c r="B53" t="s">
        <v>959</v>
      </c>
      <c r="C53" t="s">
        <v>960</v>
      </c>
      <c r="D53" t="s">
        <v>961</v>
      </c>
      <c r="E53" s="2">
        <v>0.52430555555555558</v>
      </c>
      <c r="F53" s="26" t="s">
        <v>7992</v>
      </c>
      <c r="G53" t="s">
        <v>7989</v>
      </c>
      <c r="H53" t="s">
        <v>7990</v>
      </c>
      <c r="I53" t="s">
        <v>7991</v>
      </c>
      <c r="J53" t="s">
        <v>7996</v>
      </c>
      <c r="K53" t="s">
        <v>7988</v>
      </c>
      <c r="L53" t="s">
        <v>7995</v>
      </c>
      <c r="M53" t="s">
        <v>609</v>
      </c>
      <c r="N53" t="s">
        <v>7993</v>
      </c>
      <c r="O53" t="s">
        <v>7994</v>
      </c>
      <c r="P53" s="21"/>
      <c r="Q53" s="21"/>
      <c r="R53" t="s">
        <v>403</v>
      </c>
      <c r="S53" s="2">
        <v>0.55902777777777779</v>
      </c>
      <c r="T53" t="s">
        <v>807</v>
      </c>
    </row>
    <row r="54" spans="1:22" x14ac:dyDescent="0.3">
      <c r="A54" t="s">
        <v>651</v>
      </c>
      <c r="B54" t="s">
        <v>962</v>
      </c>
      <c r="C54" t="s">
        <v>963</v>
      </c>
      <c r="D54" t="s">
        <v>964</v>
      </c>
      <c r="E54" s="2">
        <v>0.4236111111111111</v>
      </c>
      <c r="F54" s="26" t="s">
        <v>7996</v>
      </c>
      <c r="G54" t="s">
        <v>7995</v>
      </c>
      <c r="H54" t="s">
        <v>7991</v>
      </c>
      <c r="I54" t="s">
        <v>609</v>
      </c>
      <c r="J54" t="s">
        <v>7990</v>
      </c>
      <c r="K54" t="s">
        <v>7992</v>
      </c>
      <c r="L54" t="s">
        <v>7989</v>
      </c>
      <c r="M54" t="s">
        <v>7993</v>
      </c>
      <c r="N54" t="s">
        <v>7988</v>
      </c>
      <c r="O54" t="s">
        <v>7994</v>
      </c>
      <c r="P54" s="21"/>
      <c r="Q54" s="21"/>
      <c r="R54" t="s">
        <v>403</v>
      </c>
      <c r="S54" s="2">
        <v>0.44097222222222227</v>
      </c>
      <c r="T54" s="20" t="s">
        <v>802</v>
      </c>
      <c r="U54" t="s">
        <v>965</v>
      </c>
    </row>
    <row r="55" spans="1:22" x14ac:dyDescent="0.3">
      <c r="A55" t="s">
        <v>656</v>
      </c>
      <c r="B55" t="s">
        <v>966</v>
      </c>
      <c r="C55" t="s">
        <v>967</v>
      </c>
      <c r="D55" t="s">
        <v>968</v>
      </c>
      <c r="E55" s="2">
        <v>0.3527777777777778</v>
      </c>
      <c r="F55" s="26" t="s">
        <v>7989</v>
      </c>
      <c r="G55" t="s">
        <v>7992</v>
      </c>
      <c r="H55" t="s">
        <v>7995</v>
      </c>
      <c r="I55" t="s">
        <v>7990</v>
      </c>
      <c r="J55" t="s">
        <v>7993</v>
      </c>
      <c r="K55" t="s">
        <v>7996</v>
      </c>
      <c r="L55" t="s">
        <v>7988</v>
      </c>
      <c r="M55" t="s">
        <v>609</v>
      </c>
      <c r="N55" t="s">
        <v>7991</v>
      </c>
      <c r="O55" t="s">
        <v>7994</v>
      </c>
      <c r="R55" t="s">
        <v>855</v>
      </c>
      <c r="S55" s="2">
        <v>0.38958333333333334</v>
      </c>
      <c r="T55" t="s">
        <v>807</v>
      </c>
    </row>
    <row r="56" spans="1:22" x14ac:dyDescent="0.3">
      <c r="A56" t="s">
        <v>660</v>
      </c>
      <c r="B56" t="s">
        <v>969</v>
      </c>
      <c r="C56" t="s">
        <v>970</v>
      </c>
      <c r="D56" t="s">
        <v>971</v>
      </c>
      <c r="E56" s="2">
        <v>0.39861111111111108</v>
      </c>
      <c r="F56" s="26" t="s">
        <v>7992</v>
      </c>
      <c r="G56" t="s">
        <v>7995</v>
      </c>
      <c r="H56" t="s">
        <v>7994</v>
      </c>
      <c r="I56" t="s">
        <v>7988</v>
      </c>
      <c r="J56" t="s">
        <v>7989</v>
      </c>
      <c r="K56" t="s">
        <v>7991</v>
      </c>
      <c r="L56" t="s">
        <v>7996</v>
      </c>
      <c r="M56" t="s">
        <v>7990</v>
      </c>
      <c r="N56" t="s">
        <v>609</v>
      </c>
      <c r="O56" t="s">
        <v>7993</v>
      </c>
      <c r="P56" s="21"/>
      <c r="Q56" s="21"/>
      <c r="R56" t="s">
        <v>403</v>
      </c>
      <c r="S56" s="2">
        <v>0.45694444444444443</v>
      </c>
      <c r="T56" t="s">
        <v>807</v>
      </c>
    </row>
    <row r="57" spans="1:22" x14ac:dyDescent="0.3">
      <c r="A57" t="s">
        <v>665</v>
      </c>
      <c r="B57" t="s">
        <v>972</v>
      </c>
      <c r="C57" t="s">
        <v>973</v>
      </c>
      <c r="D57" t="s">
        <v>974</v>
      </c>
      <c r="E57" s="2">
        <v>0.3576388888888889</v>
      </c>
      <c r="F57" s="26" t="s">
        <v>7988</v>
      </c>
      <c r="G57" t="s">
        <v>7992</v>
      </c>
      <c r="H57" t="s">
        <v>7989</v>
      </c>
      <c r="I57" t="s">
        <v>7995</v>
      </c>
      <c r="J57" t="s">
        <v>7990</v>
      </c>
      <c r="K57" t="s">
        <v>7991</v>
      </c>
      <c r="L57" t="s">
        <v>7996</v>
      </c>
      <c r="M57" t="s">
        <v>7993</v>
      </c>
      <c r="N57" t="s">
        <v>7994</v>
      </c>
      <c r="O57" t="s">
        <v>609</v>
      </c>
      <c r="P57" s="21"/>
      <c r="Q57" s="21"/>
      <c r="R57" t="s">
        <v>403</v>
      </c>
      <c r="S57" s="2">
        <v>0.38750000000000001</v>
      </c>
      <c r="T57" t="s">
        <v>807</v>
      </c>
    </row>
    <row r="58" spans="1:22" x14ac:dyDescent="0.3">
      <c r="A58" t="s">
        <v>673</v>
      </c>
      <c r="B58" t="s">
        <v>975</v>
      </c>
      <c r="C58" t="s">
        <v>976</v>
      </c>
      <c r="D58" t="s">
        <v>977</v>
      </c>
      <c r="E58" s="2">
        <v>0.51388888888888895</v>
      </c>
      <c r="F58" s="26" t="s">
        <v>7988</v>
      </c>
      <c r="G58" t="s">
        <v>7995</v>
      </c>
      <c r="H58" t="s">
        <v>7992</v>
      </c>
      <c r="I58" t="s">
        <v>7989</v>
      </c>
      <c r="J58" t="s">
        <v>7990</v>
      </c>
      <c r="K58" t="s">
        <v>7993</v>
      </c>
      <c r="L58" t="s">
        <v>7994</v>
      </c>
      <c r="M58" t="s">
        <v>609</v>
      </c>
      <c r="N58" t="s">
        <v>7996</v>
      </c>
      <c r="O58" t="s">
        <v>7991</v>
      </c>
      <c r="P58" s="21"/>
      <c r="Q58" s="21"/>
      <c r="R58" t="s">
        <v>403</v>
      </c>
      <c r="S58" s="2">
        <v>0.53402777777777777</v>
      </c>
      <c r="T58" t="s">
        <v>807</v>
      </c>
    </row>
    <row r="59" spans="1:22" x14ac:dyDescent="0.3">
      <c r="A59" t="s">
        <v>677</v>
      </c>
      <c r="B59" t="s">
        <v>978</v>
      </c>
      <c r="C59" t="s">
        <v>979</v>
      </c>
      <c r="D59" t="s">
        <v>980</v>
      </c>
      <c r="E59" s="2">
        <v>0.64166666666666672</v>
      </c>
      <c r="F59" s="26" t="s">
        <v>7989</v>
      </c>
      <c r="G59" t="s">
        <v>7992</v>
      </c>
      <c r="H59" t="s">
        <v>7995</v>
      </c>
      <c r="I59" t="s">
        <v>7991</v>
      </c>
      <c r="J59" t="s">
        <v>7990</v>
      </c>
      <c r="K59" t="s">
        <v>7996</v>
      </c>
      <c r="L59" t="s">
        <v>609</v>
      </c>
      <c r="M59" t="s">
        <v>7994</v>
      </c>
      <c r="N59" t="s">
        <v>7993</v>
      </c>
      <c r="O59" t="s">
        <v>7988</v>
      </c>
      <c r="P59" s="21"/>
      <c r="Q59" s="21"/>
      <c r="R59" t="s">
        <v>403</v>
      </c>
      <c r="S59" s="2">
        <v>0.64513888888888882</v>
      </c>
      <c r="T59" t="s">
        <v>807</v>
      </c>
    </row>
    <row r="60" spans="1:22" x14ac:dyDescent="0.3">
      <c r="A60" t="s">
        <v>677</v>
      </c>
      <c r="B60" t="s">
        <v>981</v>
      </c>
      <c r="C60" t="s">
        <v>982</v>
      </c>
      <c r="D60" t="s">
        <v>983</v>
      </c>
      <c r="E60" s="2">
        <v>0.51527777777777783</v>
      </c>
      <c r="F60" s="26" t="s">
        <v>7989</v>
      </c>
      <c r="G60" t="s">
        <v>7992</v>
      </c>
      <c r="H60" t="s">
        <v>609</v>
      </c>
      <c r="I60" t="s">
        <v>7994</v>
      </c>
      <c r="J60" t="s">
        <v>7996</v>
      </c>
      <c r="K60" t="s">
        <v>7995</v>
      </c>
      <c r="L60" t="s">
        <v>7988</v>
      </c>
      <c r="M60" t="s">
        <v>7991</v>
      </c>
      <c r="N60" t="s">
        <v>7990</v>
      </c>
      <c r="O60" t="s">
        <v>7993</v>
      </c>
      <c r="P60" s="21"/>
      <c r="Q60" s="21"/>
      <c r="R60" t="s">
        <v>403</v>
      </c>
      <c r="S60" s="2">
        <v>0.53402777777777777</v>
      </c>
      <c r="T60" t="s">
        <v>807</v>
      </c>
    </row>
    <row r="61" spans="1:22" x14ac:dyDescent="0.3">
      <c r="A61" t="s">
        <v>677</v>
      </c>
      <c r="B61" t="s">
        <v>984</v>
      </c>
      <c r="C61" t="s">
        <v>985</v>
      </c>
      <c r="D61" t="s">
        <v>986</v>
      </c>
      <c r="E61" s="2">
        <v>0.43958333333333338</v>
      </c>
      <c r="F61" s="26" t="s">
        <v>7992</v>
      </c>
      <c r="G61" t="s">
        <v>7989</v>
      </c>
      <c r="H61" t="s">
        <v>7995</v>
      </c>
      <c r="I61" t="s">
        <v>7991</v>
      </c>
      <c r="J61" t="s">
        <v>7988</v>
      </c>
      <c r="K61" t="s">
        <v>7996</v>
      </c>
      <c r="L61" t="s">
        <v>7990</v>
      </c>
      <c r="M61" t="s">
        <v>609</v>
      </c>
      <c r="N61" t="s">
        <v>7994</v>
      </c>
      <c r="O61" t="s">
        <v>7993</v>
      </c>
      <c r="R61" t="s">
        <v>855</v>
      </c>
      <c r="S61" s="2">
        <v>0.4597222222222222</v>
      </c>
      <c r="T61" s="20" t="s">
        <v>802</v>
      </c>
    </row>
    <row r="62" spans="1:22" x14ac:dyDescent="0.3">
      <c r="A62" t="s">
        <v>683</v>
      </c>
      <c r="B62" t="s">
        <v>987</v>
      </c>
      <c r="C62" t="s">
        <v>988</v>
      </c>
      <c r="D62" t="s">
        <v>989</v>
      </c>
      <c r="E62" s="2">
        <v>0.30208333333333331</v>
      </c>
      <c r="F62" s="26" t="s">
        <v>7988</v>
      </c>
      <c r="G62" t="s">
        <v>7991</v>
      </c>
      <c r="H62" t="s">
        <v>7989</v>
      </c>
      <c r="I62" t="s">
        <v>7993</v>
      </c>
      <c r="J62" t="s">
        <v>7992</v>
      </c>
      <c r="K62" t="s">
        <v>7996</v>
      </c>
      <c r="L62" t="s">
        <v>7994</v>
      </c>
      <c r="M62" t="s">
        <v>609</v>
      </c>
      <c r="N62" t="s">
        <v>7990</v>
      </c>
      <c r="O62" t="s">
        <v>7995</v>
      </c>
      <c r="P62" s="21"/>
      <c r="Q62" s="21"/>
      <c r="R62" t="s">
        <v>403</v>
      </c>
      <c r="S62" s="2">
        <v>0.40486111111111112</v>
      </c>
      <c r="T62" t="s">
        <v>807</v>
      </c>
    </row>
    <row r="63" spans="1:22" x14ac:dyDescent="0.3">
      <c r="A63" t="s">
        <v>687</v>
      </c>
      <c r="B63" t="s">
        <v>990</v>
      </c>
      <c r="C63" t="s">
        <v>991</v>
      </c>
      <c r="D63" t="s">
        <v>992</v>
      </c>
      <c r="E63" s="2">
        <v>0.70208333333333339</v>
      </c>
      <c r="F63" s="26" t="s">
        <v>7988</v>
      </c>
      <c r="G63" t="s">
        <v>7992</v>
      </c>
      <c r="H63" t="s">
        <v>609</v>
      </c>
      <c r="I63" t="s">
        <v>7996</v>
      </c>
      <c r="J63" t="s">
        <v>7990</v>
      </c>
      <c r="K63" t="s">
        <v>7989</v>
      </c>
      <c r="L63" t="s">
        <v>7993</v>
      </c>
      <c r="M63" t="s">
        <v>7994</v>
      </c>
      <c r="N63" t="s">
        <v>7991</v>
      </c>
      <c r="O63" t="s">
        <v>7995</v>
      </c>
      <c r="R63" t="s">
        <v>855</v>
      </c>
      <c r="S63" s="2">
        <v>0.71250000000000002</v>
      </c>
      <c r="T63" t="s">
        <v>807</v>
      </c>
      <c r="V63" t="s">
        <v>993</v>
      </c>
    </row>
    <row r="64" spans="1:22" x14ac:dyDescent="0.3">
      <c r="A64" t="s">
        <v>691</v>
      </c>
      <c r="B64" t="s">
        <v>994</v>
      </c>
      <c r="C64" t="s">
        <v>995</v>
      </c>
      <c r="D64" t="s">
        <v>996</v>
      </c>
      <c r="E64" s="2">
        <v>0.56944444444444442</v>
      </c>
      <c r="F64" s="26" t="s">
        <v>7990</v>
      </c>
      <c r="G64" t="s">
        <v>7989</v>
      </c>
      <c r="H64" t="s">
        <v>7992</v>
      </c>
      <c r="I64" t="s">
        <v>7988</v>
      </c>
      <c r="J64" t="s">
        <v>7991</v>
      </c>
      <c r="K64" t="s">
        <v>7996</v>
      </c>
      <c r="L64" t="s">
        <v>7993</v>
      </c>
      <c r="M64" t="s">
        <v>7995</v>
      </c>
      <c r="N64" t="s">
        <v>609</v>
      </c>
      <c r="O64" t="s">
        <v>7994</v>
      </c>
      <c r="P64" s="21"/>
      <c r="Q64" s="21"/>
      <c r="R64" t="s">
        <v>403</v>
      </c>
      <c r="S64" s="2">
        <v>0.58611111111111114</v>
      </c>
      <c r="T64" t="s">
        <v>807</v>
      </c>
    </row>
    <row r="65" spans="1:20" x14ac:dyDescent="0.3">
      <c r="A65" t="s">
        <v>691</v>
      </c>
      <c r="B65" t="s">
        <v>997</v>
      </c>
      <c r="C65" t="s">
        <v>998</v>
      </c>
      <c r="D65" t="s">
        <v>999</v>
      </c>
      <c r="E65" s="2">
        <v>0.53055555555555556</v>
      </c>
      <c r="F65" s="26" t="s">
        <v>7990</v>
      </c>
      <c r="G65" t="s">
        <v>7992</v>
      </c>
      <c r="H65" t="s">
        <v>7989</v>
      </c>
      <c r="I65" t="s">
        <v>7988</v>
      </c>
      <c r="J65" t="s">
        <v>609</v>
      </c>
      <c r="K65" t="s">
        <v>7995</v>
      </c>
      <c r="L65" t="s">
        <v>7993</v>
      </c>
      <c r="M65" t="s">
        <v>7991</v>
      </c>
      <c r="N65" t="s">
        <v>7994</v>
      </c>
      <c r="O65" t="s">
        <v>7996</v>
      </c>
      <c r="P65" s="21"/>
      <c r="Q65" s="21"/>
      <c r="R65" t="s">
        <v>801</v>
      </c>
      <c r="S65" s="2">
        <v>0.54166666666666663</v>
      </c>
      <c r="T65" s="20" t="s">
        <v>802</v>
      </c>
    </row>
    <row r="66" spans="1:20" x14ac:dyDescent="0.3">
      <c r="A66" t="s">
        <v>691</v>
      </c>
      <c r="B66" t="s">
        <v>1000</v>
      </c>
      <c r="C66" t="s">
        <v>1001</v>
      </c>
      <c r="D66" t="s">
        <v>1002</v>
      </c>
      <c r="E66" s="2">
        <v>0.5</v>
      </c>
      <c r="F66" s="26" t="s">
        <v>7990</v>
      </c>
      <c r="G66" t="s">
        <v>7995</v>
      </c>
      <c r="H66" t="s">
        <v>7989</v>
      </c>
      <c r="I66" t="s">
        <v>609</v>
      </c>
      <c r="J66" t="s">
        <v>7988</v>
      </c>
      <c r="K66" t="s">
        <v>7993</v>
      </c>
      <c r="L66" t="s">
        <v>7991</v>
      </c>
      <c r="M66" t="s">
        <v>7996</v>
      </c>
      <c r="N66" t="s">
        <v>7992</v>
      </c>
      <c r="O66" t="s">
        <v>7994</v>
      </c>
      <c r="P66" s="21"/>
      <c r="Q66" s="21"/>
      <c r="R66" t="s">
        <v>801</v>
      </c>
      <c r="S66" s="2">
        <v>0.50972222222222219</v>
      </c>
      <c r="T66" s="20" t="s">
        <v>802</v>
      </c>
    </row>
    <row r="67" spans="1:20" x14ac:dyDescent="0.3">
      <c r="A67" t="s">
        <v>695</v>
      </c>
      <c r="B67" t="s">
        <v>1003</v>
      </c>
      <c r="C67" t="s">
        <v>1004</v>
      </c>
      <c r="D67" t="s">
        <v>1005</v>
      </c>
      <c r="E67" s="2">
        <v>0.48472222222222222</v>
      </c>
      <c r="F67" s="26" t="s">
        <v>7992</v>
      </c>
      <c r="G67" t="s">
        <v>7993</v>
      </c>
      <c r="H67" t="s">
        <v>7995</v>
      </c>
      <c r="I67" t="s">
        <v>7994</v>
      </c>
      <c r="J67" t="s">
        <v>7990</v>
      </c>
      <c r="K67" t="s">
        <v>7989</v>
      </c>
      <c r="L67" t="s">
        <v>7991</v>
      </c>
      <c r="M67" t="s">
        <v>7988</v>
      </c>
      <c r="N67" t="s">
        <v>609</v>
      </c>
      <c r="O67" t="s">
        <v>7996</v>
      </c>
      <c r="P67" s="21"/>
      <c r="Q67" s="21"/>
      <c r="R67" t="s">
        <v>403</v>
      </c>
      <c r="S67" s="2">
        <v>0.49583333333333335</v>
      </c>
      <c r="T67" s="20" t="s">
        <v>802</v>
      </c>
    </row>
    <row r="68" spans="1:20" x14ac:dyDescent="0.3">
      <c r="A68" t="s">
        <v>695</v>
      </c>
      <c r="B68" t="s">
        <v>1006</v>
      </c>
      <c r="C68" t="s">
        <v>1007</v>
      </c>
      <c r="D68" t="s">
        <v>1008</v>
      </c>
      <c r="E68" s="2">
        <v>0.40347222222222223</v>
      </c>
      <c r="F68" s="26" t="s">
        <v>7992</v>
      </c>
      <c r="G68" t="s">
        <v>7989</v>
      </c>
      <c r="H68" t="s">
        <v>7995</v>
      </c>
      <c r="I68" t="s">
        <v>7993</v>
      </c>
      <c r="J68" t="s">
        <v>7990</v>
      </c>
      <c r="K68" t="s">
        <v>7991</v>
      </c>
      <c r="L68" t="s">
        <v>7994</v>
      </c>
      <c r="M68" t="s">
        <v>7996</v>
      </c>
      <c r="N68" t="s">
        <v>7988</v>
      </c>
      <c r="O68" t="s">
        <v>609</v>
      </c>
      <c r="P68" s="21"/>
      <c r="Q68" s="21"/>
      <c r="R68" t="s">
        <v>403</v>
      </c>
      <c r="S68" s="2">
        <v>0.42152777777777778</v>
      </c>
      <c r="T68" t="s">
        <v>807</v>
      </c>
    </row>
    <row r="69" spans="1:20" x14ac:dyDescent="0.3">
      <c r="A69" t="s">
        <v>695</v>
      </c>
      <c r="B69" t="s">
        <v>1009</v>
      </c>
      <c r="C69" t="s">
        <v>1010</v>
      </c>
      <c r="D69" t="s">
        <v>1011</v>
      </c>
      <c r="E69" s="2">
        <v>0.375</v>
      </c>
      <c r="F69" s="26" t="s">
        <v>7992</v>
      </c>
      <c r="G69" t="s">
        <v>7989</v>
      </c>
      <c r="H69" t="s">
        <v>7991</v>
      </c>
      <c r="I69" t="s">
        <v>7990</v>
      </c>
      <c r="J69" t="s">
        <v>7993</v>
      </c>
      <c r="K69" t="s">
        <v>7995</v>
      </c>
      <c r="L69" t="s">
        <v>7988</v>
      </c>
      <c r="M69" t="s">
        <v>7996</v>
      </c>
      <c r="N69" t="s">
        <v>7994</v>
      </c>
      <c r="O69" t="s">
        <v>609</v>
      </c>
      <c r="P69" s="21"/>
      <c r="Q69" s="21"/>
      <c r="R69" t="s">
        <v>403</v>
      </c>
      <c r="S69" s="2">
        <v>0.38611111111111113</v>
      </c>
      <c r="T69" t="s">
        <v>807</v>
      </c>
    </row>
    <row r="70" spans="1:20" x14ac:dyDescent="0.3">
      <c r="A70" t="s">
        <v>695</v>
      </c>
      <c r="B70" t="s">
        <v>1012</v>
      </c>
      <c r="C70" t="s">
        <v>1013</v>
      </c>
      <c r="D70" t="s">
        <v>1014</v>
      </c>
      <c r="E70" s="2">
        <v>0.30486111111111108</v>
      </c>
      <c r="F70" s="26" t="s">
        <v>7992</v>
      </c>
      <c r="G70" t="s">
        <v>7995</v>
      </c>
      <c r="H70" t="s">
        <v>7990</v>
      </c>
      <c r="I70" t="s">
        <v>7989</v>
      </c>
      <c r="J70" t="s">
        <v>7988</v>
      </c>
      <c r="K70" t="s">
        <v>7994</v>
      </c>
      <c r="L70" t="s">
        <v>7991</v>
      </c>
      <c r="M70" t="s">
        <v>609</v>
      </c>
      <c r="N70" t="s">
        <v>7993</v>
      </c>
      <c r="O70" t="s">
        <v>7996</v>
      </c>
      <c r="P70" s="21"/>
      <c r="Q70" s="21"/>
      <c r="R70" t="s">
        <v>403</v>
      </c>
      <c r="S70" s="2">
        <v>0.32500000000000001</v>
      </c>
      <c r="T70" s="20" t="s">
        <v>802</v>
      </c>
    </row>
    <row r="71" spans="1:20" x14ac:dyDescent="0.3">
      <c r="A71" t="s">
        <v>699</v>
      </c>
      <c r="B71" t="s">
        <v>1015</v>
      </c>
      <c r="C71" t="s">
        <v>1016</v>
      </c>
      <c r="D71" t="s">
        <v>1017</v>
      </c>
      <c r="E71" s="2">
        <v>0.67708333333333337</v>
      </c>
      <c r="F71" s="26" t="s">
        <v>7996</v>
      </c>
      <c r="G71" t="s">
        <v>7988</v>
      </c>
      <c r="H71" t="s">
        <v>609</v>
      </c>
      <c r="I71" t="s">
        <v>7994</v>
      </c>
      <c r="J71" t="s">
        <v>7995</v>
      </c>
      <c r="K71" t="s">
        <v>7992</v>
      </c>
      <c r="L71" t="s">
        <v>7990</v>
      </c>
      <c r="M71" t="s">
        <v>7989</v>
      </c>
      <c r="N71" t="s">
        <v>7991</v>
      </c>
      <c r="O71" t="s">
        <v>7993</v>
      </c>
      <c r="P71" s="21"/>
      <c r="Q71" s="21"/>
      <c r="R71" t="s">
        <v>403</v>
      </c>
      <c r="S71" s="2">
        <v>0.69166666666666676</v>
      </c>
      <c r="T71" t="s">
        <v>807</v>
      </c>
    </row>
    <row r="72" spans="1:20" x14ac:dyDescent="0.3">
      <c r="A72" t="s">
        <v>699</v>
      </c>
      <c r="B72" t="s">
        <v>1018</v>
      </c>
      <c r="C72" t="s">
        <v>1019</v>
      </c>
      <c r="D72" t="s">
        <v>1020</v>
      </c>
      <c r="E72" s="2">
        <v>0.62569444444444444</v>
      </c>
      <c r="F72" s="26" t="s">
        <v>7991</v>
      </c>
      <c r="G72" t="s">
        <v>7995</v>
      </c>
      <c r="H72" t="s">
        <v>7992</v>
      </c>
      <c r="I72" t="s">
        <v>7991</v>
      </c>
      <c r="J72" t="s">
        <v>7993</v>
      </c>
      <c r="K72" t="s">
        <v>7989</v>
      </c>
      <c r="L72" t="s">
        <v>7990</v>
      </c>
      <c r="M72" t="s">
        <v>7988</v>
      </c>
      <c r="N72" t="s">
        <v>7994</v>
      </c>
      <c r="O72" t="s">
        <v>609</v>
      </c>
      <c r="P72" s="21"/>
      <c r="Q72" s="21"/>
      <c r="R72" t="s">
        <v>403</v>
      </c>
      <c r="S72" s="2">
        <v>0.65277777777777779</v>
      </c>
      <c r="T72" s="20" t="s">
        <v>802</v>
      </c>
    </row>
    <row r="73" spans="1:20" x14ac:dyDescent="0.3">
      <c r="A73" t="s">
        <v>699</v>
      </c>
      <c r="B73" t="s">
        <v>1021</v>
      </c>
      <c r="C73" t="s">
        <v>1022</v>
      </c>
      <c r="D73" t="s">
        <v>1023</v>
      </c>
      <c r="E73" s="2">
        <v>0.58402777777777781</v>
      </c>
      <c r="F73" s="26" t="s">
        <v>7991</v>
      </c>
      <c r="G73" t="s">
        <v>7995</v>
      </c>
      <c r="H73" t="s">
        <v>7993</v>
      </c>
      <c r="I73" t="s">
        <v>7988</v>
      </c>
      <c r="J73" t="s">
        <v>7990</v>
      </c>
      <c r="K73" t="s">
        <v>7992</v>
      </c>
      <c r="L73" t="s">
        <v>7989</v>
      </c>
      <c r="M73" t="s">
        <v>7994</v>
      </c>
      <c r="N73" t="s">
        <v>7996</v>
      </c>
      <c r="O73" t="s">
        <v>609</v>
      </c>
      <c r="P73" s="21"/>
      <c r="Q73" s="21"/>
      <c r="R73" t="s">
        <v>403</v>
      </c>
      <c r="S73" s="2">
        <v>0.6</v>
      </c>
      <c r="T73" t="s">
        <v>807</v>
      </c>
    </row>
    <row r="74" spans="1:20" x14ac:dyDescent="0.3">
      <c r="A74" t="s">
        <v>699</v>
      </c>
      <c r="B74" t="s">
        <v>1024</v>
      </c>
      <c r="C74" t="s">
        <v>1025</v>
      </c>
      <c r="D74" t="s">
        <v>1026</v>
      </c>
      <c r="E74" s="2">
        <v>0.5</v>
      </c>
      <c r="F74" s="26" t="s">
        <v>7995</v>
      </c>
      <c r="G74" t="s">
        <v>7988</v>
      </c>
      <c r="H74" t="s">
        <v>7991</v>
      </c>
      <c r="I74" t="s">
        <v>7993</v>
      </c>
      <c r="J74" t="s">
        <v>7992</v>
      </c>
      <c r="K74" t="s">
        <v>7989</v>
      </c>
      <c r="L74" t="s">
        <v>7990</v>
      </c>
      <c r="M74" t="s">
        <v>7996</v>
      </c>
      <c r="N74" t="s">
        <v>609</v>
      </c>
      <c r="O74" t="s">
        <v>7994</v>
      </c>
      <c r="P74" s="21"/>
      <c r="Q74" s="21"/>
      <c r="R74" t="s">
        <v>403</v>
      </c>
      <c r="S74" s="2">
        <v>0.53819444444444442</v>
      </c>
      <c r="T74" t="s">
        <v>807</v>
      </c>
    </row>
    <row r="75" spans="1:20" x14ac:dyDescent="0.3">
      <c r="A75" t="s">
        <v>699</v>
      </c>
      <c r="B75" t="s">
        <v>1027</v>
      </c>
      <c r="C75" t="s">
        <v>1028</v>
      </c>
      <c r="D75" t="s">
        <v>1029</v>
      </c>
      <c r="E75" s="2">
        <v>0.31736111111111115</v>
      </c>
      <c r="F75" s="26" t="s">
        <v>7989</v>
      </c>
      <c r="G75" t="s">
        <v>7988</v>
      </c>
      <c r="H75" t="s">
        <v>7992</v>
      </c>
      <c r="I75" t="s">
        <v>7995</v>
      </c>
      <c r="J75" t="s">
        <v>7990</v>
      </c>
      <c r="K75" t="s">
        <v>7991</v>
      </c>
      <c r="L75" t="s">
        <v>7996</v>
      </c>
      <c r="M75" t="s">
        <v>609</v>
      </c>
      <c r="N75" t="s">
        <v>7994</v>
      </c>
      <c r="O75" t="s">
        <v>7993</v>
      </c>
      <c r="P75" s="21"/>
      <c r="Q75" s="21"/>
      <c r="R75" t="s">
        <v>403</v>
      </c>
      <c r="S75" s="2">
        <v>0.34236111111111112</v>
      </c>
      <c r="T75" s="20" t="s">
        <v>802</v>
      </c>
    </row>
    <row r="76" spans="1:20" x14ac:dyDescent="0.3">
      <c r="A76" t="s">
        <v>703</v>
      </c>
      <c r="B76" t="s">
        <v>1030</v>
      </c>
      <c r="C76" t="s">
        <v>1031</v>
      </c>
      <c r="D76" t="s">
        <v>1032</v>
      </c>
      <c r="E76" s="2">
        <v>0.60416666666666663</v>
      </c>
      <c r="F76" s="26" t="s">
        <v>609</v>
      </c>
      <c r="G76" t="s">
        <v>7995</v>
      </c>
      <c r="H76" t="s">
        <v>7991</v>
      </c>
      <c r="I76" t="s">
        <v>7996</v>
      </c>
      <c r="J76" t="s">
        <v>7993</v>
      </c>
      <c r="K76" t="s">
        <v>7992</v>
      </c>
      <c r="L76" t="s">
        <v>7994</v>
      </c>
      <c r="M76" t="s">
        <v>7989</v>
      </c>
      <c r="N76" t="s">
        <v>7990</v>
      </c>
      <c r="O76" t="s">
        <v>7988</v>
      </c>
      <c r="P76" s="21"/>
      <c r="Q76" s="21"/>
      <c r="R76" t="s">
        <v>820</v>
      </c>
      <c r="S76" s="2">
        <v>0.63611111111111118</v>
      </c>
      <c r="T76" t="s">
        <v>807</v>
      </c>
    </row>
    <row r="77" spans="1:20" x14ac:dyDescent="0.3">
      <c r="A77" t="s">
        <v>707</v>
      </c>
      <c r="B77" t="s">
        <v>1033</v>
      </c>
      <c r="C77" t="s">
        <v>1034</v>
      </c>
      <c r="D77" t="s">
        <v>1035</v>
      </c>
      <c r="E77" s="2">
        <v>0.43958333333333338</v>
      </c>
      <c r="F77" s="26" t="s">
        <v>7995</v>
      </c>
      <c r="G77" t="s">
        <v>7993</v>
      </c>
      <c r="H77" t="s">
        <v>7988</v>
      </c>
      <c r="I77" t="s">
        <v>7990</v>
      </c>
      <c r="J77" t="s">
        <v>609</v>
      </c>
      <c r="K77" t="s">
        <v>7994</v>
      </c>
      <c r="L77" t="s">
        <v>7992</v>
      </c>
      <c r="M77" t="s">
        <v>7989</v>
      </c>
      <c r="N77" t="s">
        <v>7991</v>
      </c>
      <c r="O77" t="s">
        <v>7996</v>
      </c>
      <c r="R77" t="s">
        <v>855</v>
      </c>
      <c r="S77" s="2">
        <v>0.4680555555555555</v>
      </c>
      <c r="T77" t="s">
        <v>807</v>
      </c>
    </row>
    <row r="78" spans="1:20" x14ac:dyDescent="0.3">
      <c r="A78" t="s">
        <v>707</v>
      </c>
      <c r="B78" t="s">
        <v>1036</v>
      </c>
      <c r="C78" t="s">
        <v>1037</v>
      </c>
      <c r="D78" t="s">
        <v>1038</v>
      </c>
      <c r="E78" s="2">
        <v>0.33958333333333335</v>
      </c>
      <c r="F78" s="26" t="s">
        <v>7996</v>
      </c>
      <c r="G78" t="s">
        <v>7988</v>
      </c>
      <c r="H78" t="s">
        <v>7990</v>
      </c>
      <c r="I78" t="s">
        <v>7994</v>
      </c>
      <c r="J78" t="s">
        <v>7991</v>
      </c>
      <c r="K78" t="s">
        <v>7992</v>
      </c>
      <c r="L78" t="s">
        <v>609</v>
      </c>
      <c r="M78" t="s">
        <v>7995</v>
      </c>
      <c r="N78" t="s">
        <v>7989</v>
      </c>
      <c r="O78" t="s">
        <v>7993</v>
      </c>
      <c r="P78" s="21"/>
      <c r="Q78" s="21"/>
      <c r="R78" t="s">
        <v>403</v>
      </c>
      <c r="S78" s="2">
        <v>0.3840277777777778</v>
      </c>
      <c r="T78" t="s">
        <v>807</v>
      </c>
    </row>
    <row r="79" spans="1:20" x14ac:dyDescent="0.3">
      <c r="A79" t="s">
        <v>711</v>
      </c>
      <c r="B79" t="s">
        <v>1039</v>
      </c>
      <c r="C79" t="s">
        <v>1040</v>
      </c>
      <c r="D79" t="s">
        <v>1041</v>
      </c>
      <c r="E79" s="2">
        <v>0.66736111111111107</v>
      </c>
      <c r="F79" s="26" t="s">
        <v>7989</v>
      </c>
      <c r="G79" t="s">
        <v>7988</v>
      </c>
      <c r="H79" t="s">
        <v>7992</v>
      </c>
      <c r="I79" t="s">
        <v>7995</v>
      </c>
      <c r="J79" t="s">
        <v>7993</v>
      </c>
      <c r="K79" t="s">
        <v>7996</v>
      </c>
      <c r="L79" t="s">
        <v>7990</v>
      </c>
      <c r="M79" t="s">
        <v>7991</v>
      </c>
      <c r="N79" t="s">
        <v>609</v>
      </c>
      <c r="O79" t="s">
        <v>7994</v>
      </c>
      <c r="P79" s="21"/>
      <c r="Q79" s="21"/>
      <c r="R79" t="s">
        <v>403</v>
      </c>
      <c r="S79" s="2">
        <v>0.69027777777777777</v>
      </c>
      <c r="T79" t="s">
        <v>807</v>
      </c>
    </row>
    <row r="80" spans="1:20" x14ac:dyDescent="0.3">
      <c r="A80" t="s">
        <v>716</v>
      </c>
      <c r="B80" t="s">
        <v>1042</v>
      </c>
      <c r="C80" t="s">
        <v>1043</v>
      </c>
      <c r="D80" t="s">
        <v>1044</v>
      </c>
      <c r="E80" s="2">
        <v>0.46458333333333335</v>
      </c>
      <c r="F80" s="26" t="s">
        <v>7989</v>
      </c>
      <c r="G80" t="s">
        <v>7988</v>
      </c>
      <c r="H80" t="s">
        <v>7992</v>
      </c>
      <c r="I80" t="s">
        <v>7995</v>
      </c>
      <c r="J80" t="s">
        <v>7991</v>
      </c>
      <c r="K80" t="s">
        <v>7990</v>
      </c>
      <c r="L80" t="s">
        <v>7996</v>
      </c>
      <c r="M80" t="s">
        <v>7994</v>
      </c>
      <c r="N80" t="s">
        <v>7993</v>
      </c>
      <c r="O80" t="s">
        <v>609</v>
      </c>
      <c r="P80" s="21"/>
      <c r="Q80" s="21"/>
      <c r="R80" t="s">
        <v>403</v>
      </c>
      <c r="S80" s="2">
        <v>0.50694444444444442</v>
      </c>
      <c r="T80" t="s">
        <v>807</v>
      </c>
    </row>
    <row r="81" spans="1:22" x14ac:dyDescent="0.3">
      <c r="A81" t="s">
        <v>716</v>
      </c>
      <c r="B81" t="s">
        <v>1045</v>
      </c>
      <c r="C81" t="s">
        <v>1046</v>
      </c>
      <c r="D81" t="s">
        <v>1047</v>
      </c>
      <c r="E81" s="2">
        <v>0.41388888888888892</v>
      </c>
      <c r="F81" s="26" t="s">
        <v>7989</v>
      </c>
      <c r="G81" t="s">
        <v>7992</v>
      </c>
      <c r="H81" t="s">
        <v>7995</v>
      </c>
      <c r="I81" t="s">
        <v>7991</v>
      </c>
      <c r="J81" t="s">
        <v>7996</v>
      </c>
      <c r="K81" t="s">
        <v>7990</v>
      </c>
      <c r="L81" t="s">
        <v>7994</v>
      </c>
      <c r="M81" t="s">
        <v>7993</v>
      </c>
      <c r="N81" t="s">
        <v>7988</v>
      </c>
      <c r="O81" t="s">
        <v>609</v>
      </c>
      <c r="P81" s="21"/>
      <c r="Q81" s="21"/>
      <c r="R81" t="s">
        <v>403</v>
      </c>
      <c r="S81" s="2">
        <v>0.4381944444444445</v>
      </c>
      <c r="T81" t="s">
        <v>807</v>
      </c>
    </row>
    <row r="82" spans="1:22" x14ac:dyDescent="0.3">
      <c r="A82" t="s">
        <v>716</v>
      </c>
      <c r="B82" t="s">
        <v>1048</v>
      </c>
      <c r="C82" t="s">
        <v>1049</v>
      </c>
      <c r="D82" t="s">
        <v>1050</v>
      </c>
      <c r="E82" s="2">
        <v>0.36458333333333331</v>
      </c>
      <c r="F82" s="26" t="s">
        <v>7989</v>
      </c>
      <c r="G82" t="s">
        <v>7995</v>
      </c>
      <c r="H82" t="s">
        <v>7992</v>
      </c>
      <c r="I82" t="s">
        <v>7996</v>
      </c>
      <c r="J82" t="s">
        <v>7993</v>
      </c>
      <c r="K82" t="s">
        <v>7994</v>
      </c>
      <c r="L82" t="s">
        <v>7991</v>
      </c>
      <c r="M82" t="s">
        <v>7988</v>
      </c>
      <c r="N82" t="s">
        <v>7990</v>
      </c>
      <c r="O82" t="s">
        <v>609</v>
      </c>
      <c r="P82" s="21"/>
      <c r="Q82" s="21"/>
      <c r="R82" t="s">
        <v>403</v>
      </c>
      <c r="S82" s="2">
        <v>0.39305555555555555</v>
      </c>
      <c r="T82" t="s">
        <v>807</v>
      </c>
    </row>
    <row r="83" spans="1:22" x14ac:dyDescent="0.3">
      <c r="A83" t="s">
        <v>720</v>
      </c>
      <c r="B83" t="s">
        <v>1051</v>
      </c>
      <c r="C83" t="s">
        <v>1052</v>
      </c>
      <c r="D83" t="s">
        <v>1053</v>
      </c>
      <c r="E83" s="2">
        <v>0.75555555555555554</v>
      </c>
      <c r="F83" s="26" t="s">
        <v>7990</v>
      </c>
      <c r="G83" t="s">
        <v>7995</v>
      </c>
      <c r="H83" t="s">
        <v>7992</v>
      </c>
      <c r="I83" t="s">
        <v>7989</v>
      </c>
      <c r="J83" t="s">
        <v>7991</v>
      </c>
      <c r="K83" t="s">
        <v>7993</v>
      </c>
      <c r="L83" t="s">
        <v>7996</v>
      </c>
      <c r="M83" t="s">
        <v>609</v>
      </c>
      <c r="N83" t="s">
        <v>7994</v>
      </c>
      <c r="O83" t="s">
        <v>7988</v>
      </c>
      <c r="P83" s="21"/>
      <c r="Q83" s="21"/>
      <c r="R83" t="s">
        <v>403</v>
      </c>
      <c r="S83" s="2">
        <v>0.76666666666666661</v>
      </c>
      <c r="T83" s="20" t="s">
        <v>802</v>
      </c>
    </row>
    <row r="84" spans="1:22" x14ac:dyDescent="0.3">
      <c r="A84" t="s">
        <v>720</v>
      </c>
      <c r="B84" t="s">
        <v>1054</v>
      </c>
      <c r="C84" t="s">
        <v>1055</v>
      </c>
      <c r="D84" t="s">
        <v>1056</v>
      </c>
      <c r="E84" s="2">
        <v>0.60972222222222217</v>
      </c>
      <c r="F84" s="26" t="s">
        <v>7990</v>
      </c>
      <c r="G84" t="s">
        <v>7992</v>
      </c>
      <c r="H84" t="s">
        <v>7995</v>
      </c>
      <c r="I84" t="s">
        <v>7989</v>
      </c>
      <c r="J84" t="s">
        <v>7996</v>
      </c>
      <c r="K84" t="s">
        <v>609</v>
      </c>
      <c r="L84" t="s">
        <v>7993</v>
      </c>
      <c r="M84" t="s">
        <v>7991</v>
      </c>
      <c r="N84" t="s">
        <v>7988</v>
      </c>
      <c r="O84" t="s">
        <v>7994</v>
      </c>
      <c r="P84" s="21"/>
      <c r="Q84" s="21"/>
      <c r="R84" t="s">
        <v>403</v>
      </c>
      <c r="S84" s="2">
        <v>0.6479166666666667</v>
      </c>
      <c r="T84" t="s">
        <v>807</v>
      </c>
    </row>
    <row r="85" spans="1:22" x14ac:dyDescent="0.3">
      <c r="A85" t="s">
        <v>720</v>
      </c>
      <c r="B85" t="s">
        <v>1057</v>
      </c>
      <c r="C85" t="s">
        <v>1058</v>
      </c>
      <c r="D85" t="s">
        <v>1059</v>
      </c>
      <c r="E85" s="2">
        <v>0.45833333333333331</v>
      </c>
      <c r="F85" s="26" t="s">
        <v>7990</v>
      </c>
      <c r="G85" t="s">
        <v>7989</v>
      </c>
      <c r="H85" t="s">
        <v>7991</v>
      </c>
      <c r="I85" t="s">
        <v>7995</v>
      </c>
      <c r="J85" t="s">
        <v>7992</v>
      </c>
      <c r="K85" t="s">
        <v>7988</v>
      </c>
      <c r="L85" t="s">
        <v>7993</v>
      </c>
      <c r="M85" t="s">
        <v>609</v>
      </c>
      <c r="N85" t="s">
        <v>7996</v>
      </c>
      <c r="O85" t="s">
        <v>7994</v>
      </c>
      <c r="R85" t="s">
        <v>820</v>
      </c>
      <c r="S85" s="2">
        <v>0.47152777777777777</v>
      </c>
      <c r="T85" s="20" t="s">
        <v>802</v>
      </c>
    </row>
    <row r="86" spans="1:22" x14ac:dyDescent="0.3">
      <c r="A86" t="s">
        <v>720</v>
      </c>
      <c r="B86" t="s">
        <v>1060</v>
      </c>
      <c r="C86" t="s">
        <v>1061</v>
      </c>
      <c r="D86" t="s">
        <v>1062</v>
      </c>
      <c r="E86" s="2">
        <v>0.39305555555555555</v>
      </c>
      <c r="F86" s="26" t="s">
        <v>7990</v>
      </c>
      <c r="G86" t="s">
        <v>7995</v>
      </c>
      <c r="H86" t="s">
        <v>7989</v>
      </c>
      <c r="I86" t="s">
        <v>7993</v>
      </c>
      <c r="J86" t="s">
        <v>7991</v>
      </c>
      <c r="K86" t="s">
        <v>7992</v>
      </c>
      <c r="L86" t="s">
        <v>7988</v>
      </c>
      <c r="M86" t="s">
        <v>7994</v>
      </c>
      <c r="N86" t="s">
        <v>7996</v>
      </c>
      <c r="O86" t="s">
        <v>609</v>
      </c>
      <c r="R86" t="s">
        <v>820</v>
      </c>
      <c r="S86" s="2">
        <v>0.42499999999999999</v>
      </c>
      <c r="T86" s="20" t="s">
        <v>802</v>
      </c>
    </row>
    <row r="87" spans="1:22" x14ac:dyDescent="0.3">
      <c r="A87" t="s">
        <v>720</v>
      </c>
      <c r="B87" t="s">
        <v>1063</v>
      </c>
      <c r="C87" t="s">
        <v>1064</v>
      </c>
      <c r="D87" t="s">
        <v>1065</v>
      </c>
      <c r="E87" s="2">
        <v>0.36458333333333331</v>
      </c>
      <c r="F87" s="26" t="s">
        <v>7990</v>
      </c>
      <c r="G87" t="s">
        <v>7993</v>
      </c>
      <c r="H87" t="s">
        <v>7988</v>
      </c>
      <c r="I87" t="s">
        <v>7989</v>
      </c>
      <c r="J87" t="s">
        <v>609</v>
      </c>
      <c r="K87" t="s">
        <v>7992</v>
      </c>
      <c r="L87" t="s">
        <v>7994</v>
      </c>
      <c r="M87" t="s">
        <v>7991</v>
      </c>
      <c r="N87" t="s">
        <v>7995</v>
      </c>
      <c r="O87" t="s">
        <v>7996</v>
      </c>
      <c r="R87" s="24" t="s">
        <v>801</v>
      </c>
      <c r="S87" s="25">
        <v>0.38472222222222219</v>
      </c>
      <c r="T87" s="24" t="s">
        <v>807</v>
      </c>
    </row>
    <row r="88" spans="1:22" x14ac:dyDescent="0.3">
      <c r="A88" t="s">
        <v>724</v>
      </c>
      <c r="B88" t="s">
        <v>1066</v>
      </c>
      <c r="C88" t="s">
        <v>1067</v>
      </c>
      <c r="D88" t="s">
        <v>1068</v>
      </c>
      <c r="E88" s="2">
        <v>0.31527777777777777</v>
      </c>
      <c r="F88" s="26" t="s">
        <v>7991</v>
      </c>
      <c r="G88" t="s">
        <v>7995</v>
      </c>
      <c r="H88" t="s">
        <v>7992</v>
      </c>
      <c r="I88" t="s">
        <v>7988</v>
      </c>
      <c r="J88" t="s">
        <v>7994</v>
      </c>
      <c r="K88" t="s">
        <v>7990</v>
      </c>
      <c r="L88" t="s">
        <v>609</v>
      </c>
      <c r="M88" t="s">
        <v>7996</v>
      </c>
      <c r="N88" t="s">
        <v>7989</v>
      </c>
      <c r="O88" t="s">
        <v>7993</v>
      </c>
      <c r="P88" s="21"/>
      <c r="Q88" s="21"/>
      <c r="R88" t="s">
        <v>403</v>
      </c>
      <c r="S88" s="2">
        <v>0.33333333333333331</v>
      </c>
      <c r="T88" t="s">
        <v>807</v>
      </c>
    </row>
    <row r="89" spans="1:22" x14ac:dyDescent="0.3">
      <c r="A89" t="s">
        <v>728</v>
      </c>
      <c r="B89" t="s">
        <v>1069</v>
      </c>
      <c r="C89" t="s">
        <v>1070</v>
      </c>
      <c r="D89" t="s">
        <v>1071</v>
      </c>
      <c r="E89" s="2">
        <v>0.3125</v>
      </c>
      <c r="F89" s="26" t="s">
        <v>7988</v>
      </c>
      <c r="G89" t="s">
        <v>7992</v>
      </c>
      <c r="H89" t="s">
        <v>7989</v>
      </c>
      <c r="I89" t="s">
        <v>7991</v>
      </c>
      <c r="J89" t="s">
        <v>7993</v>
      </c>
      <c r="K89" t="s">
        <v>7996</v>
      </c>
      <c r="L89" t="s">
        <v>7990</v>
      </c>
      <c r="M89" t="s">
        <v>7995</v>
      </c>
      <c r="N89" t="s">
        <v>7994</v>
      </c>
      <c r="O89" t="s">
        <v>609</v>
      </c>
      <c r="P89" s="21"/>
      <c r="Q89" s="21"/>
      <c r="R89" t="s">
        <v>403</v>
      </c>
      <c r="S89" s="2">
        <v>0.31527777777777777</v>
      </c>
      <c r="T89" t="s">
        <v>807</v>
      </c>
    </row>
    <row r="90" spans="1:22" x14ac:dyDescent="0.3">
      <c r="A90" t="s">
        <v>732</v>
      </c>
      <c r="B90" t="s">
        <v>1072</v>
      </c>
      <c r="C90" t="s">
        <v>1073</v>
      </c>
      <c r="D90" t="s">
        <v>1074</v>
      </c>
      <c r="E90" s="2">
        <v>0.66736111111111107</v>
      </c>
      <c r="F90" s="26" t="s">
        <v>7989</v>
      </c>
      <c r="G90" t="s">
        <v>7995</v>
      </c>
      <c r="H90" t="s">
        <v>7992</v>
      </c>
      <c r="I90" t="s">
        <v>7996</v>
      </c>
      <c r="J90" t="s">
        <v>7990</v>
      </c>
      <c r="K90" t="s">
        <v>7991</v>
      </c>
      <c r="L90" t="s">
        <v>7994</v>
      </c>
      <c r="M90" t="s">
        <v>7993</v>
      </c>
      <c r="N90" t="s">
        <v>609</v>
      </c>
      <c r="O90" t="s">
        <v>7988</v>
      </c>
      <c r="P90" s="21"/>
      <c r="Q90" s="21"/>
      <c r="R90" t="s">
        <v>403</v>
      </c>
      <c r="S90" s="2">
        <v>0.69930555555555562</v>
      </c>
      <c r="T90" t="s">
        <v>807</v>
      </c>
    </row>
    <row r="91" spans="1:22" x14ac:dyDescent="0.3">
      <c r="A91" t="s">
        <v>732</v>
      </c>
      <c r="B91" t="s">
        <v>1075</v>
      </c>
      <c r="C91" t="s">
        <v>1076</v>
      </c>
      <c r="D91" t="s">
        <v>1077</v>
      </c>
      <c r="E91" s="2">
        <v>0.60763888888888895</v>
      </c>
      <c r="F91" s="26" t="s">
        <v>7989</v>
      </c>
      <c r="G91" t="s">
        <v>7992</v>
      </c>
      <c r="H91" t="s">
        <v>7993</v>
      </c>
      <c r="I91" t="s">
        <v>7995</v>
      </c>
      <c r="J91" t="s">
        <v>7994</v>
      </c>
      <c r="K91" t="s">
        <v>7991</v>
      </c>
      <c r="L91" t="s">
        <v>7990</v>
      </c>
      <c r="M91" t="s">
        <v>7996</v>
      </c>
      <c r="N91" t="s">
        <v>7988</v>
      </c>
      <c r="O91" t="s">
        <v>609</v>
      </c>
      <c r="P91" s="21"/>
      <c r="Q91" s="21"/>
      <c r="R91" t="s">
        <v>403</v>
      </c>
      <c r="S91" s="2">
        <v>0.625</v>
      </c>
      <c r="T91" s="20" t="s">
        <v>802</v>
      </c>
    </row>
    <row r="92" spans="1:22" x14ac:dyDescent="0.3">
      <c r="A92" t="s">
        <v>732</v>
      </c>
      <c r="B92" t="s">
        <v>1078</v>
      </c>
      <c r="C92" t="s">
        <v>1079</v>
      </c>
      <c r="D92" t="s">
        <v>1080</v>
      </c>
      <c r="E92" s="2">
        <v>0.42499999999999999</v>
      </c>
      <c r="F92" s="26" t="s">
        <v>7989</v>
      </c>
      <c r="G92" t="s">
        <v>7995</v>
      </c>
      <c r="H92" t="s">
        <v>7988</v>
      </c>
      <c r="I92" t="s">
        <v>7990</v>
      </c>
      <c r="J92" t="s">
        <v>7994</v>
      </c>
      <c r="K92" t="s">
        <v>609</v>
      </c>
      <c r="L92" t="s">
        <v>7992</v>
      </c>
      <c r="M92" t="s">
        <v>7996</v>
      </c>
      <c r="N92" t="s">
        <v>7991</v>
      </c>
      <c r="O92" t="s">
        <v>7993</v>
      </c>
      <c r="R92" s="24" t="s">
        <v>801</v>
      </c>
      <c r="S92" s="25">
        <v>0.47361111111111115</v>
      </c>
      <c r="T92" s="24" t="s">
        <v>807</v>
      </c>
    </row>
    <row r="93" spans="1:22" x14ac:dyDescent="0.3">
      <c r="A93" t="s">
        <v>732</v>
      </c>
      <c r="B93" t="s">
        <v>1081</v>
      </c>
      <c r="C93" t="s">
        <v>1082</v>
      </c>
      <c r="D93" t="s">
        <v>1083</v>
      </c>
      <c r="E93" s="2">
        <v>0.35000000000000003</v>
      </c>
      <c r="F93" s="26" t="s">
        <v>7989</v>
      </c>
      <c r="G93" t="s">
        <v>7992</v>
      </c>
      <c r="H93" t="s">
        <v>7990</v>
      </c>
      <c r="I93" t="s">
        <v>7991</v>
      </c>
      <c r="J93" t="s">
        <v>7993</v>
      </c>
      <c r="K93" t="s">
        <v>7995</v>
      </c>
      <c r="L93" t="s">
        <v>609</v>
      </c>
      <c r="M93" t="s">
        <v>7996</v>
      </c>
      <c r="N93" t="s">
        <v>7994</v>
      </c>
      <c r="O93" t="s">
        <v>7988</v>
      </c>
      <c r="P93" s="21"/>
      <c r="Q93" s="21"/>
      <c r="R93" t="s">
        <v>403</v>
      </c>
      <c r="S93" s="2">
        <v>0.37083333333333335</v>
      </c>
      <c r="T93" t="s">
        <v>807</v>
      </c>
    </row>
    <row r="94" spans="1:22" x14ac:dyDescent="0.3">
      <c r="A94" t="s">
        <v>732</v>
      </c>
      <c r="B94" t="s">
        <v>1084</v>
      </c>
      <c r="C94" t="s">
        <v>1085</v>
      </c>
      <c r="D94" t="s">
        <v>1086</v>
      </c>
      <c r="E94" s="2">
        <v>0.3</v>
      </c>
      <c r="F94" s="26" t="s">
        <v>7989</v>
      </c>
      <c r="G94" t="s">
        <v>7992</v>
      </c>
      <c r="H94" t="s">
        <v>7991</v>
      </c>
      <c r="I94" t="s">
        <v>7995</v>
      </c>
      <c r="J94" t="s">
        <v>7993</v>
      </c>
      <c r="K94" t="s">
        <v>7994</v>
      </c>
      <c r="L94" t="s">
        <v>7990</v>
      </c>
      <c r="M94" t="s">
        <v>7996</v>
      </c>
      <c r="N94" t="s">
        <v>609</v>
      </c>
      <c r="O94" t="s">
        <v>7988</v>
      </c>
      <c r="P94" s="21"/>
      <c r="Q94" s="21"/>
      <c r="R94" t="s">
        <v>403</v>
      </c>
      <c r="S94" s="2">
        <v>0.33124999999999999</v>
      </c>
      <c r="T94" t="s">
        <v>807</v>
      </c>
    </row>
    <row r="95" spans="1:22" x14ac:dyDescent="0.3">
      <c r="A95" t="s">
        <v>736</v>
      </c>
      <c r="B95" t="s">
        <v>1087</v>
      </c>
      <c r="C95" t="s">
        <v>1088</v>
      </c>
      <c r="D95" t="s">
        <v>1089</v>
      </c>
      <c r="E95" s="2">
        <v>0.63888888888888895</v>
      </c>
      <c r="F95" s="26" t="s">
        <v>7989</v>
      </c>
      <c r="G95" t="s">
        <v>7995</v>
      </c>
      <c r="H95" t="s">
        <v>7991</v>
      </c>
      <c r="I95" t="s">
        <v>7992</v>
      </c>
      <c r="J95" t="s">
        <v>7990</v>
      </c>
      <c r="K95" t="s">
        <v>7996</v>
      </c>
      <c r="L95" t="s">
        <v>7993</v>
      </c>
      <c r="M95" t="s">
        <v>609</v>
      </c>
      <c r="N95" t="s">
        <v>7988</v>
      </c>
      <c r="O95" t="s">
        <v>7994</v>
      </c>
      <c r="P95" s="21"/>
      <c r="Q95" s="21"/>
      <c r="R95" t="s">
        <v>403</v>
      </c>
      <c r="S95" s="2">
        <v>0.66736111111111107</v>
      </c>
      <c r="T95" t="s">
        <v>807</v>
      </c>
    </row>
    <row r="96" spans="1:22" x14ac:dyDescent="0.3">
      <c r="A96" t="s">
        <v>736</v>
      </c>
      <c r="B96" t="s">
        <v>1090</v>
      </c>
      <c r="C96" t="s">
        <v>1091</v>
      </c>
      <c r="D96" t="s">
        <v>1092</v>
      </c>
      <c r="E96" s="2">
        <v>0.60069444444444442</v>
      </c>
      <c r="F96" s="26" t="s">
        <v>7996</v>
      </c>
      <c r="G96" t="s">
        <v>7991</v>
      </c>
      <c r="H96" t="s">
        <v>7993</v>
      </c>
      <c r="I96" t="s">
        <v>7994</v>
      </c>
      <c r="J96" t="s">
        <v>7989</v>
      </c>
      <c r="K96" t="s">
        <v>7992</v>
      </c>
      <c r="L96" t="s">
        <v>7990</v>
      </c>
      <c r="M96" t="s">
        <v>7988</v>
      </c>
      <c r="N96" t="s">
        <v>7995</v>
      </c>
      <c r="O96" t="s">
        <v>609</v>
      </c>
      <c r="P96" s="21"/>
      <c r="Q96" s="21"/>
      <c r="R96" t="s">
        <v>403</v>
      </c>
      <c r="S96" s="2">
        <v>0.62291666666666667</v>
      </c>
      <c r="T96" t="s">
        <v>807</v>
      </c>
      <c r="V96" t="s">
        <v>1093</v>
      </c>
    </row>
    <row r="97" spans="1:20" x14ac:dyDescent="0.3">
      <c r="A97" t="s">
        <v>740</v>
      </c>
      <c r="B97" t="s">
        <v>1094</v>
      </c>
      <c r="C97" t="s">
        <v>1095</v>
      </c>
      <c r="D97" t="s">
        <v>1096</v>
      </c>
      <c r="E97" s="2">
        <v>0.53472222222222221</v>
      </c>
      <c r="F97" s="26" t="s">
        <v>7990</v>
      </c>
      <c r="G97" t="s">
        <v>7989</v>
      </c>
      <c r="H97" t="s">
        <v>7993</v>
      </c>
      <c r="I97" t="s">
        <v>7994</v>
      </c>
      <c r="J97" t="s">
        <v>7988</v>
      </c>
      <c r="K97" t="s">
        <v>7992</v>
      </c>
      <c r="L97" t="s">
        <v>7996</v>
      </c>
      <c r="M97" t="s">
        <v>7995</v>
      </c>
      <c r="N97" t="s">
        <v>609</v>
      </c>
      <c r="O97" t="s">
        <v>7991</v>
      </c>
      <c r="R97" t="s">
        <v>820</v>
      </c>
      <c r="S97" s="2">
        <v>0.58611111111111114</v>
      </c>
      <c r="T97" s="20" t="s">
        <v>802</v>
      </c>
    </row>
    <row r="98" spans="1:20" x14ac:dyDescent="0.3">
      <c r="A98" t="s">
        <v>745</v>
      </c>
      <c r="B98" t="s">
        <v>1097</v>
      </c>
      <c r="C98" t="s">
        <v>1098</v>
      </c>
      <c r="D98" t="s">
        <v>1099</v>
      </c>
      <c r="E98" s="2">
        <v>0.50972222222222219</v>
      </c>
      <c r="F98" s="26" t="s">
        <v>7994</v>
      </c>
      <c r="G98" t="s">
        <v>7988</v>
      </c>
      <c r="H98" t="s">
        <v>7995</v>
      </c>
      <c r="I98" t="s">
        <v>7996</v>
      </c>
      <c r="J98" t="s">
        <v>7993</v>
      </c>
      <c r="K98" t="s">
        <v>7990</v>
      </c>
      <c r="L98" t="s">
        <v>7992</v>
      </c>
      <c r="M98" t="s">
        <v>7989</v>
      </c>
      <c r="N98" t="s">
        <v>7991</v>
      </c>
      <c r="O98" t="s">
        <v>609</v>
      </c>
      <c r="R98" t="s">
        <v>820</v>
      </c>
      <c r="S98" s="2">
        <v>0.52986111111111112</v>
      </c>
      <c r="T98" s="20" t="s">
        <v>802</v>
      </c>
    </row>
    <row r="99" spans="1:20" x14ac:dyDescent="0.3">
      <c r="A99" t="s">
        <v>745</v>
      </c>
      <c r="B99" t="s">
        <v>1101</v>
      </c>
      <c r="C99" t="s">
        <v>1102</v>
      </c>
      <c r="D99" t="s">
        <v>1103</v>
      </c>
      <c r="E99" s="2">
        <v>0.37638888888888888</v>
      </c>
      <c r="F99" s="26" t="s">
        <v>7995</v>
      </c>
      <c r="G99" t="s">
        <v>7991</v>
      </c>
      <c r="H99" t="s">
        <v>7994</v>
      </c>
      <c r="I99" t="s">
        <v>7996</v>
      </c>
      <c r="J99" t="s">
        <v>7993</v>
      </c>
      <c r="K99" t="s">
        <v>7988</v>
      </c>
      <c r="L99" t="s">
        <v>7989</v>
      </c>
      <c r="M99" t="s">
        <v>7992</v>
      </c>
      <c r="N99" t="s">
        <v>7990</v>
      </c>
      <c r="O99" t="s">
        <v>609</v>
      </c>
      <c r="R99" t="s">
        <v>820</v>
      </c>
      <c r="S99" s="2">
        <v>0.3972222222222222</v>
      </c>
      <c r="T99" t="s">
        <v>807</v>
      </c>
    </row>
    <row r="100" spans="1:20" x14ac:dyDescent="0.3">
      <c r="A100" t="s">
        <v>749</v>
      </c>
      <c r="B100" t="s">
        <v>1104</v>
      </c>
      <c r="C100" t="s">
        <v>1105</v>
      </c>
      <c r="D100" t="s">
        <v>1106</v>
      </c>
      <c r="E100" s="2">
        <v>0.4861111111111111</v>
      </c>
      <c r="F100" s="26" t="s">
        <v>7993</v>
      </c>
      <c r="G100" t="s">
        <v>7996</v>
      </c>
      <c r="H100" t="s">
        <v>7991</v>
      </c>
      <c r="I100" t="s">
        <v>7992</v>
      </c>
      <c r="J100" t="s">
        <v>7989</v>
      </c>
      <c r="K100" t="s">
        <v>7994</v>
      </c>
      <c r="L100" t="s">
        <v>7990</v>
      </c>
      <c r="M100" t="s">
        <v>7995</v>
      </c>
      <c r="N100" t="s">
        <v>7988</v>
      </c>
      <c r="O100" t="s">
        <v>609</v>
      </c>
      <c r="P100" s="21"/>
      <c r="Q100" s="21"/>
      <c r="R100" t="s">
        <v>403</v>
      </c>
      <c r="S100" s="2">
        <v>0.50208333333333333</v>
      </c>
      <c r="T100" s="20" t="s">
        <v>802</v>
      </c>
    </row>
    <row r="101" spans="1:20" x14ac:dyDescent="0.3">
      <c r="A101" t="s">
        <v>749</v>
      </c>
      <c r="B101" s="3" t="s">
        <v>1107</v>
      </c>
      <c r="C101" t="s">
        <v>1108</v>
      </c>
      <c r="D101" t="s">
        <v>1109</v>
      </c>
      <c r="E101" s="2">
        <v>0.42499999999999999</v>
      </c>
      <c r="F101" s="26" t="s">
        <v>7993</v>
      </c>
      <c r="G101" t="s">
        <v>7992</v>
      </c>
      <c r="H101" t="s">
        <v>7989</v>
      </c>
      <c r="I101" t="s">
        <v>7995</v>
      </c>
      <c r="J101" t="s">
        <v>7991</v>
      </c>
      <c r="K101" t="s">
        <v>7996</v>
      </c>
      <c r="L101" t="s">
        <v>7990</v>
      </c>
      <c r="M101" t="s">
        <v>7994</v>
      </c>
      <c r="N101" t="s">
        <v>609</v>
      </c>
      <c r="O101" t="s">
        <v>7988</v>
      </c>
      <c r="P101" s="21"/>
      <c r="Q101" s="21"/>
      <c r="R101" t="s">
        <v>403</v>
      </c>
      <c r="S101" s="2">
        <v>0.44097222222222227</v>
      </c>
      <c r="T101" t="s">
        <v>807</v>
      </c>
    </row>
    <row r="102" spans="1:20" x14ac:dyDescent="0.3">
      <c r="A102" t="s">
        <v>753</v>
      </c>
      <c r="B102" t="s">
        <v>1110</v>
      </c>
      <c r="C102" t="s">
        <v>1111</v>
      </c>
      <c r="D102" t="s">
        <v>1112</v>
      </c>
      <c r="E102" s="2">
        <v>0.64097222222222217</v>
      </c>
      <c r="F102" s="26" t="s">
        <v>7993</v>
      </c>
      <c r="G102" t="s">
        <v>7994</v>
      </c>
      <c r="H102" t="s">
        <v>7989</v>
      </c>
      <c r="I102" t="s">
        <v>7991</v>
      </c>
      <c r="J102" t="s">
        <v>7990</v>
      </c>
      <c r="K102" t="s">
        <v>7988</v>
      </c>
      <c r="L102" t="s">
        <v>7996</v>
      </c>
      <c r="M102" t="s">
        <v>7995</v>
      </c>
      <c r="N102" t="s">
        <v>7992</v>
      </c>
      <c r="O102" t="s">
        <v>609</v>
      </c>
      <c r="P102" s="21"/>
      <c r="Q102" s="21"/>
      <c r="R102" t="s">
        <v>403</v>
      </c>
      <c r="S102" s="2">
        <v>0.65625</v>
      </c>
      <c r="T102" t="s">
        <v>807</v>
      </c>
    </row>
    <row r="103" spans="1:20" x14ac:dyDescent="0.3">
      <c r="A103" t="s">
        <v>757</v>
      </c>
      <c r="B103" t="s">
        <v>1113</v>
      </c>
      <c r="C103" t="s">
        <v>1114</v>
      </c>
      <c r="D103" t="s">
        <v>1115</v>
      </c>
      <c r="E103" s="2">
        <v>0.47013888888888888</v>
      </c>
      <c r="F103" s="26" t="s">
        <v>7996</v>
      </c>
      <c r="G103" t="s">
        <v>7988</v>
      </c>
      <c r="H103" t="s">
        <v>7991</v>
      </c>
      <c r="I103" t="s">
        <v>7993</v>
      </c>
      <c r="J103" t="s">
        <v>7995</v>
      </c>
      <c r="K103" t="s">
        <v>7989</v>
      </c>
      <c r="L103" t="s">
        <v>7994</v>
      </c>
      <c r="M103" t="s">
        <v>7990</v>
      </c>
      <c r="N103" t="s">
        <v>7992</v>
      </c>
      <c r="O103" t="s">
        <v>609</v>
      </c>
      <c r="P103" s="21"/>
      <c r="Q103" s="21"/>
      <c r="R103" t="s">
        <v>403</v>
      </c>
      <c r="S103" s="2">
        <v>0.48055555555555557</v>
      </c>
      <c r="T103" t="s">
        <v>807</v>
      </c>
    </row>
    <row r="104" spans="1:20" x14ac:dyDescent="0.3">
      <c r="A104" t="s">
        <v>757</v>
      </c>
      <c r="B104" t="s">
        <v>1116</v>
      </c>
      <c r="C104" t="s">
        <v>1117</v>
      </c>
      <c r="D104" t="s">
        <v>1118</v>
      </c>
      <c r="E104" s="2">
        <v>0.45277777777777778</v>
      </c>
      <c r="F104" s="26" t="s">
        <v>7991</v>
      </c>
      <c r="G104" t="s">
        <v>7996</v>
      </c>
      <c r="H104" t="s">
        <v>7990</v>
      </c>
      <c r="I104" t="s">
        <v>7988</v>
      </c>
      <c r="J104" t="s">
        <v>7995</v>
      </c>
      <c r="K104" t="s">
        <v>609</v>
      </c>
      <c r="L104" t="s">
        <v>7992</v>
      </c>
      <c r="M104" t="s">
        <v>7989</v>
      </c>
      <c r="N104" t="s">
        <v>7994</v>
      </c>
      <c r="O104" t="s">
        <v>7993</v>
      </c>
      <c r="P104" s="21"/>
      <c r="Q104" s="21"/>
      <c r="R104" t="s">
        <v>403</v>
      </c>
      <c r="S104" s="2">
        <v>0.46736111111111112</v>
      </c>
      <c r="T104" t="s">
        <v>807</v>
      </c>
    </row>
    <row r="105" spans="1:20" x14ac:dyDescent="0.3">
      <c r="A105" t="s">
        <v>761</v>
      </c>
      <c r="B105" t="s">
        <v>1119</v>
      </c>
      <c r="C105" t="s">
        <v>1120</v>
      </c>
      <c r="D105" t="s">
        <v>1121</v>
      </c>
      <c r="E105" s="2">
        <v>0.65763888888888888</v>
      </c>
      <c r="F105" s="26" t="s">
        <v>7992</v>
      </c>
      <c r="G105" t="s">
        <v>7993</v>
      </c>
      <c r="H105" t="s">
        <v>7989</v>
      </c>
      <c r="I105" t="s">
        <v>7990</v>
      </c>
      <c r="J105" t="s">
        <v>7996</v>
      </c>
      <c r="K105" t="s">
        <v>7988</v>
      </c>
      <c r="L105" t="s">
        <v>609</v>
      </c>
      <c r="M105" t="s">
        <v>7995</v>
      </c>
      <c r="N105" t="s">
        <v>7994</v>
      </c>
      <c r="O105" t="s">
        <v>7991</v>
      </c>
      <c r="P105" s="21"/>
      <c r="Q105" s="21"/>
      <c r="R105" t="s">
        <v>403</v>
      </c>
      <c r="S105" s="2">
        <v>0.70000000000000007</v>
      </c>
      <c r="T105" t="s">
        <v>807</v>
      </c>
    </row>
    <row r="106" spans="1:20" x14ac:dyDescent="0.3">
      <c r="A106" t="s">
        <v>765</v>
      </c>
      <c r="B106" t="s">
        <v>1122</v>
      </c>
      <c r="C106" t="s">
        <v>1123</v>
      </c>
      <c r="D106" t="s">
        <v>1124</v>
      </c>
      <c r="E106" s="2">
        <v>0.59444444444444444</v>
      </c>
      <c r="F106" s="26" t="s">
        <v>7988</v>
      </c>
      <c r="G106" t="s">
        <v>7993</v>
      </c>
      <c r="H106" t="s">
        <v>7994</v>
      </c>
      <c r="I106" t="s">
        <v>7989</v>
      </c>
      <c r="J106" t="s">
        <v>7995</v>
      </c>
      <c r="K106" t="s">
        <v>7992</v>
      </c>
      <c r="L106" t="s">
        <v>7991</v>
      </c>
      <c r="M106" t="s">
        <v>7996</v>
      </c>
      <c r="N106" t="s">
        <v>7990</v>
      </c>
      <c r="O106" t="s">
        <v>609</v>
      </c>
      <c r="P106" s="21"/>
      <c r="Q106" s="21"/>
      <c r="R106" t="s">
        <v>820</v>
      </c>
      <c r="S106" s="2">
        <v>0.6166666666666667</v>
      </c>
      <c r="T106" t="s">
        <v>807</v>
      </c>
    </row>
    <row r="107" spans="1:20" x14ac:dyDescent="0.3">
      <c r="A107" t="s">
        <v>769</v>
      </c>
      <c r="B107" t="s">
        <v>1125</v>
      </c>
      <c r="C107" t="s">
        <v>1126</v>
      </c>
      <c r="D107" t="s">
        <v>1127</v>
      </c>
      <c r="E107" s="2">
        <v>0.57291666666666663</v>
      </c>
      <c r="F107" s="26" t="s">
        <v>7992</v>
      </c>
      <c r="G107" t="s">
        <v>7990</v>
      </c>
      <c r="H107" t="s">
        <v>7989</v>
      </c>
      <c r="I107" t="s">
        <v>7994</v>
      </c>
      <c r="J107" t="s">
        <v>7988</v>
      </c>
      <c r="K107" t="s">
        <v>609</v>
      </c>
      <c r="L107" t="s">
        <v>7991</v>
      </c>
      <c r="M107" t="s">
        <v>7996</v>
      </c>
      <c r="N107" t="s">
        <v>7993</v>
      </c>
      <c r="O107" t="s">
        <v>7995</v>
      </c>
      <c r="R107" t="s">
        <v>855</v>
      </c>
      <c r="S107" s="2">
        <v>0.59027777777777779</v>
      </c>
      <c r="T107" t="s">
        <v>807</v>
      </c>
    </row>
    <row r="108" spans="1:20" x14ac:dyDescent="0.3">
      <c r="A108" t="s">
        <v>769</v>
      </c>
      <c r="B108" t="s">
        <v>1128</v>
      </c>
      <c r="C108" t="s">
        <v>1129</v>
      </c>
      <c r="D108" t="s">
        <v>1130</v>
      </c>
      <c r="E108" s="2">
        <v>0.53888888888888886</v>
      </c>
      <c r="F108" s="26" t="s">
        <v>7992</v>
      </c>
      <c r="G108" t="s">
        <v>7994</v>
      </c>
      <c r="H108" t="s">
        <v>7991</v>
      </c>
      <c r="I108" t="s">
        <v>7993</v>
      </c>
      <c r="J108" t="s">
        <v>7990</v>
      </c>
      <c r="K108" t="s">
        <v>7989</v>
      </c>
      <c r="L108" t="s">
        <v>7988</v>
      </c>
      <c r="M108" t="s">
        <v>7996</v>
      </c>
      <c r="N108" t="s">
        <v>7995</v>
      </c>
      <c r="O108" t="s">
        <v>609</v>
      </c>
      <c r="P108" s="21"/>
      <c r="Q108" s="21"/>
      <c r="R108" t="s">
        <v>403</v>
      </c>
      <c r="S108" s="2">
        <v>0.55555555555555558</v>
      </c>
      <c r="T108" t="s">
        <v>807</v>
      </c>
    </row>
    <row r="109" spans="1:20" x14ac:dyDescent="0.3">
      <c r="A109" t="s">
        <v>769</v>
      </c>
      <c r="B109" t="s">
        <v>1131</v>
      </c>
      <c r="C109" t="s">
        <v>1132</v>
      </c>
      <c r="D109" t="s">
        <v>1133</v>
      </c>
      <c r="E109" s="2">
        <v>0.3972222222222222</v>
      </c>
      <c r="F109" s="26" t="s">
        <v>7990</v>
      </c>
      <c r="G109" t="s">
        <v>7989</v>
      </c>
      <c r="H109" t="s">
        <v>7995</v>
      </c>
      <c r="I109" t="s">
        <v>7992</v>
      </c>
      <c r="J109" t="s">
        <v>7988</v>
      </c>
      <c r="K109" t="s">
        <v>7994</v>
      </c>
      <c r="L109" t="s">
        <v>609</v>
      </c>
      <c r="M109" t="s">
        <v>7996</v>
      </c>
      <c r="N109" t="s">
        <v>7991</v>
      </c>
      <c r="O109" t="s">
        <v>7993</v>
      </c>
      <c r="P109" s="21"/>
      <c r="Q109" s="21"/>
      <c r="R109" t="s">
        <v>403</v>
      </c>
      <c r="S109" s="2">
        <v>0.40069444444444446</v>
      </c>
      <c r="T109" s="20" t="s">
        <v>802</v>
      </c>
    </row>
    <row r="110" spans="1:20" x14ac:dyDescent="0.3">
      <c r="A110" t="s">
        <v>769</v>
      </c>
      <c r="B110" t="s">
        <v>1134</v>
      </c>
      <c r="C110" t="s">
        <v>1135</v>
      </c>
      <c r="D110" t="s">
        <v>1136</v>
      </c>
      <c r="E110" s="2">
        <v>0.36180555555555555</v>
      </c>
      <c r="F110" s="26" t="s">
        <v>7992</v>
      </c>
      <c r="G110" t="s">
        <v>7995</v>
      </c>
      <c r="H110" t="s">
        <v>7989</v>
      </c>
      <c r="I110" t="s">
        <v>7990</v>
      </c>
      <c r="J110" t="s">
        <v>7993</v>
      </c>
      <c r="K110" t="s">
        <v>7991</v>
      </c>
      <c r="L110" t="s">
        <v>7996</v>
      </c>
      <c r="M110" t="s">
        <v>7988</v>
      </c>
      <c r="N110" t="s">
        <v>609</v>
      </c>
      <c r="O110" t="s">
        <v>7994</v>
      </c>
      <c r="P110" s="21"/>
      <c r="Q110" s="21"/>
      <c r="R110" t="s">
        <v>403</v>
      </c>
      <c r="S110" s="2">
        <v>0.37222222222222223</v>
      </c>
      <c r="T110" t="s">
        <v>807</v>
      </c>
    </row>
    <row r="111" spans="1:20" x14ac:dyDescent="0.3">
      <c r="A111" t="s">
        <v>769</v>
      </c>
      <c r="B111" t="s">
        <v>1137</v>
      </c>
      <c r="C111" t="s">
        <v>1138</v>
      </c>
      <c r="D111" t="s">
        <v>1139</v>
      </c>
      <c r="E111" s="2">
        <v>0.33888888888888885</v>
      </c>
      <c r="F111" s="26" t="s">
        <v>7992</v>
      </c>
      <c r="G111" t="s">
        <v>7989</v>
      </c>
      <c r="H111" t="s">
        <v>7991</v>
      </c>
      <c r="I111" t="s">
        <v>7990</v>
      </c>
      <c r="J111" t="s">
        <v>7995</v>
      </c>
      <c r="K111" t="s">
        <v>7996</v>
      </c>
      <c r="L111" t="s">
        <v>609</v>
      </c>
      <c r="M111" t="s">
        <v>7988</v>
      </c>
      <c r="N111" t="s">
        <v>7994</v>
      </c>
      <c r="O111" t="s">
        <v>7993</v>
      </c>
      <c r="P111" s="21"/>
      <c r="Q111" s="21"/>
      <c r="R111" t="s">
        <v>403</v>
      </c>
      <c r="S111" s="2">
        <v>0.34791666666666665</v>
      </c>
      <c r="T111" t="s">
        <v>807</v>
      </c>
    </row>
    <row r="112" spans="1:20" x14ac:dyDescent="0.3">
      <c r="A112" t="s">
        <v>773</v>
      </c>
      <c r="B112" t="s">
        <v>1140</v>
      </c>
      <c r="C112" t="s">
        <v>1141</v>
      </c>
      <c r="D112" t="s">
        <v>1142</v>
      </c>
      <c r="E112" s="2">
        <v>0.44930555555555557</v>
      </c>
      <c r="F112" s="26" t="s">
        <v>7995</v>
      </c>
      <c r="G112" t="s">
        <v>7990</v>
      </c>
      <c r="H112" t="s">
        <v>7993</v>
      </c>
      <c r="I112" t="s">
        <v>7989</v>
      </c>
      <c r="J112" t="s">
        <v>7988</v>
      </c>
      <c r="K112" t="s">
        <v>7994</v>
      </c>
      <c r="L112" t="s">
        <v>7992</v>
      </c>
      <c r="M112" t="s">
        <v>7991</v>
      </c>
      <c r="N112" t="s">
        <v>7996</v>
      </c>
      <c r="O112" t="s">
        <v>609</v>
      </c>
      <c r="P112" s="21"/>
      <c r="Q112" s="21"/>
      <c r="R112" t="s">
        <v>820</v>
      </c>
      <c r="S112" s="2">
        <v>0.45763888888888887</v>
      </c>
      <c r="T112" t="s">
        <v>807</v>
      </c>
    </row>
    <row r="113" spans="1:22" x14ac:dyDescent="0.3">
      <c r="A113" t="s">
        <v>777</v>
      </c>
      <c r="B113" t="s">
        <v>1143</v>
      </c>
      <c r="C113" t="s">
        <v>1144</v>
      </c>
      <c r="D113" t="s">
        <v>1145</v>
      </c>
      <c r="E113" s="2">
        <v>0.42986111111111108</v>
      </c>
      <c r="F113" s="26" t="s">
        <v>7990</v>
      </c>
      <c r="G113" t="s">
        <v>7995</v>
      </c>
      <c r="H113" t="s">
        <v>7992</v>
      </c>
      <c r="I113" t="s">
        <v>7993</v>
      </c>
      <c r="J113" t="s">
        <v>7989</v>
      </c>
      <c r="K113" t="s">
        <v>7996</v>
      </c>
      <c r="L113" t="s">
        <v>7988</v>
      </c>
      <c r="M113" t="s">
        <v>7994</v>
      </c>
      <c r="N113" t="s">
        <v>7991</v>
      </c>
      <c r="O113" t="s">
        <v>609</v>
      </c>
      <c r="R113" t="s">
        <v>1146</v>
      </c>
      <c r="S113" s="2">
        <v>0.44027777777777777</v>
      </c>
      <c r="T113" t="s">
        <v>807</v>
      </c>
    </row>
    <row r="114" spans="1:22" x14ac:dyDescent="0.3">
      <c r="A114" t="s">
        <v>780</v>
      </c>
      <c r="B114" t="s">
        <v>1147</v>
      </c>
      <c r="C114" t="s">
        <v>1148</v>
      </c>
      <c r="D114" t="s">
        <v>1149</v>
      </c>
      <c r="E114" s="2">
        <v>0.41944444444444445</v>
      </c>
      <c r="F114" s="26" t="s">
        <v>7992</v>
      </c>
      <c r="G114" t="s">
        <v>7993</v>
      </c>
      <c r="H114" t="s">
        <v>7989</v>
      </c>
      <c r="I114" t="s">
        <v>7990</v>
      </c>
      <c r="J114" t="s">
        <v>7991</v>
      </c>
      <c r="K114" t="s">
        <v>7995</v>
      </c>
      <c r="L114" t="s">
        <v>7996</v>
      </c>
      <c r="M114" t="s">
        <v>7988</v>
      </c>
      <c r="N114" t="s">
        <v>7994</v>
      </c>
      <c r="O114" t="s">
        <v>609</v>
      </c>
      <c r="R114" t="s">
        <v>1146</v>
      </c>
      <c r="S114" s="2">
        <v>0.45624999999999999</v>
      </c>
      <c r="T114" t="s">
        <v>807</v>
      </c>
    </row>
    <row r="115" spans="1:22" x14ac:dyDescent="0.3">
      <c r="A115" t="s">
        <v>780</v>
      </c>
      <c r="B115" t="s">
        <v>1150</v>
      </c>
      <c r="C115" t="s">
        <v>1151</v>
      </c>
      <c r="D115" t="s">
        <v>1152</v>
      </c>
      <c r="E115" s="2">
        <v>0.38611111111111113</v>
      </c>
      <c r="F115" s="26" t="s">
        <v>7992</v>
      </c>
      <c r="G115" t="s">
        <v>7993</v>
      </c>
      <c r="H115" t="s">
        <v>7995</v>
      </c>
      <c r="I115" t="s">
        <v>7989</v>
      </c>
      <c r="J115" t="s">
        <v>7994</v>
      </c>
      <c r="K115" t="s">
        <v>7991</v>
      </c>
      <c r="L115" t="s">
        <v>7988</v>
      </c>
      <c r="M115" t="s">
        <v>7996</v>
      </c>
      <c r="N115" t="s">
        <v>7990</v>
      </c>
      <c r="O115" t="s">
        <v>609</v>
      </c>
      <c r="P115" s="21"/>
      <c r="Q115" s="21"/>
      <c r="R115" t="s">
        <v>403</v>
      </c>
      <c r="S115" s="2">
        <v>0.40208333333333335</v>
      </c>
      <c r="T115" s="20" t="s">
        <v>802</v>
      </c>
    </row>
    <row r="116" spans="1:22" x14ac:dyDescent="0.3">
      <c r="A116" t="s">
        <v>783</v>
      </c>
      <c r="B116" t="s">
        <v>1153</v>
      </c>
      <c r="C116" t="s">
        <v>1154</v>
      </c>
      <c r="D116" t="s">
        <v>1155</v>
      </c>
      <c r="E116" s="2">
        <v>0.70208333333333339</v>
      </c>
      <c r="F116" s="26" t="s">
        <v>7993</v>
      </c>
      <c r="G116" t="s">
        <v>7992</v>
      </c>
      <c r="H116" t="s">
        <v>7991</v>
      </c>
      <c r="I116" t="s">
        <v>7995</v>
      </c>
      <c r="J116" t="s">
        <v>7989</v>
      </c>
      <c r="K116" t="s">
        <v>7996</v>
      </c>
      <c r="L116" t="s">
        <v>7990</v>
      </c>
      <c r="M116" t="s">
        <v>7994</v>
      </c>
      <c r="N116" t="s">
        <v>7988</v>
      </c>
      <c r="O116" t="s">
        <v>609</v>
      </c>
      <c r="P116" s="21"/>
      <c r="Q116" s="21"/>
      <c r="R116" t="s">
        <v>403</v>
      </c>
      <c r="S116" s="2">
        <v>0.71805555555555556</v>
      </c>
      <c r="T116" t="s">
        <v>807</v>
      </c>
    </row>
    <row r="117" spans="1:22" x14ac:dyDescent="0.3">
      <c r="A117" t="s">
        <v>783</v>
      </c>
      <c r="B117" t="s">
        <v>1156</v>
      </c>
      <c r="C117" t="s">
        <v>1157</v>
      </c>
      <c r="D117" t="s">
        <v>1158</v>
      </c>
      <c r="E117" s="2">
        <v>0.68819444444444444</v>
      </c>
      <c r="F117" s="26" t="s">
        <v>7993</v>
      </c>
      <c r="G117" t="s">
        <v>7992</v>
      </c>
      <c r="H117" t="s">
        <v>7995</v>
      </c>
      <c r="I117" t="s">
        <v>7990</v>
      </c>
      <c r="J117" t="s">
        <v>7988</v>
      </c>
      <c r="K117" t="s">
        <v>7991</v>
      </c>
      <c r="L117" t="s">
        <v>7996</v>
      </c>
      <c r="M117" t="s">
        <v>7994</v>
      </c>
      <c r="N117" t="s">
        <v>7989</v>
      </c>
      <c r="O117" t="s">
        <v>609</v>
      </c>
      <c r="R117" t="s">
        <v>1146</v>
      </c>
      <c r="S117" s="2">
        <v>0.69791666666666663</v>
      </c>
      <c r="T117" s="20" t="s">
        <v>802</v>
      </c>
    </row>
    <row r="118" spans="1:22" x14ac:dyDescent="0.3">
      <c r="A118" t="s">
        <v>783</v>
      </c>
      <c r="B118" t="s">
        <v>1159</v>
      </c>
      <c r="C118" t="s">
        <v>1160</v>
      </c>
      <c r="D118" t="s">
        <v>1161</v>
      </c>
      <c r="E118" s="2">
        <v>0.65416666666666667</v>
      </c>
      <c r="F118" s="26" t="s">
        <v>7994</v>
      </c>
      <c r="G118" t="s">
        <v>609</v>
      </c>
      <c r="H118" t="s">
        <v>7991</v>
      </c>
      <c r="I118" t="s">
        <v>7992</v>
      </c>
      <c r="J118" t="s">
        <v>7989</v>
      </c>
      <c r="K118" t="s">
        <v>7996</v>
      </c>
      <c r="L118" t="s">
        <v>7990</v>
      </c>
      <c r="M118" t="s">
        <v>7993</v>
      </c>
      <c r="N118" t="s">
        <v>7995</v>
      </c>
      <c r="O118" t="s">
        <v>7988</v>
      </c>
      <c r="P118" s="21"/>
      <c r="Q118" s="21"/>
      <c r="R118" t="s">
        <v>403</v>
      </c>
      <c r="S118" s="2">
        <v>0.67569444444444438</v>
      </c>
      <c r="T118" t="s">
        <v>807</v>
      </c>
    </row>
    <row r="119" spans="1:22" x14ac:dyDescent="0.3">
      <c r="A119" t="s">
        <v>783</v>
      </c>
      <c r="B119" t="s">
        <v>1162</v>
      </c>
      <c r="C119" t="s">
        <v>1163</v>
      </c>
      <c r="D119" t="s">
        <v>1164</v>
      </c>
      <c r="E119" s="2">
        <v>0.60138888888888886</v>
      </c>
      <c r="F119" s="26" t="s">
        <v>7995</v>
      </c>
      <c r="G119" t="s">
        <v>7992</v>
      </c>
      <c r="H119" t="s">
        <v>7994</v>
      </c>
      <c r="I119" t="s">
        <v>7993</v>
      </c>
      <c r="J119" t="s">
        <v>7991</v>
      </c>
      <c r="K119" t="s">
        <v>7990</v>
      </c>
      <c r="L119" t="s">
        <v>7989</v>
      </c>
      <c r="M119" t="s">
        <v>7996</v>
      </c>
      <c r="N119" t="s">
        <v>7988</v>
      </c>
      <c r="O119" t="s">
        <v>609</v>
      </c>
      <c r="P119" s="21"/>
      <c r="Q119" s="21"/>
      <c r="R119" t="s">
        <v>403</v>
      </c>
      <c r="S119" s="2">
        <v>0.6333333333333333</v>
      </c>
      <c r="T119" t="s">
        <v>807</v>
      </c>
      <c r="V119" t="s">
        <v>1165</v>
      </c>
    </row>
    <row r="120" spans="1:22" x14ac:dyDescent="0.3">
      <c r="A120" t="s">
        <v>787</v>
      </c>
      <c r="B120" t="s">
        <v>1166</v>
      </c>
      <c r="C120" t="s">
        <v>1167</v>
      </c>
      <c r="D120" t="s">
        <v>1168</v>
      </c>
      <c r="E120" s="2">
        <v>0.44722222222222219</v>
      </c>
      <c r="F120" s="26" t="s">
        <v>7990</v>
      </c>
      <c r="G120" t="s">
        <v>7989</v>
      </c>
      <c r="H120" t="s">
        <v>7993</v>
      </c>
      <c r="I120" t="s">
        <v>7994</v>
      </c>
      <c r="J120" t="s">
        <v>7988</v>
      </c>
      <c r="K120" t="s">
        <v>609</v>
      </c>
      <c r="L120" t="s">
        <v>7996</v>
      </c>
      <c r="M120" t="s">
        <v>7991</v>
      </c>
      <c r="N120" t="s">
        <v>7992</v>
      </c>
      <c r="O120" t="s">
        <v>7995</v>
      </c>
      <c r="R120" t="s">
        <v>855</v>
      </c>
      <c r="S120" s="2">
        <v>0.4777777777777778</v>
      </c>
      <c r="T120" t="s">
        <v>807</v>
      </c>
      <c r="U120" t="s">
        <v>949</v>
      </c>
    </row>
    <row r="122" spans="1:22" x14ac:dyDescent="0.3">
      <c r="F122" s="26" t="s">
        <v>7997</v>
      </c>
    </row>
    <row r="124" spans="1:22" x14ac:dyDescent="0.3">
      <c r="D124" s="6" t="s">
        <v>7954</v>
      </c>
      <c r="E124" s="7" t="s">
        <v>7955</v>
      </c>
      <c r="F124" s="7" t="s">
        <v>7937</v>
      </c>
      <c r="G124" s="7" t="s">
        <v>7936</v>
      </c>
      <c r="H124" s="7" t="s">
        <v>7935</v>
      </c>
      <c r="I124" s="7" t="s">
        <v>7934</v>
      </c>
      <c r="J124" s="8" t="s">
        <v>7933</v>
      </c>
      <c r="K124" s="11" t="s">
        <v>7952</v>
      </c>
      <c r="L124" s="11" t="s">
        <v>7953</v>
      </c>
      <c r="M124" s="7"/>
      <c r="N124" s="7"/>
      <c r="O124" s="7"/>
      <c r="P124" s="7"/>
      <c r="Q124" s="7"/>
    </row>
    <row r="125" spans="1:22" x14ac:dyDescent="0.3">
      <c r="D125" s="9" t="s">
        <v>498</v>
      </c>
      <c r="E125" s="10">
        <v>48</v>
      </c>
      <c r="F125" s="10">
        <v>7</v>
      </c>
      <c r="G125" s="10">
        <v>22</v>
      </c>
      <c r="H125" s="10">
        <v>8</v>
      </c>
      <c r="I125" s="10">
        <v>10</v>
      </c>
      <c r="J125" s="5">
        <v>1</v>
      </c>
      <c r="K125" s="5">
        <v>27</v>
      </c>
      <c r="L125" s="5">
        <v>21</v>
      </c>
      <c r="M125" s="10"/>
      <c r="N125" s="10"/>
      <c r="O125" s="10"/>
      <c r="P125" s="10"/>
      <c r="Q125" s="10"/>
    </row>
    <row r="126" spans="1:22" x14ac:dyDescent="0.3">
      <c r="D126" s="6" t="s">
        <v>842</v>
      </c>
      <c r="E126" s="10">
        <v>54</v>
      </c>
      <c r="F126" s="10">
        <v>1</v>
      </c>
      <c r="G126" s="10">
        <v>43</v>
      </c>
      <c r="H126" s="10">
        <v>5</v>
      </c>
      <c r="I126" s="10">
        <v>4</v>
      </c>
      <c r="J126">
        <v>1</v>
      </c>
      <c r="K126" s="5">
        <v>43</v>
      </c>
      <c r="L126" s="5">
        <v>11</v>
      </c>
    </row>
    <row r="127" spans="1:22" x14ac:dyDescent="0.3">
      <c r="A127" t="s">
        <v>7956</v>
      </c>
      <c r="D127" s="9" t="s">
        <v>776</v>
      </c>
      <c r="E127" s="7">
        <v>8</v>
      </c>
      <c r="F127" s="7">
        <v>0</v>
      </c>
      <c r="G127" s="7">
        <v>7</v>
      </c>
      <c r="H127" s="7">
        <v>1</v>
      </c>
      <c r="I127" s="7">
        <v>0</v>
      </c>
      <c r="J127" s="8">
        <v>0</v>
      </c>
      <c r="K127" s="8">
        <v>8</v>
      </c>
      <c r="L127" s="8">
        <v>0</v>
      </c>
      <c r="M127" s="7"/>
      <c r="N127" s="7"/>
      <c r="O127" s="7"/>
      <c r="P127" s="7"/>
      <c r="Q127" s="7"/>
    </row>
    <row r="128" spans="1:22" x14ac:dyDescent="0.3">
      <c r="D128" s="6" t="s">
        <v>800</v>
      </c>
      <c r="E128" s="10">
        <v>9</v>
      </c>
      <c r="F128" s="10">
        <v>0</v>
      </c>
      <c r="G128" s="10">
        <v>7</v>
      </c>
      <c r="H128" s="10">
        <v>0</v>
      </c>
      <c r="I128" s="10">
        <v>1</v>
      </c>
      <c r="J128" s="5">
        <v>1</v>
      </c>
      <c r="K128" s="5">
        <v>6</v>
      </c>
      <c r="L128" s="5">
        <v>3</v>
      </c>
      <c r="M128" s="10"/>
      <c r="N128" s="10"/>
      <c r="O128" s="10"/>
      <c r="P128" s="10"/>
      <c r="Q128" s="10"/>
    </row>
    <row r="129" spans="4:17" x14ac:dyDescent="0.3">
      <c r="D129" s="18" t="s">
        <v>7951</v>
      </c>
      <c r="E129" s="7">
        <v>119</v>
      </c>
      <c r="F129" s="19">
        <v>8</v>
      </c>
      <c r="G129" s="19">
        <v>79</v>
      </c>
      <c r="H129" s="19">
        <v>14</v>
      </c>
      <c r="I129" s="19">
        <v>15</v>
      </c>
      <c r="J129" s="19">
        <v>3</v>
      </c>
      <c r="K129" s="7">
        <v>84</v>
      </c>
      <c r="L129" s="7">
        <v>35</v>
      </c>
      <c r="M129" s="19"/>
      <c r="N129" s="19"/>
      <c r="O129" s="19"/>
      <c r="P129" s="19"/>
      <c r="Q129" s="19"/>
    </row>
    <row r="130" spans="4:17" x14ac:dyDescent="0.3">
      <c r="D130" t="s">
        <v>7930</v>
      </c>
    </row>
    <row r="133" spans="4:17" x14ac:dyDescent="0.3">
      <c r="D133" t="s">
        <v>7931</v>
      </c>
      <c r="G133" t="s">
        <v>8011</v>
      </c>
      <c r="L133" t="s">
        <v>7953</v>
      </c>
      <c r="M133" t="s">
        <v>7979</v>
      </c>
    </row>
    <row r="134" spans="4:17" x14ac:dyDescent="0.3">
      <c r="D134" t="s">
        <v>7974</v>
      </c>
      <c r="G134" t="s">
        <v>7998</v>
      </c>
      <c r="K134" t="s">
        <v>7935</v>
      </c>
      <c r="L134">
        <v>4</v>
      </c>
      <c r="M134">
        <v>8</v>
      </c>
    </row>
    <row r="135" spans="4:17" x14ac:dyDescent="0.3">
      <c r="D135" t="s">
        <v>7932</v>
      </c>
      <c r="G135" t="s">
        <v>7999</v>
      </c>
      <c r="K135" t="s">
        <v>7975</v>
      </c>
      <c r="L135">
        <v>1</v>
      </c>
      <c r="M135">
        <v>2</v>
      </c>
    </row>
    <row r="136" spans="4:17" x14ac:dyDescent="0.3">
      <c r="K136" t="s">
        <v>7976</v>
      </c>
      <c r="L136">
        <v>17</v>
      </c>
      <c r="M136">
        <v>64</v>
      </c>
    </row>
    <row r="137" spans="4:17" x14ac:dyDescent="0.3">
      <c r="K137" t="s">
        <v>7977</v>
      </c>
      <c r="L137">
        <v>9</v>
      </c>
      <c r="M137">
        <v>6</v>
      </c>
    </row>
    <row r="138" spans="4:17" x14ac:dyDescent="0.3">
      <c r="D138" t="s">
        <v>7973</v>
      </c>
      <c r="K138" t="s">
        <v>7978</v>
      </c>
      <c r="L138">
        <v>4</v>
      </c>
      <c r="M138">
        <v>4</v>
      </c>
    </row>
    <row r="139" spans="4:17" x14ac:dyDescent="0.3">
      <c r="K139" t="s">
        <v>7951</v>
      </c>
      <c r="L139">
        <v>35</v>
      </c>
      <c r="M139">
        <v>84</v>
      </c>
    </row>
    <row r="142" spans="4:17" x14ac:dyDescent="0.3">
      <c r="D142" t="s">
        <v>7982</v>
      </c>
    </row>
    <row r="143" spans="4:17" x14ac:dyDescent="0.3">
      <c r="D143" t="s">
        <v>7983</v>
      </c>
    </row>
    <row r="144" spans="4:17" x14ac:dyDescent="0.3">
      <c r="D144" t="s">
        <v>7984</v>
      </c>
    </row>
    <row r="145" spans="4:4" x14ac:dyDescent="0.3">
      <c r="D145" t="s">
        <v>7985</v>
      </c>
    </row>
  </sheetData>
  <autoFilter ref="A1:V120" xr:uid="{CE0AC80B-53E2-47B9-9170-3B25387F5523}"/>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53C1-907E-4932-81ED-D1FC9D4EF727}">
  <dimension ref="A1:T86"/>
  <sheetViews>
    <sheetView workbookViewId="0">
      <selection activeCell="H12" sqref="H12"/>
    </sheetView>
  </sheetViews>
  <sheetFormatPr baseColWidth="10" defaultRowHeight="14.4" x14ac:dyDescent="0.3"/>
  <cols>
    <col min="5" max="5" width="17.5546875" customWidth="1"/>
    <col min="6" max="6" width="19.5546875" customWidth="1"/>
    <col min="7" max="7" width="18.21875" customWidth="1"/>
    <col min="12" max="12" width="25.33203125" customWidth="1"/>
    <col min="13" max="13" width="19.109375" customWidth="1"/>
  </cols>
  <sheetData>
    <row r="1" spans="1:20" x14ac:dyDescent="0.3">
      <c r="A1" t="s">
        <v>0</v>
      </c>
      <c r="B1" t="s">
        <v>337</v>
      </c>
      <c r="C1" t="s">
        <v>1</v>
      </c>
      <c r="D1" t="s">
        <v>2</v>
      </c>
      <c r="E1" t="s">
        <v>4</v>
      </c>
      <c r="F1" t="s">
        <v>479</v>
      </c>
      <c r="G1" t="s">
        <v>480</v>
      </c>
      <c r="H1" t="s">
        <v>481</v>
      </c>
      <c r="I1" t="s">
        <v>482</v>
      </c>
      <c r="J1" t="s">
        <v>483</v>
      </c>
      <c r="K1" t="s">
        <v>484</v>
      </c>
      <c r="L1" t="s">
        <v>485</v>
      </c>
      <c r="M1" t="s">
        <v>486</v>
      </c>
      <c r="N1" t="s">
        <v>487</v>
      </c>
      <c r="O1" t="s">
        <v>488</v>
      </c>
      <c r="P1" t="s">
        <v>489</v>
      </c>
      <c r="Q1" t="s">
        <v>490</v>
      </c>
      <c r="R1" t="s">
        <v>491</v>
      </c>
      <c r="S1" t="s">
        <v>492</v>
      </c>
      <c r="T1" t="s">
        <v>493</v>
      </c>
    </row>
    <row r="2" spans="1:20" x14ac:dyDescent="0.3">
      <c r="A2" t="s">
        <v>494</v>
      </c>
      <c r="B2" t="s">
        <v>361</v>
      </c>
      <c r="C2" t="s">
        <v>495</v>
      </c>
      <c r="D2" t="s">
        <v>496</v>
      </c>
      <c r="E2" t="s">
        <v>497</v>
      </c>
      <c r="F2">
        <v>2</v>
      </c>
      <c r="G2" t="s">
        <v>498</v>
      </c>
      <c r="H2" t="s">
        <v>499</v>
      </c>
      <c r="I2" s="2">
        <v>0.51041666666666663</v>
      </c>
      <c r="J2" t="s">
        <v>500</v>
      </c>
      <c r="L2">
        <v>10</v>
      </c>
      <c r="M2">
        <v>1</v>
      </c>
      <c r="N2">
        <v>0</v>
      </c>
      <c r="O2">
        <v>2</v>
      </c>
      <c r="P2">
        <v>0</v>
      </c>
      <c r="Q2">
        <v>0</v>
      </c>
      <c r="R2">
        <v>6</v>
      </c>
      <c r="S2" s="2">
        <v>0.60416666666666663</v>
      </c>
      <c r="T2" t="s">
        <v>501</v>
      </c>
    </row>
    <row r="3" spans="1:20" x14ac:dyDescent="0.3">
      <c r="A3" t="s">
        <v>502</v>
      </c>
      <c r="B3" t="s">
        <v>361</v>
      </c>
      <c r="C3" t="s">
        <v>503</v>
      </c>
      <c r="D3" t="s">
        <v>504</v>
      </c>
      <c r="E3" t="s">
        <v>505</v>
      </c>
      <c r="F3">
        <v>1</v>
      </c>
      <c r="G3" t="s">
        <v>506</v>
      </c>
      <c r="I3" s="2">
        <v>0.43263888888888885</v>
      </c>
      <c r="J3" t="s">
        <v>507</v>
      </c>
      <c r="L3">
        <v>11</v>
      </c>
      <c r="M3">
        <v>1</v>
      </c>
      <c r="N3">
        <v>0</v>
      </c>
      <c r="O3">
        <v>3</v>
      </c>
      <c r="P3">
        <v>1</v>
      </c>
      <c r="Q3">
        <v>0</v>
      </c>
      <c r="R3">
        <v>8</v>
      </c>
      <c r="S3" s="2">
        <v>0.50624999999999998</v>
      </c>
      <c r="T3" t="s">
        <v>501</v>
      </c>
    </row>
    <row r="4" spans="1:20" x14ac:dyDescent="0.3">
      <c r="A4" t="s">
        <v>508</v>
      </c>
      <c r="B4" t="s">
        <v>368</v>
      </c>
      <c r="C4" t="s">
        <v>509</v>
      </c>
      <c r="D4" t="s">
        <v>510</v>
      </c>
      <c r="E4" t="s">
        <v>511</v>
      </c>
      <c r="F4">
        <v>1</v>
      </c>
      <c r="G4" t="s">
        <v>498</v>
      </c>
      <c r="H4" t="s">
        <v>512</v>
      </c>
      <c r="I4" s="2">
        <v>0.33611111111111108</v>
      </c>
      <c r="J4" t="s">
        <v>500</v>
      </c>
      <c r="L4">
        <v>53</v>
      </c>
      <c r="M4">
        <v>2</v>
      </c>
      <c r="N4">
        <v>0</v>
      </c>
      <c r="O4">
        <v>6</v>
      </c>
      <c r="P4">
        <v>0</v>
      </c>
      <c r="Q4">
        <v>0</v>
      </c>
      <c r="R4">
        <v>10</v>
      </c>
      <c r="S4" s="2">
        <v>0.71250000000000002</v>
      </c>
      <c r="T4" t="s">
        <v>501</v>
      </c>
    </row>
    <row r="5" spans="1:20" x14ac:dyDescent="0.3">
      <c r="A5" t="s">
        <v>513</v>
      </c>
      <c r="B5" t="s">
        <v>371</v>
      </c>
      <c r="C5" t="s">
        <v>514</v>
      </c>
      <c r="D5" t="s">
        <v>515</v>
      </c>
      <c r="E5" t="s">
        <v>516</v>
      </c>
      <c r="F5">
        <v>1</v>
      </c>
      <c r="G5" t="s">
        <v>498</v>
      </c>
      <c r="H5" t="s">
        <v>499</v>
      </c>
      <c r="I5" s="2">
        <v>0.3979166666666667</v>
      </c>
      <c r="J5" t="s">
        <v>500</v>
      </c>
      <c r="L5">
        <v>47</v>
      </c>
      <c r="M5">
        <v>2</v>
      </c>
      <c r="N5">
        <v>0</v>
      </c>
      <c r="O5">
        <v>6</v>
      </c>
      <c r="P5">
        <v>0</v>
      </c>
      <c r="Q5">
        <v>0</v>
      </c>
      <c r="R5">
        <v>16</v>
      </c>
      <c r="S5" s="2">
        <v>0.72986111111111107</v>
      </c>
      <c r="T5" t="s">
        <v>501</v>
      </c>
    </row>
    <row r="6" spans="1:20" x14ac:dyDescent="0.3">
      <c r="A6" t="s">
        <v>517</v>
      </c>
      <c r="B6" t="s">
        <v>373</v>
      </c>
      <c r="C6" t="s">
        <v>518</v>
      </c>
      <c r="D6" t="s">
        <v>519</v>
      </c>
      <c r="E6" t="s">
        <v>520</v>
      </c>
      <c r="F6">
        <v>3</v>
      </c>
      <c r="G6" t="s">
        <v>498</v>
      </c>
      <c r="H6" t="s">
        <v>512</v>
      </c>
      <c r="I6" s="2">
        <v>0.58333333333333337</v>
      </c>
      <c r="J6" t="s">
        <v>507</v>
      </c>
      <c r="L6">
        <v>14</v>
      </c>
      <c r="M6">
        <v>1</v>
      </c>
      <c r="N6">
        <v>0</v>
      </c>
      <c r="O6">
        <v>1</v>
      </c>
      <c r="P6">
        <v>0</v>
      </c>
      <c r="Q6">
        <v>2</v>
      </c>
      <c r="R6">
        <v>5</v>
      </c>
      <c r="S6" s="2">
        <v>0.68055555555555547</v>
      </c>
      <c r="T6" t="s">
        <v>501</v>
      </c>
    </row>
    <row r="7" spans="1:20" x14ac:dyDescent="0.3">
      <c r="A7" t="s">
        <v>521</v>
      </c>
      <c r="B7" t="s">
        <v>373</v>
      </c>
      <c r="C7" t="s">
        <v>522</v>
      </c>
      <c r="D7" t="s">
        <v>523</v>
      </c>
      <c r="E7" t="s">
        <v>524</v>
      </c>
      <c r="F7">
        <v>2</v>
      </c>
      <c r="G7" t="s">
        <v>800</v>
      </c>
      <c r="H7" t="s">
        <v>7972</v>
      </c>
      <c r="I7" s="2">
        <v>0.5180555555555556</v>
      </c>
      <c r="J7" t="s">
        <v>507</v>
      </c>
      <c r="L7">
        <v>8</v>
      </c>
      <c r="M7">
        <v>1</v>
      </c>
      <c r="N7">
        <v>0</v>
      </c>
      <c r="O7">
        <v>1</v>
      </c>
      <c r="P7">
        <v>0</v>
      </c>
      <c r="Q7">
        <v>3</v>
      </c>
      <c r="R7">
        <v>3</v>
      </c>
      <c r="S7" s="2">
        <v>0.58333333333333337</v>
      </c>
      <c r="T7" t="s">
        <v>501</v>
      </c>
    </row>
    <row r="8" spans="1:20" x14ac:dyDescent="0.3">
      <c r="A8" t="s">
        <v>526</v>
      </c>
      <c r="B8" t="s">
        <v>373</v>
      </c>
      <c r="C8" t="s">
        <v>527</v>
      </c>
      <c r="D8" t="s">
        <v>528</v>
      </c>
      <c r="E8" t="s">
        <v>529</v>
      </c>
      <c r="F8">
        <v>1</v>
      </c>
      <c r="G8" t="s">
        <v>506</v>
      </c>
      <c r="I8" s="2">
        <v>0.41250000000000003</v>
      </c>
      <c r="J8" t="s">
        <v>507</v>
      </c>
      <c r="L8">
        <v>15</v>
      </c>
      <c r="M8">
        <v>1</v>
      </c>
      <c r="N8">
        <v>0</v>
      </c>
      <c r="O8">
        <v>1</v>
      </c>
      <c r="P8">
        <v>0</v>
      </c>
      <c r="Q8">
        <v>0</v>
      </c>
      <c r="R8">
        <v>8</v>
      </c>
      <c r="S8" s="2">
        <v>0.51666666666666672</v>
      </c>
      <c r="T8" t="s">
        <v>501</v>
      </c>
    </row>
    <row r="9" spans="1:20" x14ac:dyDescent="0.3">
      <c r="A9" t="s">
        <v>530</v>
      </c>
      <c r="B9" t="s">
        <v>382</v>
      </c>
      <c r="C9" t="s">
        <v>531</v>
      </c>
      <c r="D9" t="s">
        <v>532</v>
      </c>
      <c r="E9" t="s">
        <v>533</v>
      </c>
      <c r="F9">
        <v>2</v>
      </c>
      <c r="G9" t="s">
        <v>506</v>
      </c>
      <c r="I9" s="2">
        <v>0.5625</v>
      </c>
      <c r="J9" t="s">
        <v>500</v>
      </c>
      <c r="L9">
        <v>6</v>
      </c>
      <c r="M9">
        <v>1</v>
      </c>
      <c r="N9">
        <v>0</v>
      </c>
      <c r="O9">
        <v>3</v>
      </c>
      <c r="P9">
        <v>0</v>
      </c>
      <c r="Q9">
        <v>0</v>
      </c>
      <c r="R9">
        <v>3</v>
      </c>
      <c r="S9" s="2">
        <v>0.68125000000000002</v>
      </c>
      <c r="T9" t="s">
        <v>501</v>
      </c>
    </row>
    <row r="10" spans="1:20" x14ac:dyDescent="0.3">
      <c r="A10" t="s">
        <v>534</v>
      </c>
      <c r="B10" t="s">
        <v>382</v>
      </c>
      <c r="C10" t="s">
        <v>535</v>
      </c>
      <c r="D10" t="s">
        <v>536</v>
      </c>
      <c r="E10" t="s">
        <v>537</v>
      </c>
      <c r="F10">
        <v>1</v>
      </c>
      <c r="G10" t="s">
        <v>800</v>
      </c>
      <c r="I10" s="2">
        <v>0.44027777777777777</v>
      </c>
      <c r="J10" t="s">
        <v>538</v>
      </c>
      <c r="L10">
        <v>17</v>
      </c>
      <c r="M10">
        <v>1</v>
      </c>
      <c r="N10">
        <v>0</v>
      </c>
      <c r="O10">
        <v>4</v>
      </c>
      <c r="P10">
        <v>0</v>
      </c>
      <c r="Q10">
        <v>0</v>
      </c>
      <c r="R10">
        <v>4</v>
      </c>
      <c r="S10" s="2">
        <v>0.56180555555555556</v>
      </c>
      <c r="T10" t="s">
        <v>501</v>
      </c>
    </row>
    <row r="11" spans="1:20" x14ac:dyDescent="0.3">
      <c r="A11" t="s">
        <v>539</v>
      </c>
      <c r="B11" t="s">
        <v>385</v>
      </c>
      <c r="C11" t="s">
        <v>540</v>
      </c>
      <c r="D11" t="s">
        <v>541</v>
      </c>
      <c r="E11" t="s">
        <v>542</v>
      </c>
      <c r="F11">
        <v>1</v>
      </c>
      <c r="G11" t="s">
        <v>506</v>
      </c>
      <c r="I11" s="2">
        <v>0.34652777777777777</v>
      </c>
      <c r="J11" t="s">
        <v>538</v>
      </c>
      <c r="L11">
        <v>39</v>
      </c>
      <c r="M11">
        <v>2</v>
      </c>
      <c r="N11">
        <v>0</v>
      </c>
      <c r="O11">
        <v>3</v>
      </c>
      <c r="P11">
        <v>0</v>
      </c>
      <c r="Q11">
        <v>0</v>
      </c>
      <c r="R11">
        <v>7</v>
      </c>
      <c r="S11" s="2">
        <v>0.6875</v>
      </c>
      <c r="T11" t="s">
        <v>501</v>
      </c>
    </row>
    <row r="12" spans="1:20" x14ac:dyDescent="0.3">
      <c r="A12" t="s">
        <v>543</v>
      </c>
      <c r="B12" t="s">
        <v>388</v>
      </c>
      <c r="C12" t="s">
        <v>544</v>
      </c>
      <c r="D12" t="s">
        <v>545</v>
      </c>
      <c r="E12" t="s">
        <v>542</v>
      </c>
      <c r="F12">
        <v>1</v>
      </c>
      <c r="G12" t="s">
        <v>842</v>
      </c>
      <c r="I12" s="2">
        <v>0.40208333333333335</v>
      </c>
      <c r="J12" t="s">
        <v>500</v>
      </c>
      <c r="L12">
        <v>36</v>
      </c>
      <c r="M12">
        <v>2</v>
      </c>
      <c r="N12">
        <v>0</v>
      </c>
      <c r="O12">
        <v>6</v>
      </c>
      <c r="P12">
        <v>0</v>
      </c>
      <c r="Q12">
        <v>0</v>
      </c>
      <c r="R12">
        <v>7</v>
      </c>
      <c r="S12" s="2">
        <v>0.6875</v>
      </c>
      <c r="T12" t="s">
        <v>501</v>
      </c>
    </row>
    <row r="13" spans="1:20" x14ac:dyDescent="0.3">
      <c r="A13" t="s">
        <v>547</v>
      </c>
      <c r="B13" t="s">
        <v>391</v>
      </c>
      <c r="C13" t="s">
        <v>548</v>
      </c>
      <c r="D13" t="s">
        <v>549</v>
      </c>
      <c r="E13" t="s">
        <v>550</v>
      </c>
      <c r="F13">
        <v>1</v>
      </c>
      <c r="G13" t="s">
        <v>800</v>
      </c>
      <c r="I13" s="2">
        <v>0.44791666666666669</v>
      </c>
      <c r="J13" t="s">
        <v>551</v>
      </c>
      <c r="L13">
        <v>10</v>
      </c>
      <c r="M13">
        <v>1</v>
      </c>
      <c r="N13">
        <v>0</v>
      </c>
      <c r="O13">
        <v>0</v>
      </c>
      <c r="P13">
        <v>0</v>
      </c>
      <c r="Q13">
        <v>0</v>
      </c>
      <c r="R13">
        <v>0</v>
      </c>
      <c r="S13" s="2">
        <v>0.52083333333333337</v>
      </c>
      <c r="T13" t="s">
        <v>501</v>
      </c>
    </row>
    <row r="14" spans="1:20" x14ac:dyDescent="0.3">
      <c r="A14" t="s">
        <v>552</v>
      </c>
      <c r="B14" t="s">
        <v>393</v>
      </c>
      <c r="C14" t="s">
        <v>553</v>
      </c>
      <c r="D14" t="s">
        <v>554</v>
      </c>
      <c r="E14" t="s">
        <v>555</v>
      </c>
      <c r="F14">
        <v>1</v>
      </c>
      <c r="G14" t="s">
        <v>498</v>
      </c>
      <c r="I14" s="2">
        <v>0.47013888888888888</v>
      </c>
      <c r="J14" t="s">
        <v>556</v>
      </c>
      <c r="L14">
        <v>31</v>
      </c>
      <c r="M14">
        <v>1</v>
      </c>
      <c r="N14">
        <v>0</v>
      </c>
      <c r="O14">
        <v>1</v>
      </c>
      <c r="P14">
        <v>0</v>
      </c>
      <c r="Q14">
        <v>0</v>
      </c>
      <c r="R14">
        <v>1</v>
      </c>
      <c r="S14" s="2">
        <v>0.68888888888888899</v>
      </c>
      <c r="T14" t="s">
        <v>501</v>
      </c>
    </row>
    <row r="15" spans="1:20" x14ac:dyDescent="0.3">
      <c r="A15" t="s">
        <v>557</v>
      </c>
      <c r="B15" t="s">
        <v>395</v>
      </c>
      <c r="C15" t="s">
        <v>558</v>
      </c>
      <c r="D15" t="s">
        <v>559</v>
      </c>
      <c r="E15" t="s">
        <v>560</v>
      </c>
      <c r="F15">
        <v>1</v>
      </c>
      <c r="G15" t="s">
        <v>498</v>
      </c>
      <c r="I15" s="2">
        <v>0.39930555555555558</v>
      </c>
      <c r="J15" t="s">
        <v>538</v>
      </c>
      <c r="L15">
        <v>42</v>
      </c>
      <c r="M15">
        <v>2</v>
      </c>
      <c r="N15">
        <v>0</v>
      </c>
      <c r="O15">
        <v>2</v>
      </c>
      <c r="P15">
        <v>1</v>
      </c>
      <c r="Q15">
        <v>0</v>
      </c>
      <c r="R15">
        <v>4</v>
      </c>
      <c r="S15" s="2">
        <v>0.69444444444444453</v>
      </c>
      <c r="T15" t="s">
        <v>501</v>
      </c>
    </row>
    <row r="16" spans="1:20" x14ac:dyDescent="0.3">
      <c r="A16" t="s">
        <v>561</v>
      </c>
      <c r="B16" t="s">
        <v>397</v>
      </c>
      <c r="C16" t="s">
        <v>562</v>
      </c>
      <c r="D16" t="s">
        <v>563</v>
      </c>
      <c r="E16" t="s">
        <v>564</v>
      </c>
      <c r="F16">
        <v>1</v>
      </c>
      <c r="G16" t="s">
        <v>498</v>
      </c>
      <c r="I16" s="2">
        <v>0.50277777777777777</v>
      </c>
      <c r="J16" t="s">
        <v>556</v>
      </c>
      <c r="L16">
        <v>22</v>
      </c>
      <c r="M16">
        <v>1</v>
      </c>
      <c r="N16">
        <v>0</v>
      </c>
      <c r="O16">
        <v>0</v>
      </c>
      <c r="P16">
        <v>0</v>
      </c>
      <c r="Q16">
        <v>0</v>
      </c>
      <c r="R16">
        <v>1</v>
      </c>
      <c r="S16" s="2">
        <v>0.65972222222222221</v>
      </c>
      <c r="T16" t="s">
        <v>501</v>
      </c>
    </row>
    <row r="17" spans="1:20" x14ac:dyDescent="0.3">
      <c r="A17" t="s">
        <v>565</v>
      </c>
      <c r="B17" t="s">
        <v>399</v>
      </c>
      <c r="C17" t="s">
        <v>566</v>
      </c>
      <c r="D17" t="s">
        <v>567</v>
      </c>
      <c r="E17" t="s">
        <v>568</v>
      </c>
      <c r="F17">
        <v>1</v>
      </c>
      <c r="G17" t="s">
        <v>498</v>
      </c>
      <c r="I17" s="2">
        <v>0.56111111111111112</v>
      </c>
      <c r="J17" t="s">
        <v>538</v>
      </c>
      <c r="L17">
        <v>16</v>
      </c>
      <c r="M17">
        <v>2</v>
      </c>
      <c r="N17">
        <v>0</v>
      </c>
      <c r="O17">
        <v>2</v>
      </c>
      <c r="P17">
        <v>0</v>
      </c>
      <c r="Q17">
        <v>1</v>
      </c>
      <c r="R17">
        <v>1</v>
      </c>
      <c r="S17" s="2">
        <v>0.67499999999999993</v>
      </c>
      <c r="T17" t="s">
        <v>501</v>
      </c>
    </row>
    <row r="18" spans="1:20" x14ac:dyDescent="0.3">
      <c r="A18" t="s">
        <v>569</v>
      </c>
      <c r="B18" t="s">
        <v>401</v>
      </c>
      <c r="C18" t="s">
        <v>570</v>
      </c>
      <c r="D18" t="s">
        <v>571</v>
      </c>
      <c r="E18" t="s">
        <v>572</v>
      </c>
      <c r="F18">
        <v>2</v>
      </c>
      <c r="G18" t="s">
        <v>506</v>
      </c>
      <c r="I18" s="2">
        <v>0.35902777777777778</v>
      </c>
      <c r="J18" t="s">
        <v>551</v>
      </c>
      <c r="L18">
        <v>15</v>
      </c>
      <c r="M18">
        <v>2</v>
      </c>
      <c r="N18">
        <v>1</v>
      </c>
      <c r="O18">
        <v>2</v>
      </c>
      <c r="P18">
        <v>0</v>
      </c>
      <c r="Q18">
        <v>0</v>
      </c>
      <c r="R18">
        <v>9</v>
      </c>
      <c r="S18" s="2">
        <v>0.70833333333333337</v>
      </c>
      <c r="T18" t="s">
        <v>501</v>
      </c>
    </row>
    <row r="19" spans="1:20" x14ac:dyDescent="0.3">
      <c r="A19" t="s">
        <v>573</v>
      </c>
      <c r="B19" t="s">
        <v>401</v>
      </c>
      <c r="C19" t="s">
        <v>574</v>
      </c>
      <c r="D19" t="s">
        <v>575</v>
      </c>
      <c r="E19" t="s">
        <v>576</v>
      </c>
      <c r="F19">
        <v>1</v>
      </c>
      <c r="G19" t="s">
        <v>498</v>
      </c>
      <c r="I19" s="2">
        <v>0.33333333333333331</v>
      </c>
      <c r="J19" t="s">
        <v>551</v>
      </c>
      <c r="L19">
        <v>3</v>
      </c>
      <c r="M19">
        <v>1</v>
      </c>
      <c r="N19">
        <v>0</v>
      </c>
      <c r="O19">
        <v>0</v>
      </c>
      <c r="P19">
        <v>0</v>
      </c>
      <c r="Q19">
        <v>1</v>
      </c>
      <c r="R19">
        <v>2</v>
      </c>
      <c r="S19" s="2">
        <v>0.35416666666666669</v>
      </c>
      <c r="T19" t="s">
        <v>501</v>
      </c>
    </row>
    <row r="20" spans="1:20" x14ac:dyDescent="0.3">
      <c r="A20" t="s">
        <v>577</v>
      </c>
      <c r="B20" t="s">
        <v>404</v>
      </c>
      <c r="C20" t="s">
        <v>578</v>
      </c>
      <c r="D20" t="s">
        <v>579</v>
      </c>
      <c r="E20" t="s">
        <v>580</v>
      </c>
      <c r="F20">
        <v>1</v>
      </c>
      <c r="G20" t="s">
        <v>498</v>
      </c>
      <c r="I20" s="2">
        <v>0.43055555555555558</v>
      </c>
      <c r="J20" t="s">
        <v>500</v>
      </c>
      <c r="L20">
        <v>40</v>
      </c>
      <c r="M20">
        <v>2</v>
      </c>
      <c r="N20">
        <v>0</v>
      </c>
      <c r="O20">
        <v>6</v>
      </c>
      <c r="P20">
        <v>0</v>
      </c>
      <c r="Q20">
        <v>1</v>
      </c>
      <c r="R20">
        <v>14</v>
      </c>
      <c r="S20" s="2">
        <v>0.70833333333333337</v>
      </c>
      <c r="T20" t="s">
        <v>501</v>
      </c>
    </row>
    <row r="21" spans="1:20" x14ac:dyDescent="0.3">
      <c r="A21" t="s">
        <v>581</v>
      </c>
      <c r="B21" t="s">
        <v>406</v>
      </c>
      <c r="C21" t="s">
        <v>582</v>
      </c>
      <c r="D21" t="s">
        <v>583</v>
      </c>
      <c r="E21" t="s">
        <v>584</v>
      </c>
      <c r="F21">
        <v>2</v>
      </c>
      <c r="G21" t="s">
        <v>506</v>
      </c>
      <c r="I21" s="2">
        <v>0.56319444444444444</v>
      </c>
      <c r="J21" t="s">
        <v>556</v>
      </c>
      <c r="L21">
        <v>23</v>
      </c>
      <c r="M21">
        <v>1</v>
      </c>
      <c r="N21">
        <v>2</v>
      </c>
      <c r="O21">
        <v>4</v>
      </c>
      <c r="P21">
        <v>0</v>
      </c>
      <c r="Q21">
        <v>0</v>
      </c>
      <c r="R21">
        <v>7</v>
      </c>
      <c r="S21" s="2">
        <v>0.72777777777777775</v>
      </c>
      <c r="T21" t="s">
        <v>501</v>
      </c>
    </row>
    <row r="22" spans="1:20" x14ac:dyDescent="0.3">
      <c r="A22" t="s">
        <v>585</v>
      </c>
      <c r="B22" t="s">
        <v>406</v>
      </c>
      <c r="C22" t="s">
        <v>586</v>
      </c>
      <c r="D22" t="s">
        <v>587</v>
      </c>
      <c r="E22" t="s">
        <v>588</v>
      </c>
      <c r="F22">
        <v>1</v>
      </c>
      <c r="G22" t="s">
        <v>498</v>
      </c>
      <c r="I22" s="2">
        <v>0.35138888888888892</v>
      </c>
      <c r="J22" t="s">
        <v>500</v>
      </c>
      <c r="L22">
        <v>30</v>
      </c>
      <c r="M22">
        <v>1</v>
      </c>
      <c r="N22">
        <v>0</v>
      </c>
      <c r="O22">
        <v>5</v>
      </c>
      <c r="P22">
        <v>0</v>
      </c>
      <c r="Q22">
        <v>1</v>
      </c>
      <c r="R22">
        <v>10</v>
      </c>
      <c r="S22" s="2">
        <v>0.5625</v>
      </c>
      <c r="T22" t="s">
        <v>501</v>
      </c>
    </row>
    <row r="23" spans="1:20" x14ac:dyDescent="0.3">
      <c r="A23" t="s">
        <v>589</v>
      </c>
      <c r="B23" t="s">
        <v>408</v>
      </c>
      <c r="C23" t="s">
        <v>590</v>
      </c>
      <c r="D23" t="s">
        <v>591</v>
      </c>
      <c r="E23" t="s">
        <v>580</v>
      </c>
      <c r="F23">
        <v>1</v>
      </c>
      <c r="G23" t="s">
        <v>498</v>
      </c>
      <c r="I23" s="2">
        <v>0.36944444444444446</v>
      </c>
      <c r="J23" t="s">
        <v>500</v>
      </c>
      <c r="L23">
        <v>50</v>
      </c>
      <c r="M23">
        <v>3</v>
      </c>
      <c r="N23">
        <v>0</v>
      </c>
      <c r="O23">
        <v>7</v>
      </c>
      <c r="P23">
        <v>0</v>
      </c>
      <c r="Q23">
        <v>0</v>
      </c>
      <c r="R23">
        <v>7</v>
      </c>
      <c r="S23" s="2">
        <v>0.70833333333333337</v>
      </c>
      <c r="T23" t="s">
        <v>501</v>
      </c>
    </row>
    <row r="24" spans="1:20" x14ac:dyDescent="0.3">
      <c r="A24" t="s">
        <v>592</v>
      </c>
      <c r="B24" t="s">
        <v>410</v>
      </c>
      <c r="C24" t="s">
        <v>593</v>
      </c>
      <c r="D24" t="s">
        <v>594</v>
      </c>
      <c r="E24" t="s">
        <v>595</v>
      </c>
      <c r="F24">
        <v>1</v>
      </c>
      <c r="I24" s="2">
        <v>0.30624999999999997</v>
      </c>
      <c r="J24" t="s">
        <v>538</v>
      </c>
      <c r="L24">
        <v>35</v>
      </c>
      <c r="M24">
        <v>2</v>
      </c>
      <c r="N24">
        <v>0</v>
      </c>
      <c r="O24">
        <v>4</v>
      </c>
      <c r="P24">
        <v>0</v>
      </c>
      <c r="Q24">
        <v>0</v>
      </c>
      <c r="R24">
        <v>12</v>
      </c>
      <c r="S24" s="2">
        <v>0.71180555555555547</v>
      </c>
      <c r="T24" t="s">
        <v>501</v>
      </c>
    </row>
    <row r="25" spans="1:20" x14ac:dyDescent="0.3">
      <c r="A25" t="s">
        <v>596</v>
      </c>
      <c r="B25" t="s">
        <v>418</v>
      </c>
      <c r="C25" t="s">
        <v>597</v>
      </c>
      <c r="D25" t="s">
        <v>598</v>
      </c>
      <c r="E25" t="s">
        <v>599</v>
      </c>
      <c r="F25">
        <v>1</v>
      </c>
      <c r="G25" t="s">
        <v>546</v>
      </c>
      <c r="I25" s="2">
        <v>0.3215277777777778</v>
      </c>
      <c r="J25" t="s">
        <v>551</v>
      </c>
      <c r="L25">
        <v>41</v>
      </c>
      <c r="M25">
        <v>2</v>
      </c>
      <c r="N25">
        <v>0</v>
      </c>
      <c r="O25">
        <v>3</v>
      </c>
      <c r="P25">
        <v>1</v>
      </c>
      <c r="Q25">
        <v>0</v>
      </c>
      <c r="R25">
        <v>11</v>
      </c>
      <c r="S25" s="2">
        <v>0.68055555555555547</v>
      </c>
      <c r="T25" t="s">
        <v>501</v>
      </c>
    </row>
    <row r="26" spans="1:20" x14ac:dyDescent="0.3">
      <c r="A26" t="s">
        <v>600</v>
      </c>
      <c r="B26" t="s">
        <v>420</v>
      </c>
      <c r="C26" t="s">
        <v>601</v>
      </c>
      <c r="D26" t="s">
        <v>602</v>
      </c>
      <c r="E26" t="s">
        <v>603</v>
      </c>
      <c r="F26">
        <v>1</v>
      </c>
      <c r="G26" t="s">
        <v>498</v>
      </c>
      <c r="H26" t="s">
        <v>604</v>
      </c>
      <c r="I26" s="2">
        <v>0.42083333333333334</v>
      </c>
      <c r="J26" t="s">
        <v>538</v>
      </c>
      <c r="L26">
        <v>0</v>
      </c>
      <c r="M26">
        <v>0</v>
      </c>
      <c r="N26">
        <v>0</v>
      </c>
      <c r="O26">
        <v>0</v>
      </c>
      <c r="P26">
        <v>0</v>
      </c>
      <c r="Q26">
        <v>0</v>
      </c>
      <c r="R26">
        <v>3</v>
      </c>
      <c r="S26" s="2">
        <v>0.66666666666666663</v>
      </c>
      <c r="T26" t="s">
        <v>501</v>
      </c>
    </row>
    <row r="27" spans="1:20" x14ac:dyDescent="0.3">
      <c r="A27" t="s">
        <v>605</v>
      </c>
      <c r="B27" t="s">
        <v>422</v>
      </c>
      <c r="C27" t="s">
        <v>606</v>
      </c>
      <c r="D27" t="s">
        <v>607</v>
      </c>
      <c r="E27" t="s">
        <v>608</v>
      </c>
      <c r="F27">
        <v>1</v>
      </c>
      <c r="G27" t="s">
        <v>498</v>
      </c>
      <c r="H27" t="s">
        <v>609</v>
      </c>
      <c r="I27" s="2">
        <v>0.29305555555555557</v>
      </c>
      <c r="J27" t="s">
        <v>500</v>
      </c>
      <c r="L27">
        <v>27</v>
      </c>
      <c r="M27">
        <v>1</v>
      </c>
      <c r="N27">
        <v>0</v>
      </c>
      <c r="O27">
        <v>4</v>
      </c>
      <c r="P27">
        <v>0</v>
      </c>
      <c r="Q27">
        <v>0</v>
      </c>
      <c r="R27">
        <v>8</v>
      </c>
      <c r="S27" s="2">
        <v>0.49861111111111112</v>
      </c>
      <c r="T27" t="s">
        <v>501</v>
      </c>
    </row>
    <row r="28" spans="1:20" x14ac:dyDescent="0.3">
      <c r="A28" t="s">
        <v>610</v>
      </c>
      <c r="B28" s="3" t="s">
        <v>424</v>
      </c>
      <c r="C28" t="s">
        <v>611</v>
      </c>
      <c r="D28" t="s">
        <v>612</v>
      </c>
      <c r="E28" t="s">
        <v>613</v>
      </c>
      <c r="F28">
        <v>2</v>
      </c>
      <c r="G28" t="s">
        <v>498</v>
      </c>
      <c r="H28" t="s">
        <v>614</v>
      </c>
      <c r="I28" s="2">
        <v>0.59027777777777779</v>
      </c>
      <c r="J28" t="s">
        <v>500</v>
      </c>
      <c r="L28">
        <v>22</v>
      </c>
      <c r="M28">
        <v>1</v>
      </c>
      <c r="N28">
        <v>0</v>
      </c>
      <c r="O28">
        <v>4</v>
      </c>
      <c r="P28">
        <v>0</v>
      </c>
      <c r="Q28">
        <v>0</v>
      </c>
      <c r="R28">
        <v>3</v>
      </c>
      <c r="S28" s="2">
        <v>0.73611111111111116</v>
      </c>
      <c r="T28" t="s">
        <v>501</v>
      </c>
    </row>
    <row r="29" spans="1:20" x14ac:dyDescent="0.3">
      <c r="A29" t="s">
        <v>615</v>
      </c>
      <c r="B29" s="3" t="s">
        <v>424</v>
      </c>
      <c r="C29" t="s">
        <v>616</v>
      </c>
      <c r="D29" t="s">
        <v>617</v>
      </c>
      <c r="E29" t="s">
        <v>618</v>
      </c>
      <c r="F29">
        <v>1</v>
      </c>
      <c r="G29" t="s">
        <v>498</v>
      </c>
      <c r="H29" t="s">
        <v>609</v>
      </c>
      <c r="I29" s="2">
        <v>0.2986111111111111</v>
      </c>
      <c r="J29" t="s">
        <v>507</v>
      </c>
      <c r="L29">
        <v>42</v>
      </c>
      <c r="M29">
        <v>2</v>
      </c>
      <c r="N29">
        <v>0</v>
      </c>
      <c r="O29">
        <v>3</v>
      </c>
      <c r="P29">
        <v>2</v>
      </c>
      <c r="Q29">
        <v>1</v>
      </c>
      <c r="R29">
        <v>10</v>
      </c>
      <c r="S29" s="2">
        <v>0.58819444444444446</v>
      </c>
      <c r="T29" t="s">
        <v>501</v>
      </c>
    </row>
    <row r="30" spans="1:20" x14ac:dyDescent="0.3">
      <c r="A30" t="s">
        <v>619</v>
      </c>
      <c r="B30" t="s">
        <v>426</v>
      </c>
      <c r="C30" t="s">
        <v>620</v>
      </c>
      <c r="D30" t="s">
        <v>621</v>
      </c>
      <c r="E30" t="s">
        <v>622</v>
      </c>
      <c r="F30">
        <v>1</v>
      </c>
      <c r="G30" t="s">
        <v>498</v>
      </c>
      <c r="H30" t="s">
        <v>609</v>
      </c>
      <c r="I30" s="2">
        <v>0.54652777777777783</v>
      </c>
      <c r="J30" t="s">
        <v>556</v>
      </c>
      <c r="L30">
        <v>0</v>
      </c>
      <c r="M30">
        <v>1</v>
      </c>
      <c r="N30">
        <v>0</v>
      </c>
      <c r="O30">
        <v>0</v>
      </c>
      <c r="P30">
        <v>0</v>
      </c>
      <c r="Q30">
        <v>0</v>
      </c>
      <c r="R30">
        <v>0</v>
      </c>
      <c r="S30" s="2">
        <v>0.71527777777777779</v>
      </c>
      <c r="T30" t="s">
        <v>501</v>
      </c>
    </row>
    <row r="31" spans="1:20" x14ac:dyDescent="0.3">
      <c r="A31" t="s">
        <v>623</v>
      </c>
      <c r="B31" t="s">
        <v>428</v>
      </c>
      <c r="C31" t="s">
        <v>624</v>
      </c>
      <c r="D31" t="s">
        <v>625</v>
      </c>
      <c r="E31" t="s">
        <v>626</v>
      </c>
      <c r="F31">
        <v>1</v>
      </c>
      <c r="G31" t="s">
        <v>498</v>
      </c>
      <c r="H31" t="s">
        <v>609</v>
      </c>
      <c r="I31" s="2">
        <v>0.29583333333333334</v>
      </c>
      <c r="J31" t="s">
        <v>551</v>
      </c>
      <c r="L31">
        <v>31</v>
      </c>
      <c r="M31">
        <v>1</v>
      </c>
      <c r="N31">
        <v>0</v>
      </c>
      <c r="O31">
        <v>2</v>
      </c>
      <c r="P31">
        <v>0</v>
      </c>
      <c r="Q31">
        <v>0</v>
      </c>
      <c r="R31">
        <v>2</v>
      </c>
      <c r="S31" s="2">
        <v>0.52083333333333337</v>
      </c>
      <c r="T31" t="s">
        <v>627</v>
      </c>
    </row>
    <row r="32" spans="1:20" x14ac:dyDescent="0.3">
      <c r="A32" t="s">
        <v>628</v>
      </c>
      <c r="B32" t="s">
        <v>431</v>
      </c>
      <c r="C32" t="s">
        <v>629</v>
      </c>
      <c r="D32" t="s">
        <v>630</v>
      </c>
      <c r="E32" t="s">
        <v>631</v>
      </c>
      <c r="F32">
        <v>1</v>
      </c>
      <c r="G32" t="s">
        <v>546</v>
      </c>
      <c r="H32" t="s">
        <v>632</v>
      </c>
      <c r="I32" s="2">
        <v>0.35069444444444442</v>
      </c>
      <c r="J32" t="s">
        <v>551</v>
      </c>
      <c r="L32">
        <v>57</v>
      </c>
      <c r="M32">
        <v>2</v>
      </c>
      <c r="N32">
        <v>0</v>
      </c>
      <c r="O32">
        <v>7</v>
      </c>
      <c r="P32">
        <v>0</v>
      </c>
      <c r="Q32">
        <v>0</v>
      </c>
      <c r="R32">
        <v>11</v>
      </c>
      <c r="S32" s="2">
        <v>0.73055555555555562</v>
      </c>
      <c r="T32" t="s">
        <v>501</v>
      </c>
    </row>
    <row r="33" spans="1:20" x14ac:dyDescent="0.3">
      <c r="A33" t="s">
        <v>633</v>
      </c>
      <c r="B33" t="s">
        <v>433</v>
      </c>
      <c r="C33" t="s">
        <v>634</v>
      </c>
      <c r="D33" t="s">
        <v>635</v>
      </c>
      <c r="E33" t="s">
        <v>636</v>
      </c>
      <c r="F33">
        <v>1</v>
      </c>
      <c r="G33" t="s">
        <v>498</v>
      </c>
      <c r="H33" t="s">
        <v>637</v>
      </c>
      <c r="I33" s="2">
        <v>0.33055555555555555</v>
      </c>
      <c r="J33" t="s">
        <v>500</v>
      </c>
      <c r="L33">
        <v>4</v>
      </c>
      <c r="M33">
        <v>1</v>
      </c>
      <c r="N33">
        <v>0</v>
      </c>
      <c r="O33">
        <v>0</v>
      </c>
      <c r="P33">
        <v>0</v>
      </c>
      <c r="Q33">
        <v>0</v>
      </c>
      <c r="R33">
        <v>1</v>
      </c>
      <c r="S33" s="2">
        <v>0.35555555555555557</v>
      </c>
      <c r="T33" t="s">
        <v>627</v>
      </c>
    </row>
    <row r="34" spans="1:20" x14ac:dyDescent="0.3">
      <c r="A34" t="s">
        <v>638</v>
      </c>
      <c r="B34" t="s">
        <v>435</v>
      </c>
      <c r="C34" t="s">
        <v>639</v>
      </c>
      <c r="D34" t="s">
        <v>640</v>
      </c>
      <c r="E34" t="s">
        <v>641</v>
      </c>
      <c r="F34">
        <v>1</v>
      </c>
      <c r="G34" t="s">
        <v>546</v>
      </c>
      <c r="I34" s="2">
        <v>0.53125</v>
      </c>
      <c r="J34" t="s">
        <v>500</v>
      </c>
      <c r="L34">
        <v>18</v>
      </c>
      <c r="M34">
        <v>2</v>
      </c>
      <c r="N34">
        <v>0</v>
      </c>
      <c r="O34">
        <v>6</v>
      </c>
      <c r="P34">
        <v>0</v>
      </c>
      <c r="Q34">
        <v>0</v>
      </c>
      <c r="R34">
        <v>6</v>
      </c>
      <c r="S34" s="2">
        <v>0.69097222222222221</v>
      </c>
      <c r="T34" t="s">
        <v>501</v>
      </c>
    </row>
    <row r="35" spans="1:20" x14ac:dyDescent="0.3">
      <c r="A35" t="s">
        <v>642</v>
      </c>
      <c r="B35" t="s">
        <v>437</v>
      </c>
      <c r="C35" t="s">
        <v>643</v>
      </c>
      <c r="D35" t="s">
        <v>644</v>
      </c>
      <c r="E35" t="s">
        <v>645</v>
      </c>
      <c r="F35">
        <v>2</v>
      </c>
      <c r="G35" t="s">
        <v>546</v>
      </c>
      <c r="H35" t="s">
        <v>646</v>
      </c>
      <c r="I35" s="2">
        <v>0.66666666666666663</v>
      </c>
      <c r="J35" t="s">
        <v>507</v>
      </c>
      <c r="L35">
        <v>12</v>
      </c>
      <c r="M35">
        <v>1</v>
      </c>
      <c r="N35">
        <v>0</v>
      </c>
      <c r="O35">
        <v>2</v>
      </c>
      <c r="P35">
        <v>0</v>
      </c>
      <c r="Q35">
        <v>0</v>
      </c>
      <c r="R35">
        <v>0</v>
      </c>
      <c r="S35" s="2">
        <v>0.74513888888888891</v>
      </c>
      <c r="T35" t="s">
        <v>501</v>
      </c>
    </row>
    <row r="36" spans="1:20" x14ac:dyDescent="0.3">
      <c r="A36" t="s">
        <v>647</v>
      </c>
      <c r="B36" t="s">
        <v>437</v>
      </c>
      <c r="C36" t="s">
        <v>648</v>
      </c>
      <c r="D36" t="s">
        <v>649</v>
      </c>
      <c r="E36" t="s">
        <v>650</v>
      </c>
      <c r="F36">
        <v>1</v>
      </c>
      <c r="G36" t="s">
        <v>498</v>
      </c>
      <c r="H36" t="s">
        <v>614</v>
      </c>
      <c r="I36" s="2">
        <v>0.51111111111111118</v>
      </c>
      <c r="J36" t="s">
        <v>500</v>
      </c>
      <c r="L36">
        <v>24</v>
      </c>
      <c r="M36">
        <v>1</v>
      </c>
      <c r="N36">
        <v>0</v>
      </c>
      <c r="O36">
        <v>3</v>
      </c>
      <c r="P36">
        <v>0</v>
      </c>
      <c r="Q36">
        <v>0</v>
      </c>
      <c r="R36">
        <v>8</v>
      </c>
      <c r="S36" s="2">
        <v>0.66527777777777775</v>
      </c>
      <c r="T36" t="s">
        <v>501</v>
      </c>
    </row>
    <row r="37" spans="1:20" x14ac:dyDescent="0.3">
      <c r="A37" t="s">
        <v>651</v>
      </c>
      <c r="B37" t="s">
        <v>439</v>
      </c>
      <c r="C37" t="s">
        <v>652</v>
      </c>
      <c r="D37" t="s">
        <v>653</v>
      </c>
      <c r="E37" t="s">
        <v>654</v>
      </c>
      <c r="F37">
        <v>2</v>
      </c>
      <c r="G37" t="s">
        <v>546</v>
      </c>
      <c r="H37" t="s">
        <v>655</v>
      </c>
      <c r="I37" s="2">
        <v>0.4236111111111111</v>
      </c>
      <c r="J37" t="s">
        <v>500</v>
      </c>
      <c r="L37">
        <v>45</v>
      </c>
      <c r="M37">
        <v>4</v>
      </c>
      <c r="N37">
        <v>1</v>
      </c>
      <c r="O37">
        <v>4</v>
      </c>
      <c r="P37">
        <v>0</v>
      </c>
      <c r="Q37">
        <v>0</v>
      </c>
      <c r="R37">
        <v>8</v>
      </c>
      <c r="S37" s="2">
        <v>0.74583333333333324</v>
      </c>
      <c r="T37" t="s">
        <v>501</v>
      </c>
    </row>
    <row r="38" spans="1:20" x14ac:dyDescent="0.3">
      <c r="A38" t="s">
        <v>656</v>
      </c>
      <c r="B38" t="s">
        <v>439</v>
      </c>
      <c r="C38" t="s">
        <v>657</v>
      </c>
      <c r="D38" t="s">
        <v>658</v>
      </c>
      <c r="E38" t="s">
        <v>659</v>
      </c>
      <c r="F38">
        <v>1</v>
      </c>
      <c r="G38" t="s">
        <v>498</v>
      </c>
      <c r="H38" t="s">
        <v>614</v>
      </c>
      <c r="I38" s="2">
        <v>0.34861111111111115</v>
      </c>
      <c r="J38" t="s">
        <v>500</v>
      </c>
      <c r="L38">
        <v>9</v>
      </c>
      <c r="M38">
        <v>1</v>
      </c>
      <c r="N38">
        <v>0</v>
      </c>
      <c r="O38">
        <v>1</v>
      </c>
      <c r="P38">
        <v>0</v>
      </c>
      <c r="Q38">
        <v>1</v>
      </c>
      <c r="R38">
        <v>3</v>
      </c>
      <c r="S38" s="2">
        <v>0.4201388888888889</v>
      </c>
      <c r="T38" t="s">
        <v>501</v>
      </c>
    </row>
    <row r="39" spans="1:20" x14ac:dyDescent="0.3">
      <c r="A39" t="s">
        <v>660</v>
      </c>
      <c r="B39" t="s">
        <v>443</v>
      </c>
      <c r="C39" t="s">
        <v>661</v>
      </c>
      <c r="D39" t="s">
        <v>662</v>
      </c>
      <c r="E39" t="s">
        <v>663</v>
      </c>
      <c r="F39">
        <v>1</v>
      </c>
      <c r="G39" t="s">
        <v>546</v>
      </c>
      <c r="H39" t="s">
        <v>664</v>
      </c>
      <c r="I39" s="2">
        <v>0.39861111111111108</v>
      </c>
      <c r="J39" t="s">
        <v>500</v>
      </c>
      <c r="L39">
        <v>44</v>
      </c>
      <c r="M39">
        <v>1</v>
      </c>
      <c r="N39">
        <v>0</v>
      </c>
      <c r="O39">
        <v>2</v>
      </c>
      <c r="P39">
        <v>0</v>
      </c>
      <c r="Q39">
        <v>0</v>
      </c>
      <c r="R39">
        <v>0</v>
      </c>
      <c r="S39" s="2">
        <v>0.71875</v>
      </c>
      <c r="T39" t="s">
        <v>501</v>
      </c>
    </row>
    <row r="40" spans="1:20" x14ac:dyDescent="0.3">
      <c r="A40" t="s">
        <v>665</v>
      </c>
      <c r="B40" t="s">
        <v>445</v>
      </c>
      <c r="C40" t="s">
        <v>666</v>
      </c>
      <c r="D40" t="s">
        <v>667</v>
      </c>
      <c r="E40" t="s">
        <v>668</v>
      </c>
      <c r="F40">
        <v>1</v>
      </c>
      <c r="G40" t="s">
        <v>498</v>
      </c>
      <c r="H40" t="s">
        <v>614</v>
      </c>
      <c r="I40" s="2">
        <v>0.3576388888888889</v>
      </c>
      <c r="J40" t="s">
        <v>500</v>
      </c>
      <c r="L40">
        <v>0</v>
      </c>
      <c r="M40">
        <v>1</v>
      </c>
      <c r="N40">
        <v>0</v>
      </c>
      <c r="O40">
        <v>1</v>
      </c>
      <c r="P40">
        <v>0</v>
      </c>
      <c r="Q40">
        <v>0</v>
      </c>
      <c r="R40">
        <v>0</v>
      </c>
      <c r="S40" s="2">
        <v>0.5756944444444444</v>
      </c>
      <c r="T40" t="s">
        <v>627</v>
      </c>
    </row>
    <row r="41" spans="1:20" x14ac:dyDescent="0.3">
      <c r="A41" t="s">
        <v>669</v>
      </c>
      <c r="B41" t="s">
        <v>447</v>
      </c>
      <c r="C41" t="s">
        <v>670</v>
      </c>
      <c r="D41" t="s">
        <v>671</v>
      </c>
      <c r="E41" t="s">
        <v>672</v>
      </c>
      <c r="F41">
        <v>1</v>
      </c>
      <c r="G41" t="s">
        <v>546</v>
      </c>
      <c r="I41" s="2">
        <v>0.29305555555555557</v>
      </c>
      <c r="J41" t="s">
        <v>507</v>
      </c>
      <c r="L41">
        <v>16</v>
      </c>
      <c r="M41">
        <v>0</v>
      </c>
      <c r="N41">
        <v>0</v>
      </c>
      <c r="O41">
        <v>0</v>
      </c>
      <c r="P41">
        <v>0</v>
      </c>
      <c r="Q41">
        <v>0</v>
      </c>
      <c r="R41">
        <v>0</v>
      </c>
      <c r="S41" s="2">
        <v>0.45833333333333331</v>
      </c>
      <c r="T41" t="s">
        <v>627</v>
      </c>
    </row>
    <row r="42" spans="1:20" x14ac:dyDescent="0.3">
      <c r="A42" t="s">
        <v>673</v>
      </c>
      <c r="B42" t="s">
        <v>449</v>
      </c>
      <c r="C42" t="s">
        <v>674</v>
      </c>
      <c r="D42" t="s">
        <v>675</v>
      </c>
      <c r="E42" t="s">
        <v>676</v>
      </c>
      <c r="F42">
        <v>1</v>
      </c>
      <c r="G42" t="s">
        <v>498</v>
      </c>
      <c r="H42" t="s">
        <v>614</v>
      </c>
      <c r="J42" t="s">
        <v>551</v>
      </c>
      <c r="L42">
        <v>41</v>
      </c>
      <c r="M42">
        <v>1</v>
      </c>
      <c r="N42">
        <v>2</v>
      </c>
      <c r="O42">
        <v>3</v>
      </c>
      <c r="P42">
        <v>1</v>
      </c>
      <c r="Q42">
        <v>0</v>
      </c>
      <c r="R42">
        <v>1</v>
      </c>
      <c r="S42" s="2">
        <v>0.64444444444444449</v>
      </c>
      <c r="T42" t="s">
        <v>501</v>
      </c>
    </row>
    <row r="43" spans="1:20" x14ac:dyDescent="0.3">
      <c r="A43" t="s">
        <v>677</v>
      </c>
      <c r="B43" t="s">
        <v>451</v>
      </c>
      <c r="C43" t="s">
        <v>678</v>
      </c>
      <c r="D43" t="s">
        <v>679</v>
      </c>
      <c r="E43" t="s">
        <v>680</v>
      </c>
      <c r="F43">
        <v>1</v>
      </c>
      <c r="G43" t="s">
        <v>681</v>
      </c>
      <c r="H43" t="s">
        <v>682</v>
      </c>
      <c r="I43" s="2">
        <v>0.35000000000000003</v>
      </c>
      <c r="J43" t="s">
        <v>507</v>
      </c>
      <c r="L43">
        <v>48</v>
      </c>
      <c r="M43">
        <v>3</v>
      </c>
      <c r="N43">
        <v>2</v>
      </c>
      <c r="O43">
        <v>8</v>
      </c>
      <c r="P43">
        <v>0</v>
      </c>
      <c r="Q43">
        <v>0</v>
      </c>
      <c r="R43">
        <v>0</v>
      </c>
      <c r="S43" s="2">
        <v>0.72986111111111107</v>
      </c>
      <c r="T43" t="s">
        <v>501</v>
      </c>
    </row>
    <row r="44" spans="1:20" x14ac:dyDescent="0.3">
      <c r="A44" t="s">
        <v>683</v>
      </c>
      <c r="B44" t="s">
        <v>453</v>
      </c>
      <c r="C44" t="s">
        <v>684</v>
      </c>
      <c r="D44" t="s">
        <v>685</v>
      </c>
      <c r="E44" t="s">
        <v>686</v>
      </c>
      <c r="F44">
        <v>1</v>
      </c>
      <c r="G44" t="s">
        <v>546</v>
      </c>
      <c r="I44" s="2">
        <v>0.28402777777777777</v>
      </c>
      <c r="J44" t="s">
        <v>507</v>
      </c>
      <c r="L44">
        <v>27</v>
      </c>
      <c r="M44">
        <v>1</v>
      </c>
      <c r="N44">
        <v>0</v>
      </c>
      <c r="O44">
        <v>1</v>
      </c>
      <c r="P44">
        <v>1</v>
      </c>
      <c r="Q44">
        <v>0</v>
      </c>
      <c r="R44">
        <v>0</v>
      </c>
      <c r="S44" s="2">
        <v>0.625</v>
      </c>
      <c r="T44" t="s">
        <v>501</v>
      </c>
    </row>
    <row r="45" spans="1:20" x14ac:dyDescent="0.3">
      <c r="A45" t="s">
        <v>687</v>
      </c>
      <c r="B45" s="3" t="s">
        <v>455</v>
      </c>
      <c r="C45" t="s">
        <v>688</v>
      </c>
      <c r="D45" t="s">
        <v>689</v>
      </c>
      <c r="E45" t="s">
        <v>690</v>
      </c>
      <c r="F45">
        <v>3</v>
      </c>
      <c r="G45" t="s">
        <v>498</v>
      </c>
      <c r="H45" t="s">
        <v>614</v>
      </c>
      <c r="I45" s="2">
        <v>0.70138888888888884</v>
      </c>
      <c r="J45" t="s">
        <v>507</v>
      </c>
      <c r="L45">
        <v>0</v>
      </c>
      <c r="M45">
        <v>1</v>
      </c>
      <c r="N45">
        <v>0</v>
      </c>
      <c r="O45">
        <v>2</v>
      </c>
      <c r="P45">
        <v>0</v>
      </c>
      <c r="Q45">
        <v>0</v>
      </c>
      <c r="R45">
        <v>0</v>
      </c>
      <c r="S45" s="2">
        <v>0.74097222222222225</v>
      </c>
      <c r="T45" t="s">
        <v>501</v>
      </c>
    </row>
    <row r="46" spans="1:20" x14ac:dyDescent="0.3">
      <c r="A46" t="s">
        <v>691</v>
      </c>
      <c r="B46" s="3" t="s">
        <v>455</v>
      </c>
      <c r="C46" t="s">
        <v>692</v>
      </c>
      <c r="D46" t="s">
        <v>693</v>
      </c>
      <c r="E46" t="s">
        <v>694</v>
      </c>
      <c r="F46">
        <v>2</v>
      </c>
      <c r="G46" t="s">
        <v>498</v>
      </c>
      <c r="H46" t="s">
        <v>637</v>
      </c>
      <c r="I46" s="2">
        <v>0.5</v>
      </c>
      <c r="J46" t="s">
        <v>500</v>
      </c>
      <c r="L46">
        <v>25</v>
      </c>
      <c r="M46">
        <v>3</v>
      </c>
      <c r="N46">
        <v>0</v>
      </c>
      <c r="O46">
        <v>2</v>
      </c>
      <c r="P46">
        <v>1</v>
      </c>
      <c r="Q46">
        <v>0</v>
      </c>
      <c r="R46">
        <v>0</v>
      </c>
      <c r="S46" s="2">
        <v>0.68888888888888899</v>
      </c>
      <c r="T46" t="s">
        <v>501</v>
      </c>
    </row>
    <row r="47" spans="1:20" x14ac:dyDescent="0.3">
      <c r="A47" t="s">
        <v>695</v>
      </c>
      <c r="B47" s="3" t="s">
        <v>455</v>
      </c>
      <c r="C47" t="s">
        <v>696</v>
      </c>
      <c r="D47" t="s">
        <v>697</v>
      </c>
      <c r="E47" t="s">
        <v>698</v>
      </c>
      <c r="F47">
        <v>1</v>
      </c>
      <c r="G47" t="s">
        <v>546</v>
      </c>
      <c r="H47" t="s">
        <v>664</v>
      </c>
      <c r="I47" s="2">
        <v>0.30277777777777776</v>
      </c>
      <c r="J47" t="s">
        <v>538</v>
      </c>
      <c r="L47">
        <v>0</v>
      </c>
      <c r="M47">
        <v>4</v>
      </c>
      <c r="N47">
        <v>0</v>
      </c>
      <c r="O47">
        <v>5</v>
      </c>
      <c r="P47">
        <v>0</v>
      </c>
      <c r="Q47">
        <v>0</v>
      </c>
      <c r="R47">
        <v>0</v>
      </c>
      <c r="S47" s="2">
        <v>0.49861111111111112</v>
      </c>
      <c r="T47" t="s">
        <v>501</v>
      </c>
    </row>
    <row r="48" spans="1:20" x14ac:dyDescent="0.3">
      <c r="A48" t="s">
        <v>699</v>
      </c>
      <c r="B48" t="s">
        <v>457</v>
      </c>
      <c r="C48" t="s">
        <v>700</v>
      </c>
      <c r="D48" t="s">
        <v>701</v>
      </c>
      <c r="E48" t="s">
        <v>702</v>
      </c>
      <c r="F48">
        <v>1</v>
      </c>
      <c r="G48" t="s">
        <v>546</v>
      </c>
      <c r="I48" s="2">
        <v>0.31944444444444448</v>
      </c>
      <c r="J48" t="s">
        <v>551</v>
      </c>
      <c r="L48">
        <v>0</v>
      </c>
      <c r="M48">
        <v>5</v>
      </c>
      <c r="N48">
        <v>0</v>
      </c>
      <c r="O48">
        <v>9</v>
      </c>
      <c r="P48">
        <v>1</v>
      </c>
      <c r="Q48">
        <v>0</v>
      </c>
      <c r="R48">
        <v>4</v>
      </c>
      <c r="S48" s="2">
        <v>0.73402777777777783</v>
      </c>
      <c r="T48" t="s">
        <v>501</v>
      </c>
    </row>
    <row r="49" spans="1:20" x14ac:dyDescent="0.3">
      <c r="A49" t="s">
        <v>703</v>
      </c>
      <c r="B49" t="s">
        <v>459</v>
      </c>
      <c r="C49" t="s">
        <v>704</v>
      </c>
      <c r="D49" t="s">
        <v>705</v>
      </c>
      <c r="E49" t="s">
        <v>706</v>
      </c>
      <c r="F49">
        <v>2</v>
      </c>
      <c r="G49" t="s">
        <v>498</v>
      </c>
      <c r="I49" s="2">
        <v>0.60416666666666663</v>
      </c>
      <c r="J49" t="s">
        <v>507</v>
      </c>
      <c r="L49">
        <v>0</v>
      </c>
      <c r="M49">
        <v>1</v>
      </c>
      <c r="N49">
        <v>0</v>
      </c>
      <c r="O49">
        <v>1</v>
      </c>
      <c r="P49">
        <v>0</v>
      </c>
      <c r="Q49">
        <v>0</v>
      </c>
      <c r="R49">
        <v>0</v>
      </c>
      <c r="S49" s="2">
        <v>0.70694444444444438</v>
      </c>
      <c r="T49" t="s">
        <v>627</v>
      </c>
    </row>
    <row r="50" spans="1:20" x14ac:dyDescent="0.3">
      <c r="A50" t="s">
        <v>707</v>
      </c>
      <c r="B50" t="s">
        <v>459</v>
      </c>
      <c r="C50" t="s">
        <v>708</v>
      </c>
      <c r="D50" t="s">
        <v>709</v>
      </c>
      <c r="E50" t="s">
        <v>710</v>
      </c>
      <c r="F50">
        <v>1</v>
      </c>
      <c r="I50" s="2">
        <v>0.30069444444444443</v>
      </c>
      <c r="J50" t="s">
        <v>551</v>
      </c>
      <c r="L50">
        <v>1</v>
      </c>
      <c r="M50">
        <v>2</v>
      </c>
      <c r="N50">
        <v>0</v>
      </c>
      <c r="O50">
        <v>0</v>
      </c>
      <c r="P50">
        <v>0</v>
      </c>
      <c r="Q50">
        <v>0</v>
      </c>
      <c r="R50">
        <v>0</v>
      </c>
      <c r="S50" s="2">
        <v>0.4777777777777778</v>
      </c>
      <c r="T50" t="s">
        <v>627</v>
      </c>
    </row>
    <row r="51" spans="1:20" x14ac:dyDescent="0.3">
      <c r="A51" t="s">
        <v>711</v>
      </c>
      <c r="B51" t="s">
        <v>461</v>
      </c>
      <c r="C51" t="s">
        <v>712</v>
      </c>
      <c r="D51" t="s">
        <v>713</v>
      </c>
      <c r="E51" t="s">
        <v>714</v>
      </c>
      <c r="F51">
        <v>2</v>
      </c>
      <c r="G51" t="s">
        <v>842</v>
      </c>
      <c r="H51" t="s">
        <v>715</v>
      </c>
      <c r="I51" s="2">
        <v>0.66666666666666663</v>
      </c>
      <c r="J51" t="s">
        <v>556</v>
      </c>
      <c r="L51">
        <v>0</v>
      </c>
      <c r="M51">
        <v>1</v>
      </c>
      <c r="N51">
        <v>0</v>
      </c>
      <c r="O51">
        <v>1</v>
      </c>
      <c r="P51">
        <v>0</v>
      </c>
      <c r="Q51">
        <v>0</v>
      </c>
      <c r="R51">
        <v>0</v>
      </c>
      <c r="S51" s="2">
        <v>0.74236111111111114</v>
      </c>
      <c r="T51" t="s">
        <v>501</v>
      </c>
    </row>
    <row r="52" spans="1:20" x14ac:dyDescent="0.3">
      <c r="A52" t="s">
        <v>716</v>
      </c>
      <c r="B52" t="s">
        <v>461</v>
      </c>
      <c r="C52" t="s">
        <v>717</v>
      </c>
      <c r="D52" t="s">
        <v>718</v>
      </c>
      <c r="E52" t="s">
        <v>719</v>
      </c>
      <c r="F52">
        <v>1</v>
      </c>
      <c r="G52" t="s">
        <v>681</v>
      </c>
      <c r="H52" t="s">
        <v>682</v>
      </c>
      <c r="I52" s="2">
        <v>0.2986111111111111</v>
      </c>
      <c r="J52" t="s">
        <v>500</v>
      </c>
      <c r="L52">
        <v>29</v>
      </c>
      <c r="M52">
        <v>3</v>
      </c>
      <c r="N52">
        <v>4</v>
      </c>
      <c r="O52">
        <v>6</v>
      </c>
      <c r="P52">
        <v>0</v>
      </c>
      <c r="Q52">
        <v>0</v>
      </c>
      <c r="R52">
        <v>3</v>
      </c>
      <c r="S52" s="2">
        <v>0.66597222222222219</v>
      </c>
      <c r="T52" t="s">
        <v>501</v>
      </c>
    </row>
    <row r="53" spans="1:20" x14ac:dyDescent="0.3">
      <c r="A53" t="s">
        <v>720</v>
      </c>
      <c r="B53" t="s">
        <v>463</v>
      </c>
      <c r="C53" t="s">
        <v>721</v>
      </c>
      <c r="D53" t="s">
        <v>722</v>
      </c>
      <c r="E53" t="s">
        <v>723</v>
      </c>
      <c r="F53">
        <v>3</v>
      </c>
      <c r="G53" t="s">
        <v>498</v>
      </c>
      <c r="H53" t="s">
        <v>637</v>
      </c>
      <c r="I53" s="2">
        <v>0.36458333333333331</v>
      </c>
      <c r="J53" t="s">
        <v>500</v>
      </c>
      <c r="L53">
        <v>25</v>
      </c>
      <c r="M53">
        <v>5</v>
      </c>
      <c r="N53">
        <v>0</v>
      </c>
      <c r="O53">
        <v>5</v>
      </c>
      <c r="P53">
        <v>1</v>
      </c>
      <c r="Q53">
        <v>0</v>
      </c>
      <c r="R53">
        <v>6</v>
      </c>
      <c r="S53" s="2">
        <v>0.76666666666666661</v>
      </c>
      <c r="T53" t="s">
        <v>501</v>
      </c>
    </row>
    <row r="54" spans="1:20" x14ac:dyDescent="0.3">
      <c r="A54" t="s">
        <v>724</v>
      </c>
      <c r="B54" t="s">
        <v>463</v>
      </c>
      <c r="C54" t="s">
        <v>725</v>
      </c>
      <c r="D54" t="s">
        <v>726</v>
      </c>
      <c r="E54" t="s">
        <v>727</v>
      </c>
      <c r="F54">
        <v>2</v>
      </c>
      <c r="G54" t="s">
        <v>681</v>
      </c>
      <c r="H54" t="s">
        <v>682</v>
      </c>
      <c r="I54" s="2">
        <v>0.31527777777777777</v>
      </c>
      <c r="L54">
        <v>5</v>
      </c>
      <c r="M54">
        <v>1</v>
      </c>
      <c r="N54">
        <v>0</v>
      </c>
      <c r="O54">
        <v>1</v>
      </c>
      <c r="P54">
        <v>0</v>
      </c>
      <c r="Q54">
        <v>0</v>
      </c>
      <c r="R54">
        <v>1</v>
      </c>
      <c r="S54" s="2">
        <v>0.36388888888888887</v>
      </c>
      <c r="T54" t="s">
        <v>501</v>
      </c>
    </row>
    <row r="55" spans="1:20" x14ac:dyDescent="0.3">
      <c r="A55" t="s">
        <v>728</v>
      </c>
      <c r="B55" t="s">
        <v>463</v>
      </c>
      <c r="C55" t="s">
        <v>729</v>
      </c>
      <c r="D55" t="s">
        <v>730</v>
      </c>
      <c r="E55" t="s">
        <v>731</v>
      </c>
      <c r="F55">
        <v>1</v>
      </c>
      <c r="G55" t="s">
        <v>498</v>
      </c>
      <c r="H55" t="s">
        <v>614</v>
      </c>
      <c r="I55" s="2">
        <v>0.3125</v>
      </c>
      <c r="J55" t="s">
        <v>500</v>
      </c>
      <c r="L55">
        <v>0</v>
      </c>
      <c r="M55">
        <v>1</v>
      </c>
      <c r="N55">
        <v>0</v>
      </c>
      <c r="O55">
        <v>0</v>
      </c>
      <c r="P55">
        <v>0</v>
      </c>
      <c r="Q55">
        <v>0</v>
      </c>
      <c r="R55">
        <v>0</v>
      </c>
      <c r="S55" s="2">
        <v>0.31736111111111115</v>
      </c>
      <c r="T55" t="s">
        <v>501</v>
      </c>
    </row>
    <row r="56" spans="1:20" x14ac:dyDescent="0.3">
      <c r="A56" t="s">
        <v>732</v>
      </c>
      <c r="B56" t="s">
        <v>465</v>
      </c>
      <c r="C56" t="s">
        <v>733</v>
      </c>
      <c r="D56" t="s">
        <v>734</v>
      </c>
      <c r="E56" t="s">
        <v>735</v>
      </c>
      <c r="F56">
        <v>1</v>
      </c>
      <c r="G56" t="s">
        <v>842</v>
      </c>
      <c r="H56" t="s">
        <v>632</v>
      </c>
      <c r="I56" s="2">
        <v>0.30486111111111108</v>
      </c>
      <c r="J56" t="s">
        <v>507</v>
      </c>
      <c r="L56">
        <v>65</v>
      </c>
      <c r="M56">
        <v>5</v>
      </c>
      <c r="N56">
        <v>5</v>
      </c>
      <c r="O56">
        <v>12</v>
      </c>
      <c r="P56">
        <v>2</v>
      </c>
      <c r="Q56">
        <v>0</v>
      </c>
      <c r="R56">
        <v>8</v>
      </c>
      <c r="S56" s="2">
        <v>0.76874999999999993</v>
      </c>
      <c r="T56" t="s">
        <v>501</v>
      </c>
    </row>
    <row r="57" spans="1:20" x14ac:dyDescent="0.3">
      <c r="A57" t="s">
        <v>736</v>
      </c>
      <c r="B57" t="s">
        <v>467</v>
      </c>
      <c r="C57" t="s">
        <v>737</v>
      </c>
      <c r="D57" t="s">
        <v>738</v>
      </c>
      <c r="E57" t="s">
        <v>739</v>
      </c>
      <c r="F57">
        <v>3</v>
      </c>
      <c r="G57" t="s">
        <v>842</v>
      </c>
      <c r="I57" s="2">
        <v>0.60069444444444442</v>
      </c>
      <c r="J57" t="s">
        <v>556</v>
      </c>
      <c r="L57">
        <v>6</v>
      </c>
      <c r="M57">
        <v>2</v>
      </c>
      <c r="N57">
        <v>0</v>
      </c>
      <c r="O57">
        <v>1</v>
      </c>
      <c r="P57">
        <v>0</v>
      </c>
      <c r="Q57">
        <v>0</v>
      </c>
      <c r="R57">
        <v>3</v>
      </c>
      <c r="S57" s="2">
        <v>0.68055555555555547</v>
      </c>
      <c r="T57" t="s">
        <v>501</v>
      </c>
    </row>
    <row r="58" spans="1:20" x14ac:dyDescent="0.3">
      <c r="A58" t="s">
        <v>740</v>
      </c>
      <c r="B58" t="s">
        <v>467</v>
      </c>
      <c r="C58" t="s">
        <v>741</v>
      </c>
      <c r="D58" t="s">
        <v>742</v>
      </c>
      <c r="E58" t="s">
        <v>743</v>
      </c>
      <c r="F58">
        <v>2</v>
      </c>
      <c r="G58" t="s">
        <v>498</v>
      </c>
      <c r="H58" t="s">
        <v>744</v>
      </c>
      <c r="I58" s="2">
        <v>0.53472222222222221</v>
      </c>
      <c r="J58" t="s">
        <v>556</v>
      </c>
      <c r="L58">
        <v>5</v>
      </c>
      <c r="M58">
        <v>1</v>
      </c>
      <c r="N58">
        <v>1</v>
      </c>
      <c r="O58">
        <v>0</v>
      </c>
      <c r="P58">
        <v>0</v>
      </c>
      <c r="Q58">
        <v>0</v>
      </c>
      <c r="R58">
        <v>0</v>
      </c>
      <c r="S58" s="2">
        <v>0.60069444444444442</v>
      </c>
      <c r="T58" t="s">
        <v>501</v>
      </c>
    </row>
    <row r="59" spans="1:20" x14ac:dyDescent="0.3">
      <c r="A59" t="s">
        <v>745</v>
      </c>
      <c r="B59" t="s">
        <v>467</v>
      </c>
      <c r="C59" t="s">
        <v>746</v>
      </c>
      <c r="D59" t="s">
        <v>747</v>
      </c>
      <c r="E59" t="s">
        <v>748</v>
      </c>
      <c r="F59">
        <v>1</v>
      </c>
      <c r="G59" t="s">
        <v>800</v>
      </c>
      <c r="I59" s="2">
        <v>0.31666666666666665</v>
      </c>
      <c r="J59" t="s">
        <v>538</v>
      </c>
      <c r="L59">
        <v>20</v>
      </c>
      <c r="M59">
        <v>2</v>
      </c>
      <c r="N59">
        <v>0</v>
      </c>
      <c r="O59">
        <v>3</v>
      </c>
      <c r="P59">
        <v>0</v>
      </c>
      <c r="Q59">
        <v>0</v>
      </c>
      <c r="R59">
        <v>2</v>
      </c>
      <c r="S59" s="2">
        <v>0.53402777777777777</v>
      </c>
      <c r="T59" t="s">
        <v>501</v>
      </c>
    </row>
    <row r="60" spans="1:20" x14ac:dyDescent="0.3">
      <c r="A60" t="s">
        <v>749</v>
      </c>
      <c r="B60" t="s">
        <v>469</v>
      </c>
      <c r="C60" t="s">
        <v>750</v>
      </c>
      <c r="D60" t="s">
        <v>751</v>
      </c>
      <c r="E60" t="s">
        <v>580</v>
      </c>
      <c r="F60">
        <v>1</v>
      </c>
      <c r="G60" t="s">
        <v>681</v>
      </c>
      <c r="I60" s="2">
        <v>0.40833333333333338</v>
      </c>
      <c r="J60" t="s">
        <v>500</v>
      </c>
      <c r="L60">
        <v>0</v>
      </c>
      <c r="M60">
        <v>2</v>
      </c>
      <c r="N60">
        <v>0</v>
      </c>
      <c r="O60">
        <v>2</v>
      </c>
      <c r="P60">
        <v>0</v>
      </c>
      <c r="Q60">
        <v>0</v>
      </c>
      <c r="R60">
        <v>0</v>
      </c>
      <c r="S60" s="2">
        <v>0.70833333333333337</v>
      </c>
      <c r="T60" t="s">
        <v>501</v>
      </c>
    </row>
    <row r="61" spans="1:20" x14ac:dyDescent="0.3">
      <c r="A61" t="s">
        <v>753</v>
      </c>
      <c r="B61" t="s">
        <v>471</v>
      </c>
      <c r="C61" t="s">
        <v>754</v>
      </c>
      <c r="D61" t="s">
        <v>755</v>
      </c>
      <c r="E61" t="s">
        <v>756</v>
      </c>
      <c r="F61">
        <v>2</v>
      </c>
      <c r="G61" t="s">
        <v>800</v>
      </c>
      <c r="I61" s="2">
        <v>0.64097222222222217</v>
      </c>
      <c r="J61" t="s">
        <v>507</v>
      </c>
      <c r="L61">
        <v>10</v>
      </c>
      <c r="M61">
        <v>1</v>
      </c>
      <c r="N61">
        <v>0</v>
      </c>
      <c r="O61">
        <v>2</v>
      </c>
      <c r="P61">
        <v>0</v>
      </c>
      <c r="Q61">
        <v>0</v>
      </c>
      <c r="R61">
        <v>0</v>
      </c>
      <c r="S61" s="2">
        <v>0.71597222222222223</v>
      </c>
      <c r="T61" t="s">
        <v>501</v>
      </c>
    </row>
    <row r="62" spans="1:20" x14ac:dyDescent="0.3">
      <c r="A62" t="s">
        <v>757</v>
      </c>
      <c r="B62" t="s">
        <v>471</v>
      </c>
      <c r="C62" t="s">
        <v>758</v>
      </c>
      <c r="D62" t="s">
        <v>759</v>
      </c>
      <c r="E62" t="s">
        <v>760</v>
      </c>
      <c r="F62">
        <v>1</v>
      </c>
      <c r="G62" t="s">
        <v>842</v>
      </c>
      <c r="I62" s="2">
        <v>0.36805555555555558</v>
      </c>
      <c r="J62" t="s">
        <v>507</v>
      </c>
      <c r="L62">
        <v>38</v>
      </c>
      <c r="M62">
        <v>2</v>
      </c>
      <c r="N62">
        <v>0</v>
      </c>
      <c r="O62">
        <v>3</v>
      </c>
      <c r="P62">
        <v>1</v>
      </c>
      <c r="Q62">
        <v>2</v>
      </c>
      <c r="R62">
        <v>0</v>
      </c>
      <c r="S62" s="2">
        <v>0.64097222222222217</v>
      </c>
      <c r="T62" t="s">
        <v>501</v>
      </c>
    </row>
    <row r="63" spans="1:20" x14ac:dyDescent="0.3">
      <c r="A63" t="s">
        <v>761</v>
      </c>
      <c r="B63" t="s">
        <v>473</v>
      </c>
      <c r="C63" t="s">
        <v>762</v>
      </c>
      <c r="D63" t="s">
        <v>763</v>
      </c>
      <c r="E63" t="s">
        <v>764</v>
      </c>
      <c r="F63">
        <v>3</v>
      </c>
      <c r="G63" t="s">
        <v>681</v>
      </c>
      <c r="I63" s="2">
        <v>0.65694444444444444</v>
      </c>
      <c r="J63" t="s">
        <v>556</v>
      </c>
      <c r="L63">
        <v>0</v>
      </c>
      <c r="M63">
        <v>1</v>
      </c>
      <c r="N63">
        <v>0</v>
      </c>
      <c r="O63">
        <v>3</v>
      </c>
      <c r="P63">
        <v>0</v>
      </c>
      <c r="Q63">
        <v>0</v>
      </c>
      <c r="R63">
        <v>1</v>
      </c>
      <c r="S63" s="2">
        <v>0.74652777777777779</v>
      </c>
      <c r="T63" t="s">
        <v>501</v>
      </c>
    </row>
    <row r="64" spans="1:20" x14ac:dyDescent="0.3">
      <c r="A64" t="s">
        <v>765</v>
      </c>
      <c r="B64" t="s">
        <v>473</v>
      </c>
      <c r="C64" t="s">
        <v>766</v>
      </c>
      <c r="D64" t="s">
        <v>767</v>
      </c>
      <c r="E64" t="s">
        <v>768</v>
      </c>
      <c r="F64">
        <v>2</v>
      </c>
      <c r="G64" t="s">
        <v>498</v>
      </c>
      <c r="I64" s="2">
        <v>0.6</v>
      </c>
      <c r="J64" t="s">
        <v>556</v>
      </c>
      <c r="L64">
        <v>0</v>
      </c>
      <c r="M64">
        <v>1</v>
      </c>
      <c r="N64">
        <v>0</v>
      </c>
      <c r="O64">
        <v>2</v>
      </c>
      <c r="P64">
        <v>0</v>
      </c>
      <c r="Q64">
        <v>0</v>
      </c>
      <c r="R64">
        <v>2</v>
      </c>
      <c r="S64" s="2">
        <v>0.65694444444444444</v>
      </c>
      <c r="T64" t="s">
        <v>501</v>
      </c>
    </row>
    <row r="65" spans="1:20" x14ac:dyDescent="0.3">
      <c r="A65" t="s">
        <v>769</v>
      </c>
      <c r="B65" t="s">
        <v>473</v>
      </c>
      <c r="C65" t="s">
        <v>770</v>
      </c>
      <c r="D65" t="s">
        <v>771</v>
      </c>
      <c r="E65" t="s">
        <v>772</v>
      </c>
      <c r="F65">
        <v>1</v>
      </c>
      <c r="G65" t="s">
        <v>842</v>
      </c>
      <c r="I65" s="2">
        <v>0.33680555555555558</v>
      </c>
      <c r="J65" t="s">
        <v>500</v>
      </c>
      <c r="L65">
        <v>26</v>
      </c>
      <c r="M65">
        <v>5</v>
      </c>
      <c r="N65">
        <v>0</v>
      </c>
      <c r="O65">
        <v>5</v>
      </c>
      <c r="P65">
        <v>0</v>
      </c>
      <c r="Q65">
        <v>0</v>
      </c>
      <c r="R65">
        <v>4</v>
      </c>
      <c r="S65" s="2">
        <v>0.59791666666666665</v>
      </c>
      <c r="T65" t="s">
        <v>501</v>
      </c>
    </row>
    <row r="66" spans="1:20" x14ac:dyDescent="0.3">
      <c r="A66" t="s">
        <v>773</v>
      </c>
      <c r="B66" t="s">
        <v>475</v>
      </c>
      <c r="C66" t="s">
        <v>774</v>
      </c>
      <c r="D66" t="s">
        <v>775</v>
      </c>
      <c r="E66" t="s">
        <v>7970</v>
      </c>
      <c r="F66">
        <v>3</v>
      </c>
      <c r="G66" t="s">
        <v>842</v>
      </c>
      <c r="I66" s="2">
        <v>0.44861111111111113</v>
      </c>
      <c r="J66" t="s">
        <v>507</v>
      </c>
      <c r="L66">
        <v>11</v>
      </c>
      <c r="M66">
        <v>1</v>
      </c>
      <c r="N66">
        <v>0</v>
      </c>
      <c r="O66">
        <v>1</v>
      </c>
      <c r="P66">
        <v>0</v>
      </c>
      <c r="Q66">
        <v>0</v>
      </c>
      <c r="R66">
        <v>2</v>
      </c>
      <c r="S66" s="2">
        <v>0.53541666666666665</v>
      </c>
      <c r="T66" t="s">
        <v>501</v>
      </c>
    </row>
    <row r="67" spans="1:20" x14ac:dyDescent="0.3">
      <c r="A67" t="s">
        <v>777</v>
      </c>
      <c r="B67" t="s">
        <v>475</v>
      </c>
      <c r="C67" t="s">
        <v>778</v>
      </c>
      <c r="D67" t="s">
        <v>779</v>
      </c>
      <c r="E67" t="s">
        <v>7971</v>
      </c>
      <c r="F67">
        <v>2</v>
      </c>
      <c r="G67" t="s">
        <v>498</v>
      </c>
      <c r="I67" s="2">
        <v>0.42986111111111108</v>
      </c>
      <c r="J67" t="s">
        <v>507</v>
      </c>
      <c r="L67">
        <v>2</v>
      </c>
      <c r="M67">
        <v>1</v>
      </c>
      <c r="N67">
        <v>0</v>
      </c>
      <c r="O67">
        <v>1</v>
      </c>
      <c r="P67">
        <v>0</v>
      </c>
      <c r="Q67">
        <v>0</v>
      </c>
      <c r="R67">
        <v>1</v>
      </c>
      <c r="S67" s="2">
        <v>0.44861111111111113</v>
      </c>
      <c r="T67" t="s">
        <v>501</v>
      </c>
    </row>
    <row r="68" spans="1:20" x14ac:dyDescent="0.3">
      <c r="A68" t="s">
        <v>780</v>
      </c>
      <c r="B68" t="s">
        <v>475</v>
      </c>
      <c r="C68" t="s">
        <v>781</v>
      </c>
      <c r="D68" t="s">
        <v>782</v>
      </c>
      <c r="E68" t="s">
        <v>7969</v>
      </c>
      <c r="F68">
        <v>1</v>
      </c>
      <c r="G68" t="s">
        <v>681</v>
      </c>
      <c r="I68" s="2">
        <v>0.38611111111111113</v>
      </c>
      <c r="J68" t="s">
        <v>507</v>
      </c>
      <c r="L68">
        <v>3</v>
      </c>
      <c r="M68">
        <v>2</v>
      </c>
      <c r="N68">
        <v>1</v>
      </c>
      <c r="O68">
        <v>1</v>
      </c>
      <c r="P68">
        <v>0</v>
      </c>
      <c r="Q68">
        <v>0</v>
      </c>
      <c r="R68">
        <v>3</v>
      </c>
      <c r="S68" s="2">
        <v>0.4284722222222222</v>
      </c>
      <c r="T68" t="s">
        <v>501</v>
      </c>
    </row>
    <row r="69" spans="1:20" x14ac:dyDescent="0.3">
      <c r="A69" t="s">
        <v>783</v>
      </c>
      <c r="B69" t="s">
        <v>477</v>
      </c>
      <c r="C69" t="s">
        <v>784</v>
      </c>
      <c r="D69" t="s">
        <v>785</v>
      </c>
      <c r="E69" t="s">
        <v>786</v>
      </c>
      <c r="F69">
        <v>2</v>
      </c>
      <c r="G69" t="s">
        <v>842</v>
      </c>
      <c r="I69" s="2">
        <v>0.60069444444444442</v>
      </c>
      <c r="J69" t="s">
        <v>507</v>
      </c>
      <c r="L69">
        <v>16</v>
      </c>
      <c r="M69">
        <v>4</v>
      </c>
      <c r="N69">
        <v>0</v>
      </c>
      <c r="O69">
        <v>3</v>
      </c>
      <c r="P69">
        <v>0</v>
      </c>
      <c r="Q69">
        <v>1</v>
      </c>
      <c r="R69">
        <v>3</v>
      </c>
      <c r="S69" s="2">
        <v>0.71319444444444446</v>
      </c>
      <c r="T69" t="s">
        <v>501</v>
      </c>
    </row>
    <row r="70" spans="1:20" x14ac:dyDescent="0.3">
      <c r="A70" t="s">
        <v>787</v>
      </c>
      <c r="B70" t="s">
        <v>477</v>
      </c>
      <c r="C70" t="s">
        <v>788</v>
      </c>
      <c r="D70" t="s">
        <v>789</v>
      </c>
      <c r="E70" t="s">
        <v>790</v>
      </c>
      <c r="F70">
        <v>1</v>
      </c>
      <c r="G70" t="s">
        <v>498</v>
      </c>
      <c r="I70" s="2">
        <v>0.38611111111111113</v>
      </c>
      <c r="J70" t="s">
        <v>500</v>
      </c>
      <c r="L70">
        <v>31</v>
      </c>
      <c r="M70">
        <v>1</v>
      </c>
      <c r="N70">
        <v>4</v>
      </c>
      <c r="O70">
        <v>1</v>
      </c>
      <c r="P70">
        <v>0</v>
      </c>
      <c r="Q70">
        <v>1</v>
      </c>
      <c r="R70">
        <v>8</v>
      </c>
      <c r="S70" s="2">
        <v>0.59861111111111109</v>
      </c>
      <c r="T70" t="s">
        <v>501</v>
      </c>
    </row>
    <row r="73" spans="1:20" x14ac:dyDescent="0.3">
      <c r="B73" t="s">
        <v>7927</v>
      </c>
    </row>
    <row r="74" spans="1:20" x14ac:dyDescent="0.3">
      <c r="B74" t="s">
        <v>7928</v>
      </c>
    </row>
    <row r="75" spans="1:20" x14ac:dyDescent="0.3">
      <c r="B75" t="s">
        <v>7919</v>
      </c>
    </row>
    <row r="78" spans="1:20" x14ac:dyDescent="0.3">
      <c r="C78" t="s">
        <v>7920</v>
      </c>
    </row>
    <row r="79" spans="1:20" x14ac:dyDescent="0.3">
      <c r="C79" t="s">
        <v>7921</v>
      </c>
    </row>
    <row r="81" spans="3:3" x14ac:dyDescent="0.3">
      <c r="C81" t="s">
        <v>7922</v>
      </c>
    </row>
    <row r="82" spans="3:3" x14ac:dyDescent="0.3">
      <c r="C82" t="s">
        <v>7923</v>
      </c>
    </row>
    <row r="83" spans="3:3" x14ac:dyDescent="0.3">
      <c r="C83" t="s">
        <v>7924</v>
      </c>
    </row>
    <row r="85" spans="3:3" x14ac:dyDescent="0.3">
      <c r="C85" t="s">
        <v>7925</v>
      </c>
    </row>
    <row r="86" spans="3:3" x14ac:dyDescent="0.3">
      <c r="C86" t="s">
        <v>7926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DDAB-D426-4A5A-8F34-21BE7A0B125B}">
  <dimension ref="A1:AG1400"/>
  <sheetViews>
    <sheetView workbookViewId="0">
      <selection activeCell="AE1" sqref="AE1"/>
    </sheetView>
  </sheetViews>
  <sheetFormatPr baseColWidth="10" defaultRowHeight="14.4" x14ac:dyDescent="0.3"/>
  <cols>
    <col min="7" max="7" width="16.6640625" customWidth="1"/>
    <col min="15" max="15" width="12.33203125" customWidth="1"/>
    <col min="31" max="31" width="19.77734375" customWidth="1"/>
  </cols>
  <sheetData>
    <row r="1" spans="1:33" x14ac:dyDescent="0.3">
      <c r="A1" t="s">
        <v>791</v>
      </c>
      <c r="B1" t="s">
        <v>792</v>
      </c>
      <c r="C1" t="s">
        <v>1</v>
      </c>
      <c r="D1" t="s">
        <v>2</v>
      </c>
      <c r="E1" t="s">
        <v>3</v>
      </c>
      <c r="F1" t="s">
        <v>4</v>
      </c>
      <c r="G1" t="s">
        <v>1169</v>
      </c>
      <c r="H1" t="s">
        <v>1170</v>
      </c>
      <c r="I1" t="s">
        <v>1171</v>
      </c>
      <c r="J1" t="s">
        <v>1172</v>
      </c>
      <c r="K1" t="s">
        <v>1173</v>
      </c>
      <c r="L1" t="s">
        <v>1174</v>
      </c>
      <c r="M1" t="s">
        <v>1175</v>
      </c>
      <c r="N1" t="s">
        <v>1176</v>
      </c>
      <c r="O1" t="s">
        <v>1177</v>
      </c>
      <c r="P1" t="s">
        <v>1178</v>
      </c>
      <c r="Q1" t="s">
        <v>1179</v>
      </c>
      <c r="R1" t="s">
        <v>1180</v>
      </c>
      <c r="S1" t="s">
        <v>1181</v>
      </c>
      <c r="T1" t="s">
        <v>1182</v>
      </c>
      <c r="U1" t="s">
        <v>1183</v>
      </c>
      <c r="V1" t="s">
        <v>1184</v>
      </c>
      <c r="W1" t="s">
        <v>1185</v>
      </c>
      <c r="X1" t="s">
        <v>1186</v>
      </c>
      <c r="Y1" t="s">
        <v>1187</v>
      </c>
      <c r="Z1" t="s">
        <v>1188</v>
      </c>
      <c r="AA1" t="s">
        <v>1189</v>
      </c>
      <c r="AB1" t="s">
        <v>1190</v>
      </c>
      <c r="AC1" t="s">
        <v>1191</v>
      </c>
      <c r="AD1" t="s">
        <v>1192</v>
      </c>
      <c r="AE1" t="s">
        <v>1193</v>
      </c>
      <c r="AF1" t="s">
        <v>1194</v>
      </c>
      <c r="AG1" t="s">
        <v>1195</v>
      </c>
    </row>
    <row r="2" spans="1:33" x14ac:dyDescent="0.3">
      <c r="A2" t="s">
        <v>494</v>
      </c>
      <c r="B2" t="s">
        <v>1196</v>
      </c>
      <c r="C2" t="s">
        <v>1197</v>
      </c>
      <c r="D2" t="s">
        <v>1198</v>
      </c>
      <c r="E2" t="s">
        <v>16</v>
      </c>
      <c r="F2" t="s">
        <v>1199</v>
      </c>
      <c r="G2" s="2">
        <v>0.58333333333333337</v>
      </c>
      <c r="H2" t="s">
        <v>1200</v>
      </c>
      <c r="I2" t="s">
        <v>1201</v>
      </c>
      <c r="L2" t="s">
        <v>1202</v>
      </c>
      <c r="X2" t="s">
        <v>525</v>
      </c>
      <c r="Y2">
        <v>2</v>
      </c>
      <c r="Z2" t="s">
        <v>1203</v>
      </c>
    </row>
    <row r="3" spans="1:33" x14ac:dyDescent="0.3">
      <c r="A3" t="s">
        <v>494</v>
      </c>
      <c r="B3" s="3" t="s">
        <v>1204</v>
      </c>
      <c r="C3" t="s">
        <v>1205</v>
      </c>
      <c r="D3" t="s">
        <v>1206</v>
      </c>
      <c r="E3" t="s">
        <v>16</v>
      </c>
      <c r="F3" t="s">
        <v>1207</v>
      </c>
      <c r="G3" s="2">
        <v>0.57638888888888895</v>
      </c>
      <c r="H3" t="s">
        <v>1200</v>
      </c>
      <c r="I3" t="s">
        <v>1201</v>
      </c>
      <c r="L3" t="s">
        <v>1202</v>
      </c>
      <c r="X3" t="s">
        <v>525</v>
      </c>
      <c r="Y3">
        <v>2</v>
      </c>
      <c r="Z3" t="s">
        <v>1203</v>
      </c>
    </row>
    <row r="4" spans="1:33" x14ac:dyDescent="0.3">
      <c r="A4" t="s">
        <v>494</v>
      </c>
      <c r="B4" t="s">
        <v>1208</v>
      </c>
      <c r="C4" t="s">
        <v>1209</v>
      </c>
      <c r="D4" t="s">
        <v>1210</v>
      </c>
      <c r="E4" t="s">
        <v>16</v>
      </c>
      <c r="F4" t="s">
        <v>1211</v>
      </c>
      <c r="G4" s="2">
        <v>0.56944444444444442</v>
      </c>
      <c r="H4" t="s">
        <v>1200</v>
      </c>
      <c r="I4" t="s">
        <v>1201</v>
      </c>
      <c r="L4" t="s">
        <v>1202</v>
      </c>
    </row>
    <row r="5" spans="1:33" x14ac:dyDescent="0.3">
      <c r="A5" t="s">
        <v>494</v>
      </c>
      <c r="B5" t="s">
        <v>1212</v>
      </c>
      <c r="C5" t="s">
        <v>1213</v>
      </c>
      <c r="D5" t="s">
        <v>1214</v>
      </c>
      <c r="E5" t="s">
        <v>16</v>
      </c>
      <c r="F5" t="s">
        <v>1215</v>
      </c>
      <c r="G5" s="2">
        <v>0.5625</v>
      </c>
      <c r="H5" t="s">
        <v>1200</v>
      </c>
      <c r="I5" t="s">
        <v>1201</v>
      </c>
      <c r="M5" t="s">
        <v>1216</v>
      </c>
      <c r="X5" t="s">
        <v>525</v>
      </c>
      <c r="Y5">
        <v>2</v>
      </c>
      <c r="Z5" t="s">
        <v>1217</v>
      </c>
    </row>
    <row r="6" spans="1:33" x14ac:dyDescent="0.3">
      <c r="A6" t="s">
        <v>494</v>
      </c>
      <c r="B6" t="s">
        <v>1218</v>
      </c>
      <c r="C6" t="s">
        <v>1219</v>
      </c>
      <c r="D6" t="s">
        <v>1220</v>
      </c>
      <c r="E6" t="s">
        <v>16</v>
      </c>
      <c r="F6" t="s">
        <v>1221</v>
      </c>
      <c r="G6" s="2">
        <v>0.55555555555555558</v>
      </c>
      <c r="H6" t="s">
        <v>1200</v>
      </c>
      <c r="I6" t="s">
        <v>1201</v>
      </c>
      <c r="L6" t="s">
        <v>1222</v>
      </c>
      <c r="R6" t="s">
        <v>1223</v>
      </c>
      <c r="S6" t="s">
        <v>1224</v>
      </c>
      <c r="T6" t="s">
        <v>1225</v>
      </c>
      <c r="V6" t="s">
        <v>1226</v>
      </c>
      <c r="W6" t="s">
        <v>1227</v>
      </c>
      <c r="X6" t="s">
        <v>525</v>
      </c>
      <c r="Y6">
        <v>2</v>
      </c>
      <c r="Z6" t="s">
        <v>1228</v>
      </c>
      <c r="AB6" t="s">
        <v>525</v>
      </c>
      <c r="AC6">
        <v>4</v>
      </c>
      <c r="AD6" t="s">
        <v>1203</v>
      </c>
    </row>
    <row r="7" spans="1:33" x14ac:dyDescent="0.3">
      <c r="A7" t="s">
        <v>494</v>
      </c>
      <c r="B7" t="s">
        <v>1229</v>
      </c>
      <c r="C7" t="s">
        <v>1230</v>
      </c>
      <c r="D7" t="s">
        <v>1231</v>
      </c>
      <c r="E7" t="s">
        <v>16</v>
      </c>
      <c r="F7" t="s">
        <v>1232</v>
      </c>
      <c r="G7" s="2">
        <v>0.54861111111111105</v>
      </c>
      <c r="H7" t="s">
        <v>1200</v>
      </c>
      <c r="I7" t="s">
        <v>1201</v>
      </c>
      <c r="L7" t="s">
        <v>1222</v>
      </c>
      <c r="R7" t="s">
        <v>1223</v>
      </c>
      <c r="S7" t="s">
        <v>1224</v>
      </c>
      <c r="T7" t="s">
        <v>1225</v>
      </c>
      <c r="V7" t="s">
        <v>1226</v>
      </c>
      <c r="W7" t="s">
        <v>1227</v>
      </c>
      <c r="X7" t="s">
        <v>525</v>
      </c>
      <c r="Y7">
        <v>2</v>
      </c>
      <c r="Z7" t="s">
        <v>1228</v>
      </c>
      <c r="AB7" t="s">
        <v>525</v>
      </c>
      <c r="AC7">
        <v>4</v>
      </c>
      <c r="AD7" t="s">
        <v>1228</v>
      </c>
    </row>
    <row r="8" spans="1:33" x14ac:dyDescent="0.3">
      <c r="A8" t="s">
        <v>494</v>
      </c>
      <c r="B8" t="s">
        <v>1233</v>
      </c>
      <c r="C8" t="s">
        <v>1234</v>
      </c>
      <c r="D8" t="s">
        <v>1235</v>
      </c>
      <c r="E8" t="s">
        <v>16</v>
      </c>
      <c r="F8" t="s">
        <v>1236</v>
      </c>
      <c r="G8" s="2">
        <v>0.54166666666666663</v>
      </c>
      <c r="H8" t="s">
        <v>1200</v>
      </c>
      <c r="I8" t="s">
        <v>1201</v>
      </c>
      <c r="L8" t="s">
        <v>1202</v>
      </c>
      <c r="X8" t="s">
        <v>776</v>
      </c>
      <c r="Y8">
        <v>2</v>
      </c>
      <c r="Z8" t="s">
        <v>1203</v>
      </c>
    </row>
    <row r="9" spans="1:33" x14ac:dyDescent="0.3">
      <c r="A9" t="s">
        <v>494</v>
      </c>
      <c r="B9" t="s">
        <v>1237</v>
      </c>
      <c r="C9" t="s">
        <v>1238</v>
      </c>
      <c r="D9" t="s">
        <v>1239</v>
      </c>
      <c r="E9" t="s">
        <v>16</v>
      </c>
      <c r="F9" t="s">
        <v>1240</v>
      </c>
      <c r="G9" s="2">
        <v>0.53472222222222221</v>
      </c>
      <c r="H9" t="s">
        <v>1200</v>
      </c>
      <c r="I9" t="s">
        <v>1201</v>
      </c>
      <c r="L9" t="s">
        <v>1202</v>
      </c>
      <c r="X9" t="s">
        <v>776</v>
      </c>
      <c r="Y9">
        <v>2</v>
      </c>
      <c r="Z9" t="s">
        <v>1203</v>
      </c>
    </row>
    <row r="10" spans="1:33" x14ac:dyDescent="0.3">
      <c r="A10" t="s">
        <v>494</v>
      </c>
      <c r="B10" t="s">
        <v>1241</v>
      </c>
      <c r="C10" t="s">
        <v>1242</v>
      </c>
      <c r="D10" t="s">
        <v>1243</v>
      </c>
      <c r="E10" t="s">
        <v>16</v>
      </c>
      <c r="F10" t="s">
        <v>1244</v>
      </c>
      <c r="G10" s="2">
        <v>0.52777777777777779</v>
      </c>
      <c r="H10" t="s">
        <v>1200</v>
      </c>
      <c r="I10" t="s">
        <v>1201</v>
      </c>
      <c r="M10" t="s">
        <v>1216</v>
      </c>
      <c r="X10" t="s">
        <v>776</v>
      </c>
      <c r="Y10">
        <v>2</v>
      </c>
      <c r="Z10" t="s">
        <v>1217</v>
      </c>
      <c r="AB10" t="s">
        <v>752</v>
      </c>
      <c r="AC10">
        <v>2</v>
      </c>
      <c r="AD10" t="s">
        <v>1245</v>
      </c>
      <c r="AE10" t="s">
        <v>525</v>
      </c>
      <c r="AF10">
        <v>2</v>
      </c>
      <c r="AG10" t="s">
        <v>1245</v>
      </c>
    </row>
    <row r="11" spans="1:33" x14ac:dyDescent="0.3">
      <c r="A11" t="s">
        <v>494</v>
      </c>
      <c r="B11" t="s">
        <v>1246</v>
      </c>
      <c r="C11" t="s">
        <v>1247</v>
      </c>
      <c r="D11" t="s">
        <v>1248</v>
      </c>
      <c r="E11" t="s">
        <v>16</v>
      </c>
      <c r="F11" t="s">
        <v>1249</v>
      </c>
      <c r="G11" s="2">
        <v>0.52083333333333337</v>
      </c>
      <c r="H11" t="s">
        <v>1200</v>
      </c>
      <c r="I11" t="s">
        <v>1201</v>
      </c>
      <c r="K11" t="s">
        <v>1250</v>
      </c>
    </row>
    <row r="12" spans="1:33" x14ac:dyDescent="0.3">
      <c r="A12" t="s">
        <v>502</v>
      </c>
      <c r="B12" t="s">
        <v>1251</v>
      </c>
      <c r="C12" t="s">
        <v>1252</v>
      </c>
      <c r="D12" t="s">
        <v>1253</v>
      </c>
      <c r="E12" t="s">
        <v>16</v>
      </c>
      <c r="F12" t="s">
        <v>1254</v>
      </c>
      <c r="G12" s="2">
        <v>0.50694444444444442</v>
      </c>
      <c r="H12" t="s">
        <v>1200</v>
      </c>
      <c r="I12" t="s">
        <v>1201</v>
      </c>
      <c r="L12" t="s">
        <v>1255</v>
      </c>
    </row>
    <row r="13" spans="1:33" x14ac:dyDescent="0.3">
      <c r="A13" t="s">
        <v>502</v>
      </c>
      <c r="B13" t="s">
        <v>1256</v>
      </c>
      <c r="C13" t="s">
        <v>1257</v>
      </c>
      <c r="D13" t="s">
        <v>1258</v>
      </c>
      <c r="E13" t="s">
        <v>16</v>
      </c>
      <c r="F13" t="s">
        <v>1259</v>
      </c>
      <c r="G13" s="2">
        <v>0.5</v>
      </c>
      <c r="H13" t="s">
        <v>1200</v>
      </c>
      <c r="I13" t="s">
        <v>1201</v>
      </c>
      <c r="M13" t="s">
        <v>1260</v>
      </c>
      <c r="X13" t="s">
        <v>776</v>
      </c>
      <c r="Y13">
        <v>3</v>
      </c>
      <c r="Z13" t="s">
        <v>1261</v>
      </c>
      <c r="AB13" t="s">
        <v>498</v>
      </c>
      <c r="AC13">
        <v>3</v>
      </c>
      <c r="AD13" t="s">
        <v>1261</v>
      </c>
    </row>
    <row r="14" spans="1:33" x14ac:dyDescent="0.3">
      <c r="A14" t="s">
        <v>502</v>
      </c>
      <c r="B14" t="s">
        <v>1262</v>
      </c>
      <c r="C14" t="s">
        <v>1263</v>
      </c>
      <c r="D14" t="s">
        <v>1264</v>
      </c>
      <c r="E14" t="s">
        <v>16</v>
      </c>
      <c r="F14" t="s">
        <v>1265</v>
      </c>
      <c r="G14" s="2">
        <v>0.49305555555555558</v>
      </c>
      <c r="H14" t="s">
        <v>1200</v>
      </c>
      <c r="I14" t="s">
        <v>1201</v>
      </c>
      <c r="M14" t="s">
        <v>1260</v>
      </c>
      <c r="X14" t="s">
        <v>498</v>
      </c>
      <c r="Y14">
        <v>2</v>
      </c>
      <c r="Z14" t="s">
        <v>1203</v>
      </c>
      <c r="AB14" t="s">
        <v>776</v>
      </c>
      <c r="AC14">
        <v>3</v>
      </c>
      <c r="AD14" t="s">
        <v>1266</v>
      </c>
    </row>
    <row r="15" spans="1:33" x14ac:dyDescent="0.3">
      <c r="A15" t="s">
        <v>502</v>
      </c>
      <c r="B15" t="s">
        <v>1267</v>
      </c>
      <c r="C15" t="s">
        <v>1268</v>
      </c>
      <c r="D15" t="s">
        <v>1269</v>
      </c>
      <c r="E15" t="s">
        <v>16</v>
      </c>
      <c r="F15" t="s">
        <v>1270</v>
      </c>
      <c r="G15" s="2">
        <v>0.4861111111111111</v>
      </c>
      <c r="H15" t="s">
        <v>1200</v>
      </c>
      <c r="I15" t="s">
        <v>1201</v>
      </c>
      <c r="M15" t="s">
        <v>1260</v>
      </c>
      <c r="X15" t="s">
        <v>498</v>
      </c>
      <c r="Y15">
        <v>2</v>
      </c>
      <c r="Z15" t="s">
        <v>1261</v>
      </c>
      <c r="AB15" t="s">
        <v>776</v>
      </c>
      <c r="AC15">
        <v>3</v>
      </c>
      <c r="AD15" t="s">
        <v>1261</v>
      </c>
    </row>
    <row r="16" spans="1:33" x14ac:dyDescent="0.3">
      <c r="A16" t="s">
        <v>502</v>
      </c>
      <c r="B16" t="s">
        <v>1271</v>
      </c>
      <c r="C16" t="s">
        <v>1272</v>
      </c>
      <c r="D16" t="s">
        <v>1273</v>
      </c>
      <c r="E16" t="s">
        <v>16</v>
      </c>
      <c r="F16" t="s">
        <v>1274</v>
      </c>
      <c r="G16" s="2">
        <v>0.47916666666666669</v>
      </c>
      <c r="H16" t="s">
        <v>1200</v>
      </c>
      <c r="I16" t="s">
        <v>1201</v>
      </c>
      <c r="M16" t="s">
        <v>1260</v>
      </c>
      <c r="X16" t="s">
        <v>498</v>
      </c>
      <c r="Y16">
        <v>2</v>
      </c>
      <c r="Z16" t="s">
        <v>1261</v>
      </c>
      <c r="AB16" t="s">
        <v>776</v>
      </c>
      <c r="AC16">
        <v>3</v>
      </c>
      <c r="AD16" t="s">
        <v>1261</v>
      </c>
      <c r="AE16" t="s">
        <v>752</v>
      </c>
      <c r="AF16">
        <v>3</v>
      </c>
      <c r="AG16" t="s">
        <v>1261</v>
      </c>
    </row>
    <row r="17" spans="1:30" x14ac:dyDescent="0.3">
      <c r="A17" t="s">
        <v>502</v>
      </c>
      <c r="B17" t="s">
        <v>1275</v>
      </c>
      <c r="C17" t="s">
        <v>1276</v>
      </c>
      <c r="D17" t="s">
        <v>1277</v>
      </c>
      <c r="E17" t="s">
        <v>16</v>
      </c>
      <c r="F17" t="s">
        <v>1278</v>
      </c>
      <c r="G17" s="2">
        <v>0.47222222222222227</v>
      </c>
      <c r="H17" t="s">
        <v>1200</v>
      </c>
      <c r="I17" t="s">
        <v>1201</v>
      </c>
      <c r="K17" t="s">
        <v>1250</v>
      </c>
    </row>
    <row r="18" spans="1:30" x14ac:dyDescent="0.3">
      <c r="A18" t="s">
        <v>502</v>
      </c>
      <c r="B18" t="s">
        <v>1279</v>
      </c>
      <c r="C18" t="s">
        <v>1280</v>
      </c>
      <c r="D18" t="s">
        <v>1281</v>
      </c>
      <c r="E18" t="s">
        <v>16</v>
      </c>
      <c r="F18" t="s">
        <v>1282</v>
      </c>
      <c r="G18" s="2">
        <v>0.46527777777777773</v>
      </c>
      <c r="H18" t="s">
        <v>1200</v>
      </c>
      <c r="I18" t="s">
        <v>1201</v>
      </c>
      <c r="L18" t="s">
        <v>1283</v>
      </c>
    </row>
    <row r="19" spans="1:30" x14ac:dyDescent="0.3">
      <c r="A19" t="s">
        <v>502</v>
      </c>
      <c r="B19" t="s">
        <v>1284</v>
      </c>
      <c r="C19" t="s">
        <v>1285</v>
      </c>
      <c r="D19" t="s">
        <v>1286</v>
      </c>
      <c r="E19" t="s">
        <v>16</v>
      </c>
      <c r="F19" t="s">
        <v>1287</v>
      </c>
      <c r="G19" s="2">
        <v>0.45833333333333331</v>
      </c>
      <c r="H19" t="s">
        <v>1200</v>
      </c>
      <c r="I19" t="s">
        <v>1201</v>
      </c>
      <c r="K19" t="s">
        <v>1250</v>
      </c>
    </row>
    <row r="20" spans="1:30" x14ac:dyDescent="0.3">
      <c r="A20" t="s">
        <v>502</v>
      </c>
      <c r="B20" t="s">
        <v>1288</v>
      </c>
      <c r="C20" t="s">
        <v>1289</v>
      </c>
      <c r="D20" t="s">
        <v>1290</v>
      </c>
      <c r="E20" t="s">
        <v>16</v>
      </c>
      <c r="F20" t="s">
        <v>1291</v>
      </c>
      <c r="G20" s="2">
        <v>0.4513888888888889</v>
      </c>
      <c r="H20" t="s">
        <v>1200</v>
      </c>
      <c r="I20" t="s">
        <v>1201</v>
      </c>
      <c r="M20" t="s">
        <v>1292</v>
      </c>
    </row>
    <row r="21" spans="1:30" x14ac:dyDescent="0.3">
      <c r="A21" t="s">
        <v>502</v>
      </c>
      <c r="B21" t="s">
        <v>1293</v>
      </c>
      <c r="C21" t="s">
        <v>1294</v>
      </c>
      <c r="D21" t="s">
        <v>1295</v>
      </c>
      <c r="E21" t="s">
        <v>16</v>
      </c>
      <c r="F21" t="s">
        <v>1296</v>
      </c>
      <c r="G21" s="2">
        <v>0.44444444444444442</v>
      </c>
      <c r="H21" t="s">
        <v>1200</v>
      </c>
      <c r="I21" t="s">
        <v>1201</v>
      </c>
      <c r="M21" t="s">
        <v>1292</v>
      </c>
    </row>
    <row r="22" spans="1:30" x14ac:dyDescent="0.3">
      <c r="A22" t="s">
        <v>502</v>
      </c>
      <c r="B22" t="s">
        <v>1297</v>
      </c>
      <c r="C22" t="s">
        <v>1298</v>
      </c>
      <c r="D22" t="s">
        <v>1299</v>
      </c>
      <c r="E22" t="s">
        <v>16</v>
      </c>
      <c r="F22" t="s">
        <v>1300</v>
      </c>
      <c r="G22" s="2">
        <v>0.4375</v>
      </c>
      <c r="H22" t="s">
        <v>1200</v>
      </c>
      <c r="I22" t="s">
        <v>1201</v>
      </c>
      <c r="K22" t="s">
        <v>1250</v>
      </c>
      <c r="X22" t="s">
        <v>498</v>
      </c>
      <c r="Y22">
        <v>2</v>
      </c>
      <c r="Z22" t="s">
        <v>1266</v>
      </c>
    </row>
    <row r="23" spans="1:30" x14ac:dyDescent="0.3">
      <c r="A23" t="s">
        <v>508</v>
      </c>
      <c r="B23" t="s">
        <v>1301</v>
      </c>
      <c r="C23" t="s">
        <v>1302</v>
      </c>
      <c r="D23" t="s">
        <v>1303</v>
      </c>
      <c r="E23" t="s">
        <v>16</v>
      </c>
      <c r="F23" t="s">
        <v>1304</v>
      </c>
      <c r="G23" s="2">
        <v>0.70833333333333337</v>
      </c>
      <c r="H23" t="s">
        <v>1200</v>
      </c>
      <c r="I23" t="s">
        <v>1201</v>
      </c>
      <c r="L23" t="s">
        <v>1202</v>
      </c>
    </row>
    <row r="24" spans="1:30" x14ac:dyDescent="0.3">
      <c r="A24" t="s">
        <v>508</v>
      </c>
      <c r="B24" t="s">
        <v>1305</v>
      </c>
      <c r="C24" t="s">
        <v>1306</v>
      </c>
      <c r="D24" t="s">
        <v>1307</v>
      </c>
      <c r="E24" t="s">
        <v>16</v>
      </c>
      <c r="F24" t="s">
        <v>1308</v>
      </c>
      <c r="G24" s="2">
        <v>0.70138888888888884</v>
      </c>
      <c r="H24" t="s">
        <v>1200</v>
      </c>
      <c r="I24" t="s">
        <v>1201</v>
      </c>
      <c r="M24" t="s">
        <v>1309</v>
      </c>
      <c r="X24" t="s">
        <v>525</v>
      </c>
      <c r="Y24">
        <v>2</v>
      </c>
      <c r="Z24" t="s">
        <v>1261</v>
      </c>
      <c r="AB24" t="s">
        <v>776</v>
      </c>
      <c r="AC24">
        <v>2</v>
      </c>
      <c r="AD24" t="s">
        <v>1261</v>
      </c>
    </row>
    <row r="25" spans="1:30" x14ac:dyDescent="0.3">
      <c r="A25" t="s">
        <v>508</v>
      </c>
      <c r="B25" t="s">
        <v>1310</v>
      </c>
      <c r="C25" t="s">
        <v>1311</v>
      </c>
      <c r="D25" t="s">
        <v>1312</v>
      </c>
      <c r="E25" t="s">
        <v>16</v>
      </c>
      <c r="F25" t="s">
        <v>1313</v>
      </c>
      <c r="G25" s="2">
        <v>0.69444444444444453</v>
      </c>
      <c r="H25" t="s">
        <v>1200</v>
      </c>
      <c r="I25" t="s">
        <v>1201</v>
      </c>
      <c r="M25" t="s">
        <v>1309</v>
      </c>
      <c r="X25" t="s">
        <v>525</v>
      </c>
      <c r="Y25">
        <v>2</v>
      </c>
      <c r="Z25" t="s">
        <v>1261</v>
      </c>
    </row>
    <row r="26" spans="1:30" x14ac:dyDescent="0.3">
      <c r="A26" t="s">
        <v>508</v>
      </c>
      <c r="B26" t="s">
        <v>1314</v>
      </c>
      <c r="C26" t="s">
        <v>1315</v>
      </c>
      <c r="D26" t="s">
        <v>1316</v>
      </c>
      <c r="E26" t="s">
        <v>16</v>
      </c>
      <c r="F26" t="s">
        <v>1317</v>
      </c>
      <c r="G26" s="2">
        <v>0.6875</v>
      </c>
      <c r="H26" t="s">
        <v>1200</v>
      </c>
      <c r="I26" t="s">
        <v>1201</v>
      </c>
      <c r="M26" t="s">
        <v>1309</v>
      </c>
      <c r="X26" t="s">
        <v>776</v>
      </c>
      <c r="Y26">
        <v>2</v>
      </c>
      <c r="Z26" t="s">
        <v>1261</v>
      </c>
      <c r="AB26" t="s">
        <v>525</v>
      </c>
      <c r="AC26">
        <v>2</v>
      </c>
      <c r="AD26" t="s">
        <v>1261</v>
      </c>
    </row>
    <row r="27" spans="1:30" x14ac:dyDescent="0.3">
      <c r="A27" t="s">
        <v>508</v>
      </c>
      <c r="B27" t="s">
        <v>1318</v>
      </c>
      <c r="C27" t="s">
        <v>1319</v>
      </c>
      <c r="D27" t="s">
        <v>1320</v>
      </c>
      <c r="E27" t="s">
        <v>16</v>
      </c>
      <c r="F27" t="s">
        <v>1321</v>
      </c>
      <c r="G27" s="2">
        <v>0.68055555555555547</v>
      </c>
      <c r="H27" t="s">
        <v>1200</v>
      </c>
      <c r="I27" t="s">
        <v>1201</v>
      </c>
      <c r="M27" t="s">
        <v>1309</v>
      </c>
      <c r="X27" t="s">
        <v>525</v>
      </c>
      <c r="Y27">
        <v>2</v>
      </c>
      <c r="Z27" t="s">
        <v>1245</v>
      </c>
    </row>
    <row r="28" spans="1:30" x14ac:dyDescent="0.3">
      <c r="A28" t="s">
        <v>508</v>
      </c>
      <c r="B28" t="s">
        <v>1322</v>
      </c>
      <c r="C28" t="s">
        <v>1323</v>
      </c>
      <c r="D28" t="s">
        <v>1324</v>
      </c>
      <c r="E28" t="s">
        <v>16</v>
      </c>
      <c r="F28" t="s">
        <v>1325</v>
      </c>
      <c r="G28" s="2">
        <v>0.67361111111111116</v>
      </c>
      <c r="H28" t="s">
        <v>1200</v>
      </c>
      <c r="I28" t="s">
        <v>1201</v>
      </c>
      <c r="K28" t="s">
        <v>1250</v>
      </c>
      <c r="X28" t="s">
        <v>776</v>
      </c>
      <c r="Y28">
        <v>3</v>
      </c>
      <c r="Z28" t="s">
        <v>1266</v>
      </c>
      <c r="AB28" t="s">
        <v>498</v>
      </c>
      <c r="AC28">
        <v>4</v>
      </c>
      <c r="AD28" t="s">
        <v>1266</v>
      </c>
    </row>
    <row r="29" spans="1:30" x14ac:dyDescent="0.3">
      <c r="A29" t="s">
        <v>508</v>
      </c>
      <c r="B29" t="s">
        <v>1326</v>
      </c>
      <c r="C29" t="s">
        <v>1327</v>
      </c>
      <c r="D29" t="s">
        <v>1328</v>
      </c>
      <c r="E29" t="s">
        <v>16</v>
      </c>
      <c r="F29" t="s">
        <v>1329</v>
      </c>
      <c r="G29" s="2">
        <v>0.66666666666666663</v>
      </c>
      <c r="H29" t="s">
        <v>1200</v>
      </c>
      <c r="I29" t="s">
        <v>1201</v>
      </c>
      <c r="K29" t="s">
        <v>1250</v>
      </c>
      <c r="X29" t="s">
        <v>776</v>
      </c>
      <c r="Y29">
        <v>2</v>
      </c>
      <c r="Z29" t="s">
        <v>1228</v>
      </c>
      <c r="AB29" t="s">
        <v>525</v>
      </c>
      <c r="AC29">
        <v>4</v>
      </c>
      <c r="AD29" t="s">
        <v>1266</v>
      </c>
    </row>
    <row r="30" spans="1:30" x14ac:dyDescent="0.3">
      <c r="A30" t="s">
        <v>508</v>
      </c>
      <c r="B30" t="s">
        <v>1330</v>
      </c>
      <c r="C30" t="s">
        <v>1331</v>
      </c>
      <c r="D30" t="s">
        <v>1332</v>
      </c>
      <c r="E30" t="s">
        <v>16</v>
      </c>
      <c r="F30" t="s">
        <v>1333</v>
      </c>
      <c r="G30" s="2">
        <v>0.65972222222222221</v>
      </c>
      <c r="H30" t="s">
        <v>1200</v>
      </c>
      <c r="I30" t="s">
        <v>1201</v>
      </c>
      <c r="M30" t="s">
        <v>1334</v>
      </c>
    </row>
    <row r="31" spans="1:30" x14ac:dyDescent="0.3">
      <c r="A31" t="s">
        <v>508</v>
      </c>
      <c r="B31" t="s">
        <v>1335</v>
      </c>
      <c r="C31" t="s">
        <v>1336</v>
      </c>
      <c r="D31" t="s">
        <v>1337</v>
      </c>
      <c r="E31" t="s">
        <v>16</v>
      </c>
      <c r="F31" t="s">
        <v>1338</v>
      </c>
      <c r="G31" s="2">
        <v>0.65277777777777779</v>
      </c>
      <c r="H31" t="s">
        <v>1200</v>
      </c>
      <c r="I31" t="s">
        <v>1201</v>
      </c>
      <c r="M31" t="s">
        <v>1334</v>
      </c>
    </row>
    <row r="32" spans="1:30" x14ac:dyDescent="0.3">
      <c r="A32" t="s">
        <v>508</v>
      </c>
      <c r="B32" t="s">
        <v>1339</v>
      </c>
      <c r="C32" t="s">
        <v>1340</v>
      </c>
      <c r="D32" t="s">
        <v>1341</v>
      </c>
      <c r="E32" t="s">
        <v>16</v>
      </c>
      <c r="F32" t="s">
        <v>1342</v>
      </c>
      <c r="G32" s="2">
        <v>0.64583333333333337</v>
      </c>
      <c r="H32" t="s">
        <v>1200</v>
      </c>
      <c r="I32" t="s">
        <v>1201</v>
      </c>
      <c r="M32" t="s">
        <v>1334</v>
      </c>
    </row>
    <row r="33" spans="1:26" x14ac:dyDescent="0.3">
      <c r="A33" t="s">
        <v>508</v>
      </c>
      <c r="B33" t="s">
        <v>1343</v>
      </c>
      <c r="C33" t="s">
        <v>1344</v>
      </c>
      <c r="D33" t="s">
        <v>1345</v>
      </c>
      <c r="E33" t="s">
        <v>16</v>
      </c>
      <c r="F33" t="s">
        <v>1346</v>
      </c>
      <c r="G33" s="2">
        <v>0.63888888888888895</v>
      </c>
      <c r="H33" t="s">
        <v>1200</v>
      </c>
      <c r="I33" t="s">
        <v>1201</v>
      </c>
      <c r="M33" t="s">
        <v>1334</v>
      </c>
    </row>
    <row r="34" spans="1:26" x14ac:dyDescent="0.3">
      <c r="A34" t="s">
        <v>508</v>
      </c>
      <c r="B34" t="s">
        <v>1347</v>
      </c>
      <c r="C34" t="s">
        <v>1348</v>
      </c>
      <c r="D34" t="s">
        <v>1349</v>
      </c>
      <c r="E34" t="s">
        <v>16</v>
      </c>
      <c r="F34" t="s">
        <v>1350</v>
      </c>
      <c r="G34" s="2">
        <v>0.63194444444444442</v>
      </c>
      <c r="H34" t="s">
        <v>1200</v>
      </c>
      <c r="I34" t="s">
        <v>1201</v>
      </c>
      <c r="M34" t="s">
        <v>1334</v>
      </c>
    </row>
    <row r="35" spans="1:26" x14ac:dyDescent="0.3">
      <c r="A35" t="s">
        <v>508</v>
      </c>
      <c r="B35" t="s">
        <v>1351</v>
      </c>
      <c r="C35" t="s">
        <v>1352</v>
      </c>
      <c r="D35" t="s">
        <v>1353</v>
      </c>
      <c r="E35" t="s">
        <v>16</v>
      </c>
      <c r="F35" t="s">
        <v>1354</v>
      </c>
      <c r="G35" s="2">
        <v>0.625</v>
      </c>
      <c r="H35" t="s">
        <v>1200</v>
      </c>
      <c r="I35" t="s">
        <v>1201</v>
      </c>
      <c r="M35" t="s">
        <v>1334</v>
      </c>
    </row>
    <row r="36" spans="1:26" x14ac:dyDescent="0.3">
      <c r="A36" t="s">
        <v>508</v>
      </c>
      <c r="B36" t="s">
        <v>1355</v>
      </c>
      <c r="C36" t="s">
        <v>1356</v>
      </c>
      <c r="D36" t="s">
        <v>1357</v>
      </c>
      <c r="E36" t="s">
        <v>16</v>
      </c>
      <c r="F36" t="s">
        <v>1358</v>
      </c>
      <c r="G36" s="2">
        <v>0.61111111111111105</v>
      </c>
      <c r="H36" t="s">
        <v>1200</v>
      </c>
      <c r="I36" t="s">
        <v>1201</v>
      </c>
      <c r="L36" t="s">
        <v>1255</v>
      </c>
    </row>
    <row r="37" spans="1:26" x14ac:dyDescent="0.3">
      <c r="A37" t="s">
        <v>508</v>
      </c>
      <c r="B37" t="s">
        <v>1359</v>
      </c>
      <c r="C37" t="s">
        <v>1360</v>
      </c>
      <c r="D37" t="s">
        <v>1361</v>
      </c>
      <c r="E37" t="s">
        <v>16</v>
      </c>
      <c r="F37" t="s">
        <v>1362</v>
      </c>
      <c r="G37" s="2">
        <v>0.60416666666666663</v>
      </c>
      <c r="H37" t="s">
        <v>1200</v>
      </c>
      <c r="I37" t="s">
        <v>1201</v>
      </c>
      <c r="L37" t="s">
        <v>1363</v>
      </c>
    </row>
    <row r="38" spans="1:26" x14ac:dyDescent="0.3">
      <c r="A38" t="s">
        <v>508</v>
      </c>
      <c r="B38" t="s">
        <v>1364</v>
      </c>
      <c r="C38" t="s">
        <v>1365</v>
      </c>
      <c r="D38" t="s">
        <v>1366</v>
      </c>
      <c r="E38" t="s">
        <v>16</v>
      </c>
      <c r="F38" t="s">
        <v>1367</v>
      </c>
      <c r="G38" s="2">
        <v>0.59722222222222221</v>
      </c>
      <c r="H38" t="s">
        <v>1200</v>
      </c>
      <c r="I38" t="s">
        <v>1201</v>
      </c>
      <c r="L38" t="s">
        <v>1363</v>
      </c>
    </row>
    <row r="39" spans="1:26" x14ac:dyDescent="0.3">
      <c r="A39" t="s">
        <v>508</v>
      </c>
      <c r="B39" t="s">
        <v>1368</v>
      </c>
      <c r="C39" t="s">
        <v>1369</v>
      </c>
      <c r="D39" t="s">
        <v>1370</v>
      </c>
      <c r="E39" t="s">
        <v>16</v>
      </c>
      <c r="F39" t="s">
        <v>1371</v>
      </c>
      <c r="G39" s="2">
        <v>0.59027777777777779</v>
      </c>
      <c r="H39" t="s">
        <v>1200</v>
      </c>
      <c r="I39" t="s">
        <v>1201</v>
      </c>
      <c r="L39" t="s">
        <v>1363</v>
      </c>
    </row>
    <row r="40" spans="1:26" x14ac:dyDescent="0.3">
      <c r="A40" t="s">
        <v>508</v>
      </c>
      <c r="B40" t="s">
        <v>1372</v>
      </c>
      <c r="C40" t="s">
        <v>1373</v>
      </c>
      <c r="D40" t="s">
        <v>1374</v>
      </c>
      <c r="E40" t="s">
        <v>16</v>
      </c>
      <c r="F40" t="s">
        <v>1199</v>
      </c>
      <c r="G40" s="2">
        <v>0.58333333333333337</v>
      </c>
      <c r="H40" t="s">
        <v>1200</v>
      </c>
      <c r="I40" t="s">
        <v>1201</v>
      </c>
      <c r="L40" t="s">
        <v>1363</v>
      </c>
    </row>
    <row r="41" spans="1:26" x14ac:dyDescent="0.3">
      <c r="A41" t="s">
        <v>508</v>
      </c>
      <c r="B41" t="s">
        <v>1375</v>
      </c>
      <c r="C41" t="s">
        <v>1376</v>
      </c>
      <c r="D41" t="s">
        <v>1377</v>
      </c>
      <c r="E41" t="s">
        <v>16</v>
      </c>
      <c r="F41" t="s">
        <v>1207</v>
      </c>
      <c r="G41" s="2">
        <v>0.57638888888888895</v>
      </c>
      <c r="H41" t="s">
        <v>1200</v>
      </c>
      <c r="I41" t="s">
        <v>1201</v>
      </c>
      <c r="L41" t="s">
        <v>1363</v>
      </c>
    </row>
    <row r="42" spans="1:26" x14ac:dyDescent="0.3">
      <c r="A42" t="s">
        <v>508</v>
      </c>
      <c r="B42" t="s">
        <v>1378</v>
      </c>
      <c r="C42" t="s">
        <v>1379</v>
      </c>
      <c r="D42" t="s">
        <v>1380</v>
      </c>
      <c r="E42" t="s">
        <v>16</v>
      </c>
      <c r="F42" t="s">
        <v>1211</v>
      </c>
      <c r="G42" s="2">
        <v>0.56944444444444442</v>
      </c>
      <c r="H42" t="s">
        <v>1200</v>
      </c>
      <c r="I42" t="s">
        <v>1201</v>
      </c>
      <c r="L42" t="s">
        <v>1363</v>
      </c>
    </row>
    <row r="43" spans="1:26" x14ac:dyDescent="0.3">
      <c r="A43" t="s">
        <v>508</v>
      </c>
      <c r="B43" t="s">
        <v>1381</v>
      </c>
      <c r="C43" t="s">
        <v>1382</v>
      </c>
      <c r="D43" t="s">
        <v>1383</v>
      </c>
      <c r="E43" t="s">
        <v>16</v>
      </c>
      <c r="F43" t="s">
        <v>1215</v>
      </c>
      <c r="G43" s="2">
        <v>0.5625</v>
      </c>
      <c r="H43" t="s">
        <v>1200</v>
      </c>
      <c r="I43" t="s">
        <v>1201</v>
      </c>
      <c r="L43" t="s">
        <v>1363</v>
      </c>
    </row>
    <row r="44" spans="1:26" x14ac:dyDescent="0.3">
      <c r="A44" t="s">
        <v>508</v>
      </c>
      <c r="B44" t="s">
        <v>1384</v>
      </c>
      <c r="C44" t="s">
        <v>1385</v>
      </c>
      <c r="D44" t="s">
        <v>1386</v>
      </c>
      <c r="E44" t="s">
        <v>16</v>
      </c>
      <c r="F44" t="s">
        <v>1221</v>
      </c>
      <c r="G44" s="2">
        <v>0.55555555555555558</v>
      </c>
      <c r="H44" t="s">
        <v>1200</v>
      </c>
      <c r="I44" t="s">
        <v>1201</v>
      </c>
      <c r="L44" t="s">
        <v>1363</v>
      </c>
    </row>
    <row r="45" spans="1:26" x14ac:dyDescent="0.3">
      <c r="A45" t="s">
        <v>508</v>
      </c>
      <c r="B45" t="s">
        <v>1387</v>
      </c>
      <c r="C45" t="s">
        <v>1388</v>
      </c>
      <c r="D45" t="s">
        <v>1389</v>
      </c>
      <c r="E45" t="s">
        <v>16</v>
      </c>
      <c r="F45" t="s">
        <v>1232</v>
      </c>
      <c r="G45" s="2">
        <v>0.54861111111111105</v>
      </c>
      <c r="H45" t="s">
        <v>1200</v>
      </c>
      <c r="I45" t="s">
        <v>1201</v>
      </c>
      <c r="L45" t="s">
        <v>1363</v>
      </c>
    </row>
    <row r="46" spans="1:26" x14ac:dyDescent="0.3">
      <c r="A46" t="s">
        <v>508</v>
      </c>
      <c r="B46" t="s">
        <v>1390</v>
      </c>
      <c r="C46" t="s">
        <v>1391</v>
      </c>
      <c r="D46" t="s">
        <v>1392</v>
      </c>
      <c r="E46" t="s">
        <v>16</v>
      </c>
      <c r="F46" t="s">
        <v>1236</v>
      </c>
      <c r="G46" s="2">
        <v>0.54166666666666663</v>
      </c>
      <c r="H46" t="s">
        <v>1200</v>
      </c>
      <c r="I46" t="s">
        <v>1201</v>
      </c>
      <c r="L46" t="s">
        <v>1363</v>
      </c>
    </row>
    <row r="47" spans="1:26" x14ac:dyDescent="0.3">
      <c r="A47" t="s">
        <v>508</v>
      </c>
      <c r="B47" t="s">
        <v>1393</v>
      </c>
      <c r="C47" t="s">
        <v>1394</v>
      </c>
      <c r="D47" t="s">
        <v>1395</v>
      </c>
      <c r="E47" t="s">
        <v>16</v>
      </c>
      <c r="F47" t="s">
        <v>1240</v>
      </c>
      <c r="G47" s="2">
        <v>0.53472222222222221</v>
      </c>
      <c r="H47" t="s">
        <v>1200</v>
      </c>
      <c r="I47" t="s">
        <v>1201</v>
      </c>
      <c r="L47" t="s">
        <v>1363</v>
      </c>
      <c r="X47" t="s">
        <v>776</v>
      </c>
      <c r="Y47">
        <v>2</v>
      </c>
      <c r="Z47" t="s">
        <v>1396</v>
      </c>
    </row>
    <row r="48" spans="1:26" x14ac:dyDescent="0.3">
      <c r="A48" t="s">
        <v>508</v>
      </c>
      <c r="B48" t="s">
        <v>1397</v>
      </c>
      <c r="C48" t="s">
        <v>1398</v>
      </c>
      <c r="D48" t="s">
        <v>1399</v>
      </c>
      <c r="E48" t="s">
        <v>16</v>
      </c>
      <c r="F48" t="s">
        <v>1244</v>
      </c>
      <c r="G48" s="2">
        <v>0.52777777777777779</v>
      </c>
      <c r="H48" t="s">
        <v>1200</v>
      </c>
      <c r="I48" t="s">
        <v>1201</v>
      </c>
      <c r="L48" t="s">
        <v>1363</v>
      </c>
      <c r="X48" t="s">
        <v>776</v>
      </c>
      <c r="Y48">
        <v>2</v>
      </c>
      <c r="Z48" t="s">
        <v>1396</v>
      </c>
    </row>
    <row r="49" spans="1:33" x14ac:dyDescent="0.3">
      <c r="A49" t="s">
        <v>508</v>
      </c>
      <c r="B49" t="s">
        <v>1400</v>
      </c>
      <c r="C49" t="s">
        <v>1401</v>
      </c>
      <c r="D49" t="s">
        <v>1402</v>
      </c>
      <c r="E49" t="s">
        <v>16</v>
      </c>
      <c r="F49" t="s">
        <v>1249</v>
      </c>
      <c r="G49" s="2">
        <v>0.52083333333333337</v>
      </c>
      <c r="H49" t="s">
        <v>1200</v>
      </c>
      <c r="I49" t="s">
        <v>1201</v>
      </c>
      <c r="L49" t="s">
        <v>1363</v>
      </c>
      <c r="X49" t="s">
        <v>776</v>
      </c>
      <c r="Y49">
        <v>2</v>
      </c>
      <c r="Z49" t="s">
        <v>1396</v>
      </c>
    </row>
    <row r="50" spans="1:33" x14ac:dyDescent="0.3">
      <c r="A50" t="s">
        <v>508</v>
      </c>
      <c r="B50" t="s">
        <v>1403</v>
      </c>
      <c r="C50" t="s">
        <v>1404</v>
      </c>
      <c r="D50" t="s">
        <v>1405</v>
      </c>
      <c r="E50" t="s">
        <v>16</v>
      </c>
      <c r="F50" t="s">
        <v>1406</v>
      </c>
      <c r="G50" s="2">
        <v>0.51388888888888895</v>
      </c>
      <c r="H50" t="s">
        <v>1200</v>
      </c>
      <c r="I50" t="s">
        <v>1201</v>
      </c>
      <c r="L50" t="s">
        <v>1363</v>
      </c>
      <c r="X50" t="s">
        <v>776</v>
      </c>
      <c r="Y50">
        <v>2</v>
      </c>
      <c r="Z50" t="s">
        <v>1396</v>
      </c>
    </row>
    <row r="51" spans="1:33" x14ac:dyDescent="0.3">
      <c r="A51" t="s">
        <v>508</v>
      </c>
      <c r="B51" t="s">
        <v>1407</v>
      </c>
      <c r="C51" t="s">
        <v>1408</v>
      </c>
      <c r="D51" t="s">
        <v>1409</v>
      </c>
      <c r="E51" t="s">
        <v>16</v>
      </c>
      <c r="F51" t="s">
        <v>1254</v>
      </c>
      <c r="G51" s="2">
        <v>0.50694444444444442</v>
      </c>
      <c r="H51" t="s">
        <v>1200</v>
      </c>
      <c r="I51" t="s">
        <v>1201</v>
      </c>
      <c r="L51" t="s">
        <v>1363</v>
      </c>
      <c r="X51" t="s">
        <v>776</v>
      </c>
      <c r="Y51">
        <v>2</v>
      </c>
      <c r="Z51" t="s">
        <v>1396</v>
      </c>
    </row>
    <row r="52" spans="1:33" x14ac:dyDescent="0.3">
      <c r="A52" t="s">
        <v>508</v>
      </c>
      <c r="B52" t="s">
        <v>1410</v>
      </c>
      <c r="C52" t="s">
        <v>1411</v>
      </c>
      <c r="D52" t="s">
        <v>1412</v>
      </c>
      <c r="E52" t="s">
        <v>16</v>
      </c>
      <c r="F52" t="s">
        <v>1259</v>
      </c>
      <c r="G52" s="2">
        <v>0.5</v>
      </c>
      <c r="H52" t="s">
        <v>1200</v>
      </c>
      <c r="I52" t="s">
        <v>1201</v>
      </c>
      <c r="L52" t="s">
        <v>1363</v>
      </c>
      <c r="X52" t="s">
        <v>776</v>
      </c>
      <c r="Y52">
        <v>2</v>
      </c>
      <c r="Z52" t="s">
        <v>1396</v>
      </c>
    </row>
    <row r="53" spans="1:33" x14ac:dyDescent="0.3">
      <c r="A53" t="s">
        <v>508</v>
      </c>
      <c r="B53" t="s">
        <v>1413</v>
      </c>
      <c r="C53" t="s">
        <v>1414</v>
      </c>
      <c r="D53" t="s">
        <v>1415</v>
      </c>
      <c r="E53" t="s">
        <v>16</v>
      </c>
      <c r="F53" t="s">
        <v>1265</v>
      </c>
      <c r="G53" s="2">
        <v>0.49305555555555558</v>
      </c>
      <c r="H53" t="s">
        <v>1200</v>
      </c>
      <c r="I53" t="s">
        <v>1201</v>
      </c>
      <c r="L53" t="s">
        <v>1363</v>
      </c>
      <c r="X53" t="s">
        <v>776</v>
      </c>
      <c r="Y53">
        <v>2</v>
      </c>
      <c r="Z53" t="s">
        <v>1203</v>
      </c>
    </row>
    <row r="54" spans="1:33" x14ac:dyDescent="0.3">
      <c r="A54" t="s">
        <v>508</v>
      </c>
      <c r="B54" t="s">
        <v>1416</v>
      </c>
      <c r="C54" t="s">
        <v>1417</v>
      </c>
      <c r="D54" t="s">
        <v>1418</v>
      </c>
      <c r="E54" t="s">
        <v>16</v>
      </c>
      <c r="F54" t="s">
        <v>1270</v>
      </c>
      <c r="G54" s="2">
        <v>0.4861111111111111</v>
      </c>
      <c r="I54" t="s">
        <v>1201</v>
      </c>
      <c r="L54" t="s">
        <v>1363</v>
      </c>
      <c r="X54" t="s">
        <v>776</v>
      </c>
      <c r="Y54">
        <v>2</v>
      </c>
      <c r="Z54" t="s">
        <v>1396</v>
      </c>
    </row>
    <row r="55" spans="1:33" x14ac:dyDescent="0.3">
      <c r="A55" t="s">
        <v>508</v>
      </c>
      <c r="B55" t="s">
        <v>1419</v>
      </c>
      <c r="C55" t="s">
        <v>1420</v>
      </c>
      <c r="D55" t="s">
        <v>1421</v>
      </c>
      <c r="E55" t="s">
        <v>16</v>
      </c>
      <c r="F55" t="s">
        <v>1274</v>
      </c>
      <c r="G55" s="2">
        <v>0.47916666666666669</v>
      </c>
      <c r="H55" t="s">
        <v>1200</v>
      </c>
      <c r="I55" t="s">
        <v>1201</v>
      </c>
      <c r="L55" t="s">
        <v>1363</v>
      </c>
      <c r="X55" t="s">
        <v>776</v>
      </c>
      <c r="Y55">
        <v>2</v>
      </c>
      <c r="Z55" t="s">
        <v>1396</v>
      </c>
    </row>
    <row r="56" spans="1:33" x14ac:dyDescent="0.3">
      <c r="A56" t="s">
        <v>508</v>
      </c>
      <c r="B56" t="s">
        <v>1422</v>
      </c>
      <c r="C56" t="s">
        <v>1423</v>
      </c>
      <c r="D56" t="s">
        <v>1424</v>
      </c>
      <c r="E56" t="s">
        <v>16</v>
      </c>
      <c r="F56" t="s">
        <v>1278</v>
      </c>
      <c r="G56" s="2">
        <v>0.47222222222222227</v>
      </c>
      <c r="H56" t="s">
        <v>1200</v>
      </c>
      <c r="I56" t="s">
        <v>1201</v>
      </c>
      <c r="L56" t="s">
        <v>1363</v>
      </c>
      <c r="X56" t="s">
        <v>776</v>
      </c>
      <c r="Y56">
        <v>2</v>
      </c>
      <c r="Z56" t="s">
        <v>1396</v>
      </c>
    </row>
    <row r="57" spans="1:33" x14ac:dyDescent="0.3">
      <c r="A57" t="s">
        <v>508</v>
      </c>
      <c r="B57" t="s">
        <v>1425</v>
      </c>
      <c r="C57" t="s">
        <v>1426</v>
      </c>
      <c r="D57" t="s">
        <v>1427</v>
      </c>
      <c r="E57" t="s">
        <v>16</v>
      </c>
      <c r="F57" t="s">
        <v>1282</v>
      </c>
      <c r="G57" s="2">
        <v>0.46527777777777773</v>
      </c>
      <c r="H57" t="s">
        <v>1200</v>
      </c>
      <c r="I57" t="s">
        <v>1201</v>
      </c>
      <c r="X57" t="s">
        <v>776</v>
      </c>
      <c r="Y57">
        <v>2</v>
      </c>
      <c r="Z57" t="s">
        <v>1396</v>
      </c>
    </row>
    <row r="58" spans="1:33" x14ac:dyDescent="0.3">
      <c r="A58" t="s">
        <v>508</v>
      </c>
      <c r="B58" t="s">
        <v>1428</v>
      </c>
      <c r="C58" t="s">
        <v>1429</v>
      </c>
      <c r="D58" t="s">
        <v>1430</v>
      </c>
      <c r="E58" t="s">
        <v>16</v>
      </c>
      <c r="F58" t="s">
        <v>1287</v>
      </c>
      <c r="G58" s="2">
        <v>0.45833333333333331</v>
      </c>
      <c r="H58" t="s">
        <v>1200</v>
      </c>
      <c r="I58" t="s">
        <v>1201</v>
      </c>
      <c r="L58" t="s">
        <v>1363</v>
      </c>
      <c r="X58" t="s">
        <v>776</v>
      </c>
      <c r="Y58">
        <v>2</v>
      </c>
      <c r="Z58" t="s">
        <v>1203</v>
      </c>
    </row>
    <row r="59" spans="1:33" x14ac:dyDescent="0.3">
      <c r="A59" t="s">
        <v>508</v>
      </c>
      <c r="B59" t="s">
        <v>1431</v>
      </c>
      <c r="C59" t="s">
        <v>1432</v>
      </c>
      <c r="D59" t="s">
        <v>1433</v>
      </c>
      <c r="E59" t="s">
        <v>16</v>
      </c>
      <c r="F59" t="s">
        <v>1291</v>
      </c>
      <c r="G59" s="2">
        <v>0.4513888888888889</v>
      </c>
      <c r="H59" t="s">
        <v>1200</v>
      </c>
      <c r="I59" t="s">
        <v>1201</v>
      </c>
      <c r="L59" t="s">
        <v>1202</v>
      </c>
      <c r="X59" t="s">
        <v>776</v>
      </c>
      <c r="Y59">
        <v>2</v>
      </c>
      <c r="Z59" t="s">
        <v>1203</v>
      </c>
    </row>
    <row r="60" spans="1:33" x14ac:dyDescent="0.3">
      <c r="A60" t="s">
        <v>508</v>
      </c>
      <c r="B60" t="s">
        <v>1434</v>
      </c>
      <c r="C60" t="s">
        <v>1435</v>
      </c>
      <c r="D60" t="s">
        <v>1436</v>
      </c>
      <c r="E60" t="s">
        <v>16</v>
      </c>
      <c r="F60" t="s">
        <v>1296</v>
      </c>
      <c r="G60" s="2">
        <v>0.44444444444444442</v>
      </c>
      <c r="H60" t="s">
        <v>1200</v>
      </c>
      <c r="I60" t="s">
        <v>1201</v>
      </c>
      <c r="L60" t="s">
        <v>1202</v>
      </c>
      <c r="X60" t="s">
        <v>776</v>
      </c>
      <c r="Y60">
        <v>2</v>
      </c>
      <c r="Z60" t="s">
        <v>1203</v>
      </c>
    </row>
    <row r="61" spans="1:33" x14ac:dyDescent="0.3">
      <c r="A61" t="s">
        <v>508</v>
      </c>
      <c r="B61" t="s">
        <v>1437</v>
      </c>
      <c r="C61" t="s">
        <v>1438</v>
      </c>
      <c r="D61" t="s">
        <v>1439</v>
      </c>
      <c r="E61" t="s">
        <v>16</v>
      </c>
      <c r="F61" t="s">
        <v>1300</v>
      </c>
      <c r="G61" s="2">
        <v>0.4375</v>
      </c>
      <c r="H61" t="s">
        <v>1200</v>
      </c>
      <c r="I61" t="s">
        <v>1201</v>
      </c>
      <c r="L61" t="s">
        <v>1202</v>
      </c>
      <c r="X61" t="s">
        <v>776</v>
      </c>
      <c r="Y61">
        <v>2</v>
      </c>
      <c r="Z61" t="s">
        <v>1203</v>
      </c>
    </row>
    <row r="62" spans="1:33" x14ac:dyDescent="0.3">
      <c r="A62" t="s">
        <v>508</v>
      </c>
      <c r="B62" t="s">
        <v>1440</v>
      </c>
      <c r="C62" t="s">
        <v>1441</v>
      </c>
      <c r="D62" t="s">
        <v>1442</v>
      </c>
      <c r="E62" t="s">
        <v>16</v>
      </c>
      <c r="F62" t="s">
        <v>1443</v>
      </c>
      <c r="G62" s="2">
        <v>0.43055555555555558</v>
      </c>
      <c r="H62" t="s">
        <v>1200</v>
      </c>
      <c r="I62" t="s">
        <v>1201</v>
      </c>
      <c r="L62" t="s">
        <v>1202</v>
      </c>
    </row>
    <row r="63" spans="1:33" x14ac:dyDescent="0.3">
      <c r="A63" t="s">
        <v>508</v>
      </c>
      <c r="B63" t="s">
        <v>1444</v>
      </c>
      <c r="C63" t="s">
        <v>1445</v>
      </c>
      <c r="D63" t="s">
        <v>1446</v>
      </c>
      <c r="E63" t="s">
        <v>16</v>
      </c>
      <c r="F63" t="s">
        <v>1447</v>
      </c>
      <c r="G63" s="2">
        <v>0.4236111111111111</v>
      </c>
      <c r="H63" t="s">
        <v>1200</v>
      </c>
      <c r="I63" t="s">
        <v>1201</v>
      </c>
      <c r="L63" t="s">
        <v>1202</v>
      </c>
    </row>
    <row r="64" spans="1:33" x14ac:dyDescent="0.3">
      <c r="A64" t="s">
        <v>508</v>
      </c>
      <c r="B64" t="s">
        <v>1448</v>
      </c>
      <c r="C64" t="s">
        <v>1449</v>
      </c>
      <c r="D64" t="s">
        <v>1450</v>
      </c>
      <c r="E64" t="s">
        <v>16</v>
      </c>
      <c r="F64" t="s">
        <v>1451</v>
      </c>
      <c r="G64" s="2">
        <v>0.41666666666666669</v>
      </c>
      <c r="H64" t="s">
        <v>1200</v>
      </c>
      <c r="I64" t="s">
        <v>1201</v>
      </c>
      <c r="M64" t="s">
        <v>1292</v>
      </c>
      <c r="X64" t="s">
        <v>498</v>
      </c>
      <c r="Y64">
        <v>2</v>
      </c>
      <c r="Z64" t="s">
        <v>1245</v>
      </c>
      <c r="AB64" t="s">
        <v>525</v>
      </c>
      <c r="AC64">
        <v>3</v>
      </c>
      <c r="AD64" t="s">
        <v>1245</v>
      </c>
      <c r="AE64" t="s">
        <v>776</v>
      </c>
      <c r="AF64">
        <v>3</v>
      </c>
      <c r="AG64" t="s">
        <v>1245</v>
      </c>
    </row>
    <row r="65" spans="1:33" x14ac:dyDescent="0.3">
      <c r="A65" t="s">
        <v>508</v>
      </c>
      <c r="B65" t="s">
        <v>1452</v>
      </c>
      <c r="C65" t="s">
        <v>1453</v>
      </c>
      <c r="D65" t="s">
        <v>1454</v>
      </c>
      <c r="E65" t="s">
        <v>16</v>
      </c>
      <c r="F65" t="s">
        <v>1455</v>
      </c>
      <c r="G65" s="2">
        <v>0.40972222222222227</v>
      </c>
      <c r="H65" t="s">
        <v>1200</v>
      </c>
      <c r="I65" t="s">
        <v>1201</v>
      </c>
      <c r="M65" t="s">
        <v>1292</v>
      </c>
      <c r="X65" t="s">
        <v>776</v>
      </c>
      <c r="Y65">
        <v>2</v>
      </c>
      <c r="Z65" t="s">
        <v>1245</v>
      </c>
      <c r="AB65" t="s">
        <v>752</v>
      </c>
      <c r="AC65">
        <v>3</v>
      </c>
      <c r="AD65" t="s">
        <v>1245</v>
      </c>
    </row>
    <row r="66" spans="1:33" x14ac:dyDescent="0.3">
      <c r="A66" t="s">
        <v>508</v>
      </c>
      <c r="B66" t="s">
        <v>1456</v>
      </c>
      <c r="C66" t="s">
        <v>1457</v>
      </c>
      <c r="D66" t="s">
        <v>1458</v>
      </c>
      <c r="E66" t="s">
        <v>16</v>
      </c>
      <c r="F66" t="s">
        <v>1459</v>
      </c>
      <c r="G66" s="2">
        <v>0.40277777777777773</v>
      </c>
      <c r="H66" t="s">
        <v>1200</v>
      </c>
      <c r="I66" t="s">
        <v>1201</v>
      </c>
      <c r="M66" t="s">
        <v>1292</v>
      </c>
      <c r="X66" t="s">
        <v>752</v>
      </c>
      <c r="Y66">
        <v>3</v>
      </c>
      <c r="Z66" t="s">
        <v>1245</v>
      </c>
      <c r="AB66" t="s">
        <v>498</v>
      </c>
      <c r="AC66">
        <v>3</v>
      </c>
      <c r="AD66" t="s">
        <v>1245</v>
      </c>
    </row>
    <row r="67" spans="1:33" x14ac:dyDescent="0.3">
      <c r="A67" t="s">
        <v>508</v>
      </c>
      <c r="B67" t="s">
        <v>1460</v>
      </c>
      <c r="C67" t="s">
        <v>1461</v>
      </c>
      <c r="D67" t="s">
        <v>1462</v>
      </c>
      <c r="E67" t="s">
        <v>16</v>
      </c>
      <c r="F67" t="s">
        <v>1463</v>
      </c>
      <c r="G67" s="2">
        <v>0.39583333333333331</v>
      </c>
      <c r="H67" t="s">
        <v>1200</v>
      </c>
      <c r="I67" t="s">
        <v>1201</v>
      </c>
      <c r="M67" t="s">
        <v>1464</v>
      </c>
      <c r="X67" t="s">
        <v>776</v>
      </c>
      <c r="Y67">
        <v>2</v>
      </c>
      <c r="Z67" t="s">
        <v>1465</v>
      </c>
      <c r="AB67" t="s">
        <v>498</v>
      </c>
      <c r="AC67">
        <v>3</v>
      </c>
      <c r="AD67" t="s">
        <v>1245</v>
      </c>
    </row>
    <row r="68" spans="1:33" x14ac:dyDescent="0.3">
      <c r="A68" t="s">
        <v>508</v>
      </c>
      <c r="B68" t="s">
        <v>1466</v>
      </c>
      <c r="C68" t="s">
        <v>1467</v>
      </c>
      <c r="D68" t="s">
        <v>1468</v>
      </c>
      <c r="E68" t="s">
        <v>16</v>
      </c>
      <c r="F68" t="s">
        <v>1469</v>
      </c>
      <c r="G68" s="2">
        <v>0.3888888888888889</v>
      </c>
      <c r="H68" t="s">
        <v>1200</v>
      </c>
      <c r="I68" t="s">
        <v>1201</v>
      </c>
      <c r="K68" t="s">
        <v>1250</v>
      </c>
    </row>
    <row r="69" spans="1:33" x14ac:dyDescent="0.3">
      <c r="A69" t="s">
        <v>508</v>
      </c>
      <c r="B69" t="s">
        <v>1470</v>
      </c>
      <c r="C69" t="s">
        <v>1471</v>
      </c>
      <c r="D69" t="s">
        <v>1472</v>
      </c>
      <c r="E69" t="s">
        <v>16</v>
      </c>
      <c r="F69" t="s">
        <v>1473</v>
      </c>
      <c r="G69" s="2">
        <v>0.38194444444444442</v>
      </c>
      <c r="H69" t="s">
        <v>1200</v>
      </c>
      <c r="I69" t="s">
        <v>1201</v>
      </c>
      <c r="K69" t="s">
        <v>1250</v>
      </c>
    </row>
    <row r="70" spans="1:33" x14ac:dyDescent="0.3">
      <c r="A70" t="s">
        <v>508</v>
      </c>
      <c r="B70" t="s">
        <v>1474</v>
      </c>
      <c r="C70" t="s">
        <v>1475</v>
      </c>
      <c r="D70" t="s">
        <v>1476</v>
      </c>
      <c r="E70" t="s">
        <v>16</v>
      </c>
      <c r="F70" t="s">
        <v>1477</v>
      </c>
      <c r="G70" s="2">
        <v>0.375</v>
      </c>
      <c r="H70" t="s">
        <v>1200</v>
      </c>
      <c r="I70" t="s">
        <v>1201</v>
      </c>
      <c r="M70" t="s">
        <v>1478</v>
      </c>
    </row>
    <row r="71" spans="1:33" x14ac:dyDescent="0.3">
      <c r="A71" t="s">
        <v>508</v>
      </c>
      <c r="B71" t="s">
        <v>1479</v>
      </c>
      <c r="C71" t="s">
        <v>1480</v>
      </c>
      <c r="D71" t="s">
        <v>1481</v>
      </c>
      <c r="E71" t="s">
        <v>16</v>
      </c>
      <c r="F71" t="s">
        <v>1482</v>
      </c>
      <c r="G71" s="2">
        <v>0.36805555555555558</v>
      </c>
      <c r="H71" t="s">
        <v>1200</v>
      </c>
      <c r="I71" t="s">
        <v>1201</v>
      </c>
      <c r="M71" t="s">
        <v>1478</v>
      </c>
    </row>
    <row r="72" spans="1:33" x14ac:dyDescent="0.3">
      <c r="A72" t="s">
        <v>508</v>
      </c>
      <c r="B72" t="s">
        <v>1483</v>
      </c>
      <c r="C72" t="s">
        <v>1484</v>
      </c>
      <c r="D72" t="s">
        <v>1485</v>
      </c>
      <c r="E72" t="s">
        <v>16</v>
      </c>
      <c r="F72" t="s">
        <v>1486</v>
      </c>
      <c r="G72" s="2">
        <v>0.3611111111111111</v>
      </c>
      <c r="H72" t="s">
        <v>1200</v>
      </c>
      <c r="I72" t="s">
        <v>1201</v>
      </c>
      <c r="L72" t="s">
        <v>1202</v>
      </c>
      <c r="X72" t="s">
        <v>525</v>
      </c>
      <c r="Y72">
        <v>2</v>
      </c>
      <c r="Z72" t="s">
        <v>1245</v>
      </c>
      <c r="AB72" t="s">
        <v>776</v>
      </c>
      <c r="AC72">
        <v>3</v>
      </c>
      <c r="AD72" t="s">
        <v>1266</v>
      </c>
    </row>
    <row r="73" spans="1:33" x14ac:dyDescent="0.3">
      <c r="A73" t="s">
        <v>508</v>
      </c>
      <c r="B73" t="s">
        <v>1487</v>
      </c>
      <c r="C73" t="s">
        <v>1488</v>
      </c>
      <c r="D73" t="s">
        <v>1489</v>
      </c>
      <c r="E73" t="s">
        <v>16</v>
      </c>
      <c r="F73" t="s">
        <v>1490</v>
      </c>
      <c r="G73" s="2">
        <v>0.35416666666666669</v>
      </c>
      <c r="H73" t="s">
        <v>1200</v>
      </c>
      <c r="I73" t="s">
        <v>1201</v>
      </c>
      <c r="K73" t="s">
        <v>1250</v>
      </c>
      <c r="X73" t="s">
        <v>776</v>
      </c>
      <c r="Y73">
        <v>2</v>
      </c>
      <c r="Z73" t="s">
        <v>1266</v>
      </c>
      <c r="AB73" t="s">
        <v>498</v>
      </c>
      <c r="AC73">
        <v>3</v>
      </c>
      <c r="AD73" t="s">
        <v>1491</v>
      </c>
    </row>
    <row r="74" spans="1:33" x14ac:dyDescent="0.3">
      <c r="A74" t="s">
        <v>508</v>
      </c>
      <c r="B74" t="s">
        <v>1492</v>
      </c>
      <c r="C74" t="s">
        <v>1493</v>
      </c>
      <c r="D74" t="s">
        <v>1494</v>
      </c>
      <c r="E74" t="s">
        <v>16</v>
      </c>
      <c r="F74" t="s">
        <v>1495</v>
      </c>
      <c r="G74" s="2">
        <v>0.34722222222222227</v>
      </c>
      <c r="H74" t="s">
        <v>1200</v>
      </c>
      <c r="I74" t="s">
        <v>1201</v>
      </c>
      <c r="K74" t="s">
        <v>1250</v>
      </c>
      <c r="X74" t="s">
        <v>776</v>
      </c>
      <c r="Y74">
        <v>3</v>
      </c>
      <c r="Z74" t="s">
        <v>1245</v>
      </c>
      <c r="AB74" t="s">
        <v>752</v>
      </c>
      <c r="AC74">
        <v>6</v>
      </c>
      <c r="AD74" t="s">
        <v>1496</v>
      </c>
    </row>
    <row r="75" spans="1:33" x14ac:dyDescent="0.3">
      <c r="A75" t="s">
        <v>508</v>
      </c>
      <c r="B75" t="s">
        <v>1497</v>
      </c>
      <c r="C75" t="s">
        <v>1498</v>
      </c>
      <c r="D75" t="s">
        <v>1499</v>
      </c>
      <c r="E75" t="s">
        <v>16</v>
      </c>
      <c r="F75" t="s">
        <v>1500</v>
      </c>
      <c r="G75" s="2">
        <v>0.34027777777777773</v>
      </c>
      <c r="H75" t="s">
        <v>1200</v>
      </c>
      <c r="I75" t="s">
        <v>1201</v>
      </c>
      <c r="M75" t="s">
        <v>1501</v>
      </c>
      <c r="X75" t="s">
        <v>498</v>
      </c>
      <c r="Y75">
        <v>2</v>
      </c>
      <c r="Z75" t="s">
        <v>1228</v>
      </c>
      <c r="AB75" t="s">
        <v>776</v>
      </c>
      <c r="AC75">
        <v>2</v>
      </c>
      <c r="AD75" t="s">
        <v>1502</v>
      </c>
      <c r="AE75" t="s">
        <v>752</v>
      </c>
      <c r="AF75">
        <v>3</v>
      </c>
      <c r="AG75" t="s">
        <v>1266</v>
      </c>
    </row>
    <row r="76" spans="1:33" x14ac:dyDescent="0.3">
      <c r="A76" t="s">
        <v>513</v>
      </c>
      <c r="B76" t="s">
        <v>1503</v>
      </c>
      <c r="C76" t="s">
        <v>1504</v>
      </c>
      <c r="D76" t="s">
        <v>1505</v>
      </c>
      <c r="E76" t="s">
        <v>16</v>
      </c>
      <c r="F76" t="s">
        <v>1506</v>
      </c>
      <c r="G76" s="2">
        <v>0.72916666666666663</v>
      </c>
      <c r="H76" t="s">
        <v>1200</v>
      </c>
      <c r="I76" t="s">
        <v>1201</v>
      </c>
      <c r="L76" t="s">
        <v>1202</v>
      </c>
      <c r="X76" t="s">
        <v>776</v>
      </c>
      <c r="Y76">
        <v>2</v>
      </c>
      <c r="Z76" t="s">
        <v>1203</v>
      </c>
    </row>
    <row r="77" spans="1:33" x14ac:dyDescent="0.3">
      <c r="A77" t="s">
        <v>513</v>
      </c>
      <c r="B77" t="s">
        <v>1507</v>
      </c>
      <c r="C77" t="s">
        <v>1508</v>
      </c>
      <c r="D77" t="s">
        <v>1509</v>
      </c>
      <c r="E77" t="s">
        <v>16</v>
      </c>
      <c r="F77" t="s">
        <v>1510</v>
      </c>
      <c r="G77" s="2">
        <v>0.72222222222222221</v>
      </c>
      <c r="H77" t="s">
        <v>1200</v>
      </c>
      <c r="I77" t="s">
        <v>1201</v>
      </c>
      <c r="M77" t="s">
        <v>1464</v>
      </c>
      <c r="X77" t="s">
        <v>776</v>
      </c>
      <c r="Y77">
        <v>2</v>
      </c>
      <c r="Z77" t="s">
        <v>1465</v>
      </c>
    </row>
    <row r="78" spans="1:33" x14ac:dyDescent="0.3">
      <c r="A78" t="s">
        <v>513</v>
      </c>
      <c r="B78" t="s">
        <v>1511</v>
      </c>
      <c r="C78" t="s">
        <v>1512</v>
      </c>
      <c r="D78" t="s">
        <v>1513</v>
      </c>
      <c r="E78" t="s">
        <v>16</v>
      </c>
      <c r="F78" t="s">
        <v>1514</v>
      </c>
      <c r="G78" s="2">
        <v>0.71527777777777779</v>
      </c>
      <c r="H78" t="s">
        <v>1200</v>
      </c>
      <c r="I78" t="s">
        <v>1201</v>
      </c>
      <c r="M78" t="s">
        <v>1292</v>
      </c>
      <c r="X78" t="s">
        <v>776</v>
      </c>
      <c r="Y78">
        <v>2</v>
      </c>
      <c r="Z78" t="s">
        <v>1245</v>
      </c>
    </row>
    <row r="79" spans="1:33" x14ac:dyDescent="0.3">
      <c r="A79" t="s">
        <v>513</v>
      </c>
      <c r="B79" t="s">
        <v>1515</v>
      </c>
      <c r="C79" t="s">
        <v>1516</v>
      </c>
      <c r="D79" t="s">
        <v>1517</v>
      </c>
      <c r="E79" t="s">
        <v>16</v>
      </c>
      <c r="F79" t="s">
        <v>1304</v>
      </c>
      <c r="G79" s="2">
        <v>0.70833333333333337</v>
      </c>
      <c r="H79" t="s">
        <v>1200</v>
      </c>
      <c r="I79" t="s">
        <v>1201</v>
      </c>
      <c r="K79" t="s">
        <v>1250</v>
      </c>
    </row>
    <row r="80" spans="1:33" x14ac:dyDescent="0.3">
      <c r="A80" t="s">
        <v>513</v>
      </c>
      <c r="B80" t="s">
        <v>1518</v>
      </c>
      <c r="C80" t="s">
        <v>1519</v>
      </c>
      <c r="D80" t="s">
        <v>1520</v>
      </c>
      <c r="E80" t="s">
        <v>16</v>
      </c>
      <c r="F80" t="s">
        <v>1308</v>
      </c>
      <c r="G80" s="2">
        <v>0.70138888888888884</v>
      </c>
      <c r="H80" t="s">
        <v>1200</v>
      </c>
      <c r="I80" t="s">
        <v>1201</v>
      </c>
      <c r="L80" t="s">
        <v>1222</v>
      </c>
    </row>
    <row r="81" spans="1:30" x14ac:dyDescent="0.3">
      <c r="A81" t="s">
        <v>513</v>
      </c>
      <c r="B81" t="s">
        <v>1521</v>
      </c>
      <c r="C81" t="s">
        <v>1522</v>
      </c>
      <c r="D81" t="s">
        <v>1523</v>
      </c>
      <c r="E81" t="s">
        <v>16</v>
      </c>
      <c r="F81" t="s">
        <v>1313</v>
      </c>
      <c r="G81" s="2">
        <v>0.69444444444444453</v>
      </c>
      <c r="H81" t="s">
        <v>1200</v>
      </c>
      <c r="I81" t="s">
        <v>1201</v>
      </c>
      <c r="K81" t="s">
        <v>1250</v>
      </c>
    </row>
    <row r="82" spans="1:30" x14ac:dyDescent="0.3">
      <c r="A82" t="s">
        <v>513</v>
      </c>
      <c r="B82" t="s">
        <v>1524</v>
      </c>
      <c r="C82" t="s">
        <v>1525</v>
      </c>
      <c r="D82" t="s">
        <v>1526</v>
      </c>
      <c r="E82" t="s">
        <v>16</v>
      </c>
      <c r="F82" t="s">
        <v>1317</v>
      </c>
      <c r="G82" s="2">
        <v>0.6875</v>
      </c>
      <c r="H82" t="s">
        <v>1200</v>
      </c>
      <c r="I82" t="s">
        <v>1201</v>
      </c>
      <c r="K82" t="s">
        <v>1250</v>
      </c>
    </row>
    <row r="83" spans="1:30" x14ac:dyDescent="0.3">
      <c r="A83" t="s">
        <v>513</v>
      </c>
      <c r="B83" t="s">
        <v>1527</v>
      </c>
      <c r="C83" t="s">
        <v>1528</v>
      </c>
      <c r="D83" t="s">
        <v>1529</v>
      </c>
      <c r="E83" t="s">
        <v>16</v>
      </c>
      <c r="F83" t="s">
        <v>1321</v>
      </c>
      <c r="G83" s="2">
        <v>0.68055555555555547</v>
      </c>
      <c r="H83" t="s">
        <v>1200</v>
      </c>
      <c r="I83" t="s">
        <v>1201</v>
      </c>
      <c r="L83" t="s">
        <v>1283</v>
      </c>
      <c r="X83" t="s">
        <v>776</v>
      </c>
      <c r="Y83">
        <v>2</v>
      </c>
      <c r="Z83" t="s">
        <v>1228</v>
      </c>
    </row>
    <row r="84" spans="1:30" x14ac:dyDescent="0.3">
      <c r="A84" t="s">
        <v>513</v>
      </c>
      <c r="B84" t="s">
        <v>1530</v>
      </c>
      <c r="C84" t="s">
        <v>1531</v>
      </c>
      <c r="D84" t="s">
        <v>1532</v>
      </c>
      <c r="E84" t="s">
        <v>16</v>
      </c>
      <c r="F84" t="s">
        <v>1325</v>
      </c>
      <c r="G84" s="2">
        <v>0.67361111111111116</v>
      </c>
      <c r="H84" t="s">
        <v>1200</v>
      </c>
      <c r="I84" t="s">
        <v>1201</v>
      </c>
      <c r="K84" t="s">
        <v>1250</v>
      </c>
      <c r="X84" t="s">
        <v>776</v>
      </c>
      <c r="Y84">
        <v>3</v>
      </c>
      <c r="Z84" t="s">
        <v>1266</v>
      </c>
      <c r="AB84" t="s">
        <v>498</v>
      </c>
      <c r="AC84">
        <v>3</v>
      </c>
      <c r="AD84" t="s">
        <v>1266</v>
      </c>
    </row>
    <row r="85" spans="1:30" x14ac:dyDescent="0.3">
      <c r="A85" t="s">
        <v>513</v>
      </c>
      <c r="B85" t="s">
        <v>1533</v>
      </c>
      <c r="C85" t="s">
        <v>1534</v>
      </c>
      <c r="D85" t="s">
        <v>1535</v>
      </c>
      <c r="E85" t="s">
        <v>16</v>
      </c>
      <c r="F85" t="s">
        <v>1329</v>
      </c>
      <c r="G85" s="2">
        <v>0.66666666666666663</v>
      </c>
      <c r="H85" t="s">
        <v>1200</v>
      </c>
      <c r="I85" t="s">
        <v>1201</v>
      </c>
      <c r="L85" t="s">
        <v>1222</v>
      </c>
      <c r="R85" t="s">
        <v>1536</v>
      </c>
      <c r="S85" t="s">
        <v>1224</v>
      </c>
      <c r="T85" t="s">
        <v>1225</v>
      </c>
      <c r="X85" t="s">
        <v>525</v>
      </c>
      <c r="Y85">
        <v>3</v>
      </c>
      <c r="Z85" t="s">
        <v>1228</v>
      </c>
      <c r="AB85" t="s">
        <v>498</v>
      </c>
      <c r="AC85">
        <v>3</v>
      </c>
      <c r="AD85" t="s">
        <v>1228</v>
      </c>
    </row>
    <row r="86" spans="1:30" x14ac:dyDescent="0.3">
      <c r="A86" t="s">
        <v>513</v>
      </c>
      <c r="B86" t="s">
        <v>1537</v>
      </c>
      <c r="C86" t="s">
        <v>1538</v>
      </c>
      <c r="D86" t="s">
        <v>1539</v>
      </c>
      <c r="E86" t="s">
        <v>16</v>
      </c>
      <c r="F86" t="s">
        <v>1333</v>
      </c>
      <c r="G86" s="2">
        <v>0.65972222222222221</v>
      </c>
      <c r="H86" t="s">
        <v>1200</v>
      </c>
      <c r="I86" t="s">
        <v>1201</v>
      </c>
      <c r="K86" t="s">
        <v>1250</v>
      </c>
      <c r="X86" t="s">
        <v>498</v>
      </c>
      <c r="Y86">
        <v>2</v>
      </c>
      <c r="Z86" t="s">
        <v>1228</v>
      </c>
      <c r="AB86" t="s">
        <v>525</v>
      </c>
      <c r="AC86">
        <v>3</v>
      </c>
      <c r="AD86" t="s">
        <v>1228</v>
      </c>
    </row>
    <row r="87" spans="1:30" x14ac:dyDescent="0.3">
      <c r="A87" t="s">
        <v>513</v>
      </c>
      <c r="B87" t="s">
        <v>1540</v>
      </c>
      <c r="C87" t="s">
        <v>1541</v>
      </c>
      <c r="D87" t="s">
        <v>1542</v>
      </c>
      <c r="E87" t="s">
        <v>16</v>
      </c>
      <c r="F87" t="s">
        <v>1338</v>
      </c>
      <c r="G87" s="2">
        <v>0.65277777777777779</v>
      </c>
      <c r="H87" t="s">
        <v>1200</v>
      </c>
      <c r="I87" t="s">
        <v>1201</v>
      </c>
      <c r="K87" t="s">
        <v>1250</v>
      </c>
    </row>
    <row r="88" spans="1:30" x14ac:dyDescent="0.3">
      <c r="A88" t="s">
        <v>513</v>
      </c>
      <c r="B88" t="s">
        <v>1543</v>
      </c>
      <c r="C88" t="s">
        <v>1544</v>
      </c>
      <c r="D88" t="s">
        <v>1545</v>
      </c>
      <c r="E88" t="s">
        <v>16</v>
      </c>
      <c r="F88" t="s">
        <v>1342</v>
      </c>
      <c r="G88" s="2">
        <v>0.64583333333333337</v>
      </c>
      <c r="H88" t="s">
        <v>1200</v>
      </c>
      <c r="I88" t="s">
        <v>1201</v>
      </c>
      <c r="K88" t="s">
        <v>1250</v>
      </c>
      <c r="X88" t="s">
        <v>498</v>
      </c>
      <c r="Y88">
        <v>3</v>
      </c>
      <c r="Z88" t="s">
        <v>1266</v>
      </c>
    </row>
    <row r="89" spans="1:30" x14ac:dyDescent="0.3">
      <c r="A89" t="s">
        <v>513</v>
      </c>
      <c r="B89" t="s">
        <v>1546</v>
      </c>
      <c r="C89" t="s">
        <v>1547</v>
      </c>
      <c r="D89" t="s">
        <v>1548</v>
      </c>
      <c r="E89" t="s">
        <v>16</v>
      </c>
      <c r="F89" t="s">
        <v>1346</v>
      </c>
      <c r="G89" s="2">
        <v>0.63888888888888895</v>
      </c>
      <c r="H89" t="s">
        <v>1200</v>
      </c>
      <c r="I89" t="s">
        <v>1201</v>
      </c>
      <c r="L89" t="s">
        <v>1255</v>
      </c>
    </row>
    <row r="90" spans="1:30" x14ac:dyDescent="0.3">
      <c r="A90" t="s">
        <v>513</v>
      </c>
      <c r="B90" s="3" t="s">
        <v>1549</v>
      </c>
      <c r="C90" t="s">
        <v>1550</v>
      </c>
      <c r="D90" t="s">
        <v>1551</v>
      </c>
      <c r="E90" t="s">
        <v>16</v>
      </c>
      <c r="F90" t="s">
        <v>1350</v>
      </c>
      <c r="G90" s="2">
        <v>0.63194444444444442</v>
      </c>
      <c r="H90" t="s">
        <v>1200</v>
      </c>
      <c r="I90" t="s">
        <v>1201</v>
      </c>
      <c r="L90" t="s">
        <v>1202</v>
      </c>
      <c r="X90" t="s">
        <v>498</v>
      </c>
      <c r="Y90">
        <v>5</v>
      </c>
      <c r="Z90" t="s">
        <v>1203</v>
      </c>
    </row>
    <row r="91" spans="1:30" x14ac:dyDescent="0.3">
      <c r="A91" t="s">
        <v>513</v>
      </c>
      <c r="B91" t="s">
        <v>1552</v>
      </c>
      <c r="C91" t="s">
        <v>1553</v>
      </c>
      <c r="D91" t="s">
        <v>1554</v>
      </c>
      <c r="E91" t="s">
        <v>16</v>
      </c>
      <c r="F91" t="s">
        <v>1354</v>
      </c>
      <c r="G91" s="2">
        <v>0.625</v>
      </c>
      <c r="H91" t="s">
        <v>1200</v>
      </c>
      <c r="I91" t="s">
        <v>1201</v>
      </c>
      <c r="L91" t="s">
        <v>1202</v>
      </c>
      <c r="X91" t="s">
        <v>498</v>
      </c>
      <c r="Y91">
        <v>5</v>
      </c>
      <c r="Z91" t="s">
        <v>1203</v>
      </c>
    </row>
    <row r="92" spans="1:30" x14ac:dyDescent="0.3">
      <c r="A92" t="s">
        <v>513</v>
      </c>
      <c r="B92" t="s">
        <v>1555</v>
      </c>
      <c r="C92" t="s">
        <v>1556</v>
      </c>
      <c r="D92" t="s">
        <v>1557</v>
      </c>
      <c r="E92" t="s">
        <v>16</v>
      </c>
      <c r="F92" t="s">
        <v>1558</v>
      </c>
      <c r="G92" s="2">
        <v>0.61805555555555558</v>
      </c>
      <c r="H92" t="s">
        <v>1200</v>
      </c>
      <c r="I92" t="s">
        <v>1201</v>
      </c>
      <c r="L92" t="s">
        <v>1202</v>
      </c>
      <c r="X92" t="s">
        <v>1100</v>
      </c>
      <c r="Y92">
        <v>2</v>
      </c>
      <c r="Z92" t="s">
        <v>1203</v>
      </c>
      <c r="AB92" t="s">
        <v>525</v>
      </c>
      <c r="AC92">
        <v>3</v>
      </c>
      <c r="AD92" t="s">
        <v>1203</v>
      </c>
    </row>
    <row r="93" spans="1:30" x14ac:dyDescent="0.3">
      <c r="A93" t="s">
        <v>513</v>
      </c>
      <c r="B93" t="s">
        <v>1559</v>
      </c>
      <c r="C93" t="s">
        <v>1560</v>
      </c>
      <c r="D93" t="s">
        <v>1561</v>
      </c>
      <c r="E93" t="s">
        <v>16</v>
      </c>
      <c r="F93" t="s">
        <v>1358</v>
      </c>
      <c r="G93" s="2">
        <v>0.61111111111111105</v>
      </c>
      <c r="H93" t="s">
        <v>1200</v>
      </c>
      <c r="I93" t="s">
        <v>1201</v>
      </c>
      <c r="L93" t="s">
        <v>1202</v>
      </c>
      <c r="X93" t="s">
        <v>776</v>
      </c>
      <c r="Y93">
        <v>2</v>
      </c>
      <c r="Z93" t="s">
        <v>1203</v>
      </c>
      <c r="AB93" t="s">
        <v>498</v>
      </c>
      <c r="AC93">
        <v>3</v>
      </c>
      <c r="AD93" t="s">
        <v>1203</v>
      </c>
    </row>
    <row r="94" spans="1:30" x14ac:dyDescent="0.3">
      <c r="A94" t="s">
        <v>513</v>
      </c>
      <c r="B94" t="s">
        <v>1562</v>
      </c>
      <c r="C94" t="s">
        <v>1563</v>
      </c>
      <c r="D94" t="s">
        <v>1564</v>
      </c>
      <c r="E94" t="s">
        <v>16</v>
      </c>
      <c r="F94" t="s">
        <v>1362</v>
      </c>
      <c r="G94" s="2">
        <v>0.60416666666666663</v>
      </c>
      <c r="H94" t="s">
        <v>1200</v>
      </c>
      <c r="I94" t="s">
        <v>1201</v>
      </c>
      <c r="L94" t="s">
        <v>1363</v>
      </c>
      <c r="X94" t="s">
        <v>776</v>
      </c>
      <c r="Y94">
        <v>1</v>
      </c>
      <c r="Z94" t="s">
        <v>1396</v>
      </c>
      <c r="AB94" t="s">
        <v>498</v>
      </c>
      <c r="AC94">
        <v>2</v>
      </c>
      <c r="AD94" t="s">
        <v>1396</v>
      </c>
    </row>
    <row r="95" spans="1:30" x14ac:dyDescent="0.3">
      <c r="A95" t="s">
        <v>513</v>
      </c>
      <c r="B95" t="s">
        <v>1565</v>
      </c>
      <c r="C95" t="s">
        <v>1566</v>
      </c>
      <c r="D95" t="s">
        <v>1567</v>
      </c>
      <c r="E95" t="s">
        <v>16</v>
      </c>
      <c r="F95" t="s">
        <v>1367</v>
      </c>
      <c r="G95" s="2">
        <v>0.59722222222222221</v>
      </c>
      <c r="H95" t="s">
        <v>1200</v>
      </c>
      <c r="I95" t="s">
        <v>1201</v>
      </c>
      <c r="L95" t="s">
        <v>1363</v>
      </c>
      <c r="X95" t="s">
        <v>776</v>
      </c>
      <c r="Y95">
        <v>1</v>
      </c>
      <c r="Z95" t="s">
        <v>1396</v>
      </c>
      <c r="AB95" t="s">
        <v>498</v>
      </c>
      <c r="AC95">
        <v>2</v>
      </c>
      <c r="AD95" t="s">
        <v>1396</v>
      </c>
    </row>
    <row r="96" spans="1:30" x14ac:dyDescent="0.3">
      <c r="A96" t="s">
        <v>513</v>
      </c>
      <c r="B96" t="s">
        <v>1568</v>
      </c>
      <c r="C96" t="s">
        <v>1569</v>
      </c>
      <c r="D96" t="s">
        <v>1570</v>
      </c>
      <c r="E96" t="s">
        <v>16</v>
      </c>
      <c r="F96" t="s">
        <v>1371</v>
      </c>
      <c r="G96" s="2">
        <v>0.59027777777777779</v>
      </c>
      <c r="H96" t="s">
        <v>1200</v>
      </c>
      <c r="I96" t="s">
        <v>1201</v>
      </c>
      <c r="L96" t="s">
        <v>1363</v>
      </c>
      <c r="X96" t="s">
        <v>776</v>
      </c>
      <c r="Y96">
        <v>1</v>
      </c>
      <c r="Z96" t="s">
        <v>1396</v>
      </c>
      <c r="AB96" t="s">
        <v>498</v>
      </c>
      <c r="AC96">
        <v>2</v>
      </c>
      <c r="AD96" t="s">
        <v>1396</v>
      </c>
    </row>
    <row r="97" spans="1:33" x14ac:dyDescent="0.3">
      <c r="A97" t="s">
        <v>513</v>
      </c>
      <c r="B97" t="s">
        <v>1571</v>
      </c>
      <c r="C97" t="s">
        <v>1572</v>
      </c>
      <c r="D97" t="s">
        <v>1573</v>
      </c>
      <c r="E97" t="s">
        <v>16</v>
      </c>
      <c r="F97" t="s">
        <v>1199</v>
      </c>
      <c r="G97" s="2">
        <v>0.58333333333333337</v>
      </c>
      <c r="H97" t="s">
        <v>1200</v>
      </c>
      <c r="I97" t="s">
        <v>1201</v>
      </c>
      <c r="L97" t="s">
        <v>1363</v>
      </c>
      <c r="X97" t="s">
        <v>776</v>
      </c>
      <c r="Y97">
        <v>1</v>
      </c>
      <c r="Z97" t="s">
        <v>1396</v>
      </c>
      <c r="AB97" t="s">
        <v>498</v>
      </c>
      <c r="AC97">
        <v>2</v>
      </c>
      <c r="AD97" t="s">
        <v>1396</v>
      </c>
    </row>
    <row r="98" spans="1:33" x14ac:dyDescent="0.3">
      <c r="A98" t="s">
        <v>513</v>
      </c>
      <c r="B98" t="s">
        <v>1574</v>
      </c>
      <c r="C98" t="s">
        <v>1575</v>
      </c>
      <c r="D98" t="s">
        <v>1576</v>
      </c>
      <c r="E98" t="s">
        <v>16</v>
      </c>
      <c r="F98" t="s">
        <v>1207</v>
      </c>
      <c r="G98" s="2">
        <v>0.57638888888888895</v>
      </c>
      <c r="H98" t="s">
        <v>1200</v>
      </c>
      <c r="I98" t="s">
        <v>1201</v>
      </c>
      <c r="L98" t="s">
        <v>1202</v>
      </c>
      <c r="X98" t="s">
        <v>776</v>
      </c>
      <c r="Y98">
        <v>1</v>
      </c>
      <c r="Z98" t="s">
        <v>1203</v>
      </c>
      <c r="AB98" t="s">
        <v>498</v>
      </c>
      <c r="AC98">
        <v>2</v>
      </c>
      <c r="AD98" t="s">
        <v>1203</v>
      </c>
    </row>
    <row r="99" spans="1:33" x14ac:dyDescent="0.3">
      <c r="A99" t="s">
        <v>513</v>
      </c>
      <c r="B99" t="s">
        <v>1577</v>
      </c>
      <c r="C99" t="s">
        <v>1578</v>
      </c>
      <c r="D99" t="s">
        <v>1579</v>
      </c>
      <c r="E99" t="s">
        <v>16</v>
      </c>
      <c r="F99" t="s">
        <v>1211</v>
      </c>
      <c r="G99" s="2">
        <v>0.56944444444444442</v>
      </c>
      <c r="H99" t="s">
        <v>1200</v>
      </c>
      <c r="I99" t="s">
        <v>1201</v>
      </c>
      <c r="L99" t="s">
        <v>1202</v>
      </c>
      <c r="X99" t="s">
        <v>776</v>
      </c>
      <c r="Y99">
        <v>1</v>
      </c>
      <c r="Z99" t="s">
        <v>1203</v>
      </c>
      <c r="AB99" t="s">
        <v>498</v>
      </c>
      <c r="AC99">
        <v>2</v>
      </c>
      <c r="AD99" t="s">
        <v>1203</v>
      </c>
    </row>
    <row r="100" spans="1:33" x14ac:dyDescent="0.3">
      <c r="A100" t="s">
        <v>513</v>
      </c>
      <c r="B100" s="3" t="s">
        <v>1580</v>
      </c>
      <c r="C100" t="s">
        <v>1581</v>
      </c>
      <c r="D100" t="s">
        <v>1582</v>
      </c>
      <c r="E100" t="s">
        <v>16</v>
      </c>
      <c r="F100" t="s">
        <v>1215</v>
      </c>
      <c r="G100" s="2">
        <v>0.5625</v>
      </c>
      <c r="H100" t="s">
        <v>1200</v>
      </c>
      <c r="I100" t="s">
        <v>1201</v>
      </c>
      <c r="L100" t="s">
        <v>1202</v>
      </c>
      <c r="X100" t="s">
        <v>776</v>
      </c>
      <c r="Y100">
        <v>1</v>
      </c>
      <c r="Z100" t="s">
        <v>1396</v>
      </c>
      <c r="AB100" t="s">
        <v>498</v>
      </c>
      <c r="AC100">
        <v>2</v>
      </c>
      <c r="AD100" t="s">
        <v>1203</v>
      </c>
    </row>
    <row r="101" spans="1:33" x14ac:dyDescent="0.3">
      <c r="A101" t="s">
        <v>513</v>
      </c>
      <c r="B101" t="s">
        <v>1583</v>
      </c>
      <c r="C101" t="s">
        <v>1584</v>
      </c>
      <c r="D101" t="s">
        <v>1585</v>
      </c>
      <c r="E101" t="s">
        <v>16</v>
      </c>
      <c r="F101" t="s">
        <v>1221</v>
      </c>
      <c r="G101" s="2">
        <v>0.55555555555555558</v>
      </c>
      <c r="H101" t="s">
        <v>1200</v>
      </c>
      <c r="I101" t="s">
        <v>1201</v>
      </c>
      <c r="L101" t="s">
        <v>1363</v>
      </c>
      <c r="X101" t="s">
        <v>776</v>
      </c>
      <c r="Y101">
        <v>1</v>
      </c>
      <c r="Z101" t="s">
        <v>1203</v>
      </c>
      <c r="AB101" t="s">
        <v>498</v>
      </c>
      <c r="AC101">
        <v>2</v>
      </c>
      <c r="AD101" t="s">
        <v>1396</v>
      </c>
    </row>
    <row r="102" spans="1:33" x14ac:dyDescent="0.3">
      <c r="A102" t="s">
        <v>513</v>
      </c>
      <c r="B102" t="s">
        <v>1586</v>
      </c>
      <c r="C102" t="s">
        <v>1587</v>
      </c>
      <c r="D102" t="s">
        <v>1588</v>
      </c>
      <c r="E102" t="s">
        <v>16</v>
      </c>
      <c r="F102" t="s">
        <v>1232</v>
      </c>
      <c r="G102" s="2">
        <v>0.54861111111111105</v>
      </c>
      <c r="H102" t="s">
        <v>1200</v>
      </c>
      <c r="I102" t="s">
        <v>1201</v>
      </c>
      <c r="L102" t="s">
        <v>1363</v>
      </c>
      <c r="X102" t="s">
        <v>776</v>
      </c>
      <c r="Y102">
        <v>1</v>
      </c>
      <c r="Z102" t="s">
        <v>1203</v>
      </c>
      <c r="AB102" t="s">
        <v>498</v>
      </c>
      <c r="AC102">
        <v>2</v>
      </c>
      <c r="AD102" t="s">
        <v>1396</v>
      </c>
    </row>
    <row r="103" spans="1:33" x14ac:dyDescent="0.3">
      <c r="A103" t="s">
        <v>513</v>
      </c>
      <c r="B103" t="s">
        <v>1589</v>
      </c>
      <c r="C103" t="s">
        <v>1590</v>
      </c>
      <c r="D103" t="s">
        <v>1591</v>
      </c>
      <c r="E103" t="s">
        <v>16</v>
      </c>
      <c r="F103" t="s">
        <v>1236</v>
      </c>
      <c r="G103" s="2">
        <v>0.54166666666666663</v>
      </c>
      <c r="H103" t="s">
        <v>1200</v>
      </c>
      <c r="I103" t="s">
        <v>1201</v>
      </c>
      <c r="L103" t="s">
        <v>1202</v>
      </c>
      <c r="X103" t="s">
        <v>776</v>
      </c>
      <c r="Y103">
        <v>1</v>
      </c>
      <c r="Z103" t="s">
        <v>1203</v>
      </c>
      <c r="AB103" t="s">
        <v>498</v>
      </c>
      <c r="AC103">
        <v>2</v>
      </c>
      <c r="AD103" t="s">
        <v>1396</v>
      </c>
    </row>
    <row r="104" spans="1:33" x14ac:dyDescent="0.3">
      <c r="A104" t="s">
        <v>513</v>
      </c>
      <c r="B104" t="s">
        <v>1592</v>
      </c>
      <c r="C104" t="s">
        <v>1593</v>
      </c>
      <c r="D104" t="s">
        <v>1594</v>
      </c>
      <c r="E104" t="s">
        <v>16</v>
      </c>
      <c r="F104" t="s">
        <v>1240</v>
      </c>
      <c r="G104" s="2">
        <v>0.53472222222222221</v>
      </c>
      <c r="H104" t="s">
        <v>1200</v>
      </c>
      <c r="I104" t="s">
        <v>1201</v>
      </c>
      <c r="L104" t="s">
        <v>1222</v>
      </c>
      <c r="R104" t="s">
        <v>1536</v>
      </c>
      <c r="X104" t="s">
        <v>498</v>
      </c>
      <c r="Y104">
        <v>3</v>
      </c>
      <c r="Z104" t="s">
        <v>1595</v>
      </c>
      <c r="AA104" t="s">
        <v>1596</v>
      </c>
      <c r="AB104" t="s">
        <v>776</v>
      </c>
      <c r="AC104">
        <v>3</v>
      </c>
      <c r="AD104" t="s">
        <v>1228</v>
      </c>
    </row>
    <row r="105" spans="1:33" x14ac:dyDescent="0.3">
      <c r="A105" t="s">
        <v>513</v>
      </c>
      <c r="B105" s="3" t="s">
        <v>1597</v>
      </c>
      <c r="C105" t="s">
        <v>1598</v>
      </c>
      <c r="D105" t="s">
        <v>1599</v>
      </c>
      <c r="E105" t="s">
        <v>16</v>
      </c>
      <c r="F105" t="s">
        <v>1244</v>
      </c>
      <c r="G105" s="2">
        <v>0.52777777777777779</v>
      </c>
      <c r="H105" t="s">
        <v>1200</v>
      </c>
      <c r="I105" t="s">
        <v>1201</v>
      </c>
      <c r="L105" t="s">
        <v>1202</v>
      </c>
      <c r="X105" t="s">
        <v>498</v>
      </c>
      <c r="Y105">
        <v>3</v>
      </c>
      <c r="Z105" t="s">
        <v>1396</v>
      </c>
      <c r="AB105" t="s">
        <v>776</v>
      </c>
      <c r="AC105">
        <v>3</v>
      </c>
      <c r="AD105" t="s">
        <v>1203</v>
      </c>
    </row>
    <row r="106" spans="1:33" x14ac:dyDescent="0.3">
      <c r="A106" t="s">
        <v>513</v>
      </c>
      <c r="B106" t="s">
        <v>1600</v>
      </c>
      <c r="C106" t="s">
        <v>1601</v>
      </c>
      <c r="D106" t="s">
        <v>1602</v>
      </c>
      <c r="E106" t="s">
        <v>16</v>
      </c>
      <c r="F106" t="s">
        <v>1249</v>
      </c>
      <c r="G106" s="2">
        <v>0.52083333333333337</v>
      </c>
      <c r="H106" t="s">
        <v>1200</v>
      </c>
      <c r="I106" t="s">
        <v>1201</v>
      </c>
      <c r="L106" t="s">
        <v>1363</v>
      </c>
      <c r="X106" t="s">
        <v>498</v>
      </c>
      <c r="Y106">
        <v>3</v>
      </c>
      <c r="Z106" t="s">
        <v>1203</v>
      </c>
      <c r="AB106" t="s">
        <v>776</v>
      </c>
      <c r="AC106">
        <v>3</v>
      </c>
      <c r="AD106" t="s">
        <v>1203</v>
      </c>
    </row>
    <row r="107" spans="1:33" x14ac:dyDescent="0.3">
      <c r="A107" t="s">
        <v>513</v>
      </c>
      <c r="B107" t="s">
        <v>1603</v>
      </c>
      <c r="C107" t="s">
        <v>1604</v>
      </c>
      <c r="D107" t="s">
        <v>1605</v>
      </c>
      <c r="E107" t="s">
        <v>16</v>
      </c>
      <c r="F107" t="s">
        <v>1406</v>
      </c>
      <c r="G107" s="2">
        <v>0.51388888888888895</v>
      </c>
      <c r="H107" t="s">
        <v>1200</v>
      </c>
      <c r="I107" t="s">
        <v>1201</v>
      </c>
      <c r="L107" t="s">
        <v>1363</v>
      </c>
      <c r="X107" t="s">
        <v>498</v>
      </c>
      <c r="Y107">
        <v>3</v>
      </c>
      <c r="Z107" t="s">
        <v>1228</v>
      </c>
      <c r="AB107" t="s">
        <v>776</v>
      </c>
      <c r="AC107">
        <v>3</v>
      </c>
      <c r="AD107" t="s">
        <v>1396</v>
      </c>
    </row>
    <row r="108" spans="1:33" x14ac:dyDescent="0.3">
      <c r="A108" t="s">
        <v>513</v>
      </c>
      <c r="B108" t="s">
        <v>1606</v>
      </c>
      <c r="C108" t="s">
        <v>1607</v>
      </c>
      <c r="D108" t="s">
        <v>1608</v>
      </c>
      <c r="E108" t="s">
        <v>16</v>
      </c>
      <c r="F108" t="s">
        <v>1254</v>
      </c>
      <c r="G108" s="2">
        <v>0.50694444444444442</v>
      </c>
      <c r="H108" t="s">
        <v>1200</v>
      </c>
      <c r="I108" t="s">
        <v>1201</v>
      </c>
      <c r="L108" t="s">
        <v>1202</v>
      </c>
      <c r="X108" t="s">
        <v>498</v>
      </c>
      <c r="Y108">
        <v>3</v>
      </c>
      <c r="Z108" t="s">
        <v>1203</v>
      </c>
      <c r="AB108" t="s">
        <v>776</v>
      </c>
      <c r="AC108">
        <v>3</v>
      </c>
      <c r="AD108" t="s">
        <v>1203</v>
      </c>
    </row>
    <row r="109" spans="1:33" x14ac:dyDescent="0.3">
      <c r="A109" t="s">
        <v>513</v>
      </c>
      <c r="B109" t="s">
        <v>1609</v>
      </c>
      <c r="C109" t="s">
        <v>1610</v>
      </c>
      <c r="D109" t="s">
        <v>1611</v>
      </c>
      <c r="E109" t="s">
        <v>16</v>
      </c>
      <c r="F109" t="s">
        <v>1259</v>
      </c>
      <c r="G109" s="2">
        <v>0.5</v>
      </c>
      <c r="H109" t="s">
        <v>1200</v>
      </c>
      <c r="I109" t="s">
        <v>1201</v>
      </c>
      <c r="L109" t="s">
        <v>1202</v>
      </c>
      <c r="X109" t="s">
        <v>776</v>
      </c>
      <c r="Y109">
        <v>3</v>
      </c>
      <c r="Z109" t="s">
        <v>1203</v>
      </c>
      <c r="AB109" t="s">
        <v>498</v>
      </c>
      <c r="AC109">
        <v>3</v>
      </c>
      <c r="AD109" t="s">
        <v>1203</v>
      </c>
    </row>
    <row r="110" spans="1:33" x14ac:dyDescent="0.3">
      <c r="A110" t="s">
        <v>513</v>
      </c>
      <c r="B110" t="s">
        <v>1612</v>
      </c>
      <c r="C110" t="s">
        <v>1613</v>
      </c>
      <c r="D110" t="s">
        <v>1614</v>
      </c>
      <c r="E110" t="s">
        <v>16</v>
      </c>
      <c r="F110" t="s">
        <v>1265</v>
      </c>
      <c r="G110" s="2">
        <v>0.49305555555555558</v>
      </c>
      <c r="H110" t="s">
        <v>1200</v>
      </c>
      <c r="I110" t="s">
        <v>1201</v>
      </c>
      <c r="L110" t="s">
        <v>1202</v>
      </c>
      <c r="X110" t="s">
        <v>776</v>
      </c>
      <c r="Y110">
        <v>2</v>
      </c>
      <c r="Z110" t="s">
        <v>1203</v>
      </c>
      <c r="AB110" t="s">
        <v>498</v>
      </c>
      <c r="AC110">
        <v>3</v>
      </c>
      <c r="AD110" t="s">
        <v>1203</v>
      </c>
      <c r="AE110" t="s">
        <v>776</v>
      </c>
      <c r="AF110">
        <v>3</v>
      </c>
      <c r="AG110" t="s">
        <v>1203</v>
      </c>
    </row>
    <row r="111" spans="1:33" x14ac:dyDescent="0.3">
      <c r="A111" t="s">
        <v>513</v>
      </c>
      <c r="B111" t="s">
        <v>1615</v>
      </c>
      <c r="C111" t="s">
        <v>1616</v>
      </c>
      <c r="D111" t="s">
        <v>1617</v>
      </c>
      <c r="E111" t="s">
        <v>16</v>
      </c>
      <c r="F111" t="s">
        <v>1270</v>
      </c>
      <c r="G111" s="2">
        <v>0.4861111111111111</v>
      </c>
      <c r="H111" t="s">
        <v>1200</v>
      </c>
      <c r="I111" t="s">
        <v>1201</v>
      </c>
      <c r="L111" t="s">
        <v>1222</v>
      </c>
      <c r="X111" t="s">
        <v>1618</v>
      </c>
      <c r="Y111">
        <v>2</v>
      </c>
      <c r="Z111" t="s">
        <v>1203</v>
      </c>
      <c r="AB111" t="s">
        <v>776</v>
      </c>
      <c r="AC111">
        <v>2</v>
      </c>
      <c r="AD111" t="s">
        <v>1266</v>
      </c>
    </row>
    <row r="112" spans="1:33" x14ac:dyDescent="0.3">
      <c r="A112" t="s">
        <v>513</v>
      </c>
      <c r="B112" t="s">
        <v>1619</v>
      </c>
      <c r="C112" t="s">
        <v>1620</v>
      </c>
      <c r="D112" t="s">
        <v>1621</v>
      </c>
      <c r="E112" t="s">
        <v>16</v>
      </c>
      <c r="F112" t="s">
        <v>1274</v>
      </c>
      <c r="G112" s="2">
        <v>0.47916666666666669</v>
      </c>
      <c r="H112" t="s">
        <v>1200</v>
      </c>
      <c r="I112" t="s">
        <v>1201</v>
      </c>
      <c r="L112" t="s">
        <v>1202</v>
      </c>
      <c r="X112" t="s">
        <v>1618</v>
      </c>
      <c r="Y112">
        <v>2</v>
      </c>
      <c r="Z112" t="s">
        <v>1203</v>
      </c>
      <c r="AB112" t="s">
        <v>776</v>
      </c>
      <c r="AC112">
        <v>3</v>
      </c>
      <c r="AD112" t="s">
        <v>1228</v>
      </c>
    </row>
    <row r="113" spans="1:33" x14ac:dyDescent="0.3">
      <c r="A113" t="s">
        <v>513</v>
      </c>
      <c r="B113" t="s">
        <v>1622</v>
      </c>
      <c r="C113" t="s">
        <v>1623</v>
      </c>
      <c r="D113" t="s">
        <v>1624</v>
      </c>
      <c r="E113" t="s">
        <v>16</v>
      </c>
      <c r="F113" t="s">
        <v>1278</v>
      </c>
      <c r="G113" s="2">
        <v>0.47222222222222227</v>
      </c>
      <c r="H113" t="s">
        <v>1200</v>
      </c>
      <c r="I113" t="s">
        <v>1201</v>
      </c>
      <c r="L113" t="s">
        <v>1202</v>
      </c>
      <c r="X113" t="s">
        <v>1618</v>
      </c>
      <c r="Y113">
        <v>2</v>
      </c>
      <c r="Z113" t="s">
        <v>1203</v>
      </c>
      <c r="AB113" t="s">
        <v>776</v>
      </c>
      <c r="AC113">
        <v>3</v>
      </c>
      <c r="AD113" t="s">
        <v>1203</v>
      </c>
      <c r="AE113" t="s">
        <v>752</v>
      </c>
      <c r="AF113">
        <v>4</v>
      </c>
      <c r="AG113" t="s">
        <v>1203</v>
      </c>
    </row>
    <row r="114" spans="1:33" x14ac:dyDescent="0.3">
      <c r="A114" t="s">
        <v>513</v>
      </c>
      <c r="B114" t="s">
        <v>1625</v>
      </c>
      <c r="C114" t="s">
        <v>1626</v>
      </c>
      <c r="D114" t="s">
        <v>1627</v>
      </c>
      <c r="E114" t="s">
        <v>16</v>
      </c>
      <c r="F114" t="s">
        <v>1282</v>
      </c>
      <c r="G114" s="2">
        <v>0.46527777777777773</v>
      </c>
      <c r="H114" t="s">
        <v>1200</v>
      </c>
      <c r="I114" t="s">
        <v>1201</v>
      </c>
      <c r="L114" t="s">
        <v>1222</v>
      </c>
      <c r="X114" t="s">
        <v>752</v>
      </c>
      <c r="Y114">
        <v>2</v>
      </c>
      <c r="Z114" t="s">
        <v>1245</v>
      </c>
      <c r="AB114" t="s">
        <v>776</v>
      </c>
      <c r="AC114">
        <v>3</v>
      </c>
      <c r="AD114" t="s">
        <v>1245</v>
      </c>
    </row>
    <row r="115" spans="1:33" x14ac:dyDescent="0.3">
      <c r="A115" t="s">
        <v>513</v>
      </c>
      <c r="B115" t="s">
        <v>1628</v>
      </c>
      <c r="C115" t="s">
        <v>1629</v>
      </c>
      <c r="D115" t="s">
        <v>1630</v>
      </c>
      <c r="E115" t="s">
        <v>16</v>
      </c>
      <c r="F115" t="s">
        <v>1287</v>
      </c>
      <c r="G115" s="2">
        <v>0.45833333333333331</v>
      </c>
      <c r="H115" t="s">
        <v>1200</v>
      </c>
      <c r="I115" t="s">
        <v>1201</v>
      </c>
      <c r="K115" t="s">
        <v>1250</v>
      </c>
    </row>
    <row r="116" spans="1:33" x14ac:dyDescent="0.3">
      <c r="A116" t="s">
        <v>513</v>
      </c>
      <c r="B116" t="s">
        <v>1631</v>
      </c>
      <c r="C116" t="s">
        <v>1632</v>
      </c>
      <c r="D116" t="s">
        <v>1633</v>
      </c>
      <c r="E116" t="s">
        <v>16</v>
      </c>
      <c r="F116" t="s">
        <v>1291</v>
      </c>
      <c r="G116" s="2">
        <v>0.4513888888888889</v>
      </c>
      <c r="H116" t="s">
        <v>1200</v>
      </c>
      <c r="I116" t="s">
        <v>1201</v>
      </c>
      <c r="M116" t="s">
        <v>1216</v>
      </c>
      <c r="X116" t="s">
        <v>776</v>
      </c>
      <c r="Y116">
        <v>2</v>
      </c>
      <c r="Z116" t="s">
        <v>1217</v>
      </c>
    </row>
    <row r="117" spans="1:33" x14ac:dyDescent="0.3">
      <c r="A117" t="s">
        <v>513</v>
      </c>
      <c r="B117" t="s">
        <v>1634</v>
      </c>
      <c r="C117" t="s">
        <v>1635</v>
      </c>
      <c r="D117" t="s">
        <v>1636</v>
      </c>
      <c r="E117" t="s">
        <v>16</v>
      </c>
      <c r="F117" t="s">
        <v>1296</v>
      </c>
      <c r="G117" s="2">
        <v>0.44444444444444442</v>
      </c>
      <c r="H117" t="s">
        <v>1200</v>
      </c>
      <c r="I117" t="s">
        <v>1201</v>
      </c>
      <c r="K117" t="s">
        <v>1250</v>
      </c>
      <c r="X117" t="s">
        <v>776</v>
      </c>
      <c r="Y117">
        <v>3</v>
      </c>
      <c r="Z117" t="s">
        <v>1266</v>
      </c>
      <c r="AB117" t="s">
        <v>498</v>
      </c>
      <c r="AC117">
        <v>4</v>
      </c>
      <c r="AD117" t="s">
        <v>1228</v>
      </c>
    </row>
    <row r="118" spans="1:33" x14ac:dyDescent="0.3">
      <c r="A118" t="s">
        <v>513</v>
      </c>
      <c r="B118" t="s">
        <v>1637</v>
      </c>
      <c r="C118" t="s">
        <v>1638</v>
      </c>
      <c r="D118" t="s">
        <v>1639</v>
      </c>
      <c r="E118" t="s">
        <v>16</v>
      </c>
      <c r="F118" t="s">
        <v>1274</v>
      </c>
      <c r="G118" s="2">
        <v>0.47916666666666669</v>
      </c>
      <c r="H118" t="s">
        <v>1200</v>
      </c>
      <c r="I118" t="s">
        <v>1201</v>
      </c>
      <c r="M118" t="s">
        <v>1640</v>
      </c>
      <c r="X118" t="s">
        <v>776</v>
      </c>
      <c r="Y118">
        <v>3</v>
      </c>
      <c r="Z118" t="s">
        <v>1465</v>
      </c>
    </row>
    <row r="119" spans="1:33" x14ac:dyDescent="0.3">
      <c r="A119" t="s">
        <v>513</v>
      </c>
      <c r="B119" t="s">
        <v>1641</v>
      </c>
      <c r="C119" t="s">
        <v>1642</v>
      </c>
      <c r="D119" t="s">
        <v>1643</v>
      </c>
      <c r="E119" t="s">
        <v>16</v>
      </c>
      <c r="F119" t="s">
        <v>1443</v>
      </c>
      <c r="G119" s="2">
        <v>0.43055555555555558</v>
      </c>
      <c r="H119" t="s">
        <v>1200</v>
      </c>
      <c r="I119" t="s">
        <v>1201</v>
      </c>
      <c r="M119" t="s">
        <v>1464</v>
      </c>
      <c r="X119" t="s">
        <v>776</v>
      </c>
      <c r="Y119">
        <v>2</v>
      </c>
      <c r="Z119" t="s">
        <v>1203</v>
      </c>
      <c r="AB119" t="s">
        <v>498</v>
      </c>
      <c r="AC119">
        <v>3</v>
      </c>
      <c r="AD119" t="s">
        <v>1228</v>
      </c>
    </row>
    <row r="120" spans="1:33" x14ac:dyDescent="0.3">
      <c r="A120" t="s">
        <v>513</v>
      </c>
      <c r="B120" t="s">
        <v>1644</v>
      </c>
      <c r="C120" t="s">
        <v>1645</v>
      </c>
      <c r="D120" t="s">
        <v>1646</v>
      </c>
      <c r="E120" t="s">
        <v>16</v>
      </c>
      <c r="F120" t="s">
        <v>1447</v>
      </c>
      <c r="G120" s="2">
        <v>0.4236111111111111</v>
      </c>
      <c r="H120" t="s">
        <v>1200</v>
      </c>
      <c r="I120" t="s">
        <v>1201</v>
      </c>
      <c r="K120" t="s">
        <v>1250</v>
      </c>
      <c r="X120" t="s">
        <v>776</v>
      </c>
      <c r="Y120">
        <v>2</v>
      </c>
      <c r="Z120" t="s">
        <v>1266</v>
      </c>
      <c r="AB120" t="s">
        <v>525</v>
      </c>
      <c r="AC120">
        <v>2</v>
      </c>
      <c r="AD120" t="s">
        <v>1266</v>
      </c>
      <c r="AE120" t="s">
        <v>752</v>
      </c>
      <c r="AF120">
        <v>3</v>
      </c>
      <c r="AG120" t="s">
        <v>1465</v>
      </c>
    </row>
    <row r="121" spans="1:33" x14ac:dyDescent="0.3">
      <c r="A121" t="s">
        <v>513</v>
      </c>
      <c r="B121" t="s">
        <v>1647</v>
      </c>
      <c r="C121" t="s">
        <v>1648</v>
      </c>
      <c r="D121" t="s">
        <v>1649</v>
      </c>
      <c r="E121" t="s">
        <v>16</v>
      </c>
      <c r="F121" t="s">
        <v>1451</v>
      </c>
      <c r="G121" s="2">
        <v>0.41666666666666669</v>
      </c>
      <c r="H121" t="s">
        <v>1200</v>
      </c>
      <c r="I121" t="s">
        <v>1201</v>
      </c>
      <c r="M121" t="s">
        <v>1464</v>
      </c>
      <c r="X121" t="s">
        <v>776</v>
      </c>
      <c r="Y121">
        <v>2</v>
      </c>
      <c r="Z121" t="s">
        <v>1203</v>
      </c>
      <c r="AB121" t="s">
        <v>752</v>
      </c>
      <c r="AC121">
        <v>3</v>
      </c>
      <c r="AD121" t="s">
        <v>1261</v>
      </c>
      <c r="AE121" t="s">
        <v>525</v>
      </c>
      <c r="AF121">
        <v>3</v>
      </c>
      <c r="AG121" t="s">
        <v>1465</v>
      </c>
    </row>
    <row r="122" spans="1:33" x14ac:dyDescent="0.3">
      <c r="A122" t="s">
        <v>513</v>
      </c>
      <c r="B122" t="s">
        <v>1650</v>
      </c>
      <c r="C122" t="s">
        <v>1651</v>
      </c>
      <c r="D122" t="s">
        <v>1652</v>
      </c>
      <c r="E122" t="s">
        <v>16</v>
      </c>
      <c r="F122" t="s">
        <v>1455</v>
      </c>
      <c r="G122" s="2">
        <v>0.40972222222222227</v>
      </c>
      <c r="H122" t="s">
        <v>1200</v>
      </c>
      <c r="I122" t="s">
        <v>1201</v>
      </c>
      <c r="M122" t="s">
        <v>1464</v>
      </c>
      <c r="X122" t="s">
        <v>776</v>
      </c>
      <c r="Y122">
        <v>1</v>
      </c>
      <c r="Z122" t="s">
        <v>1203</v>
      </c>
      <c r="AB122" t="s">
        <v>752</v>
      </c>
      <c r="AC122">
        <v>3</v>
      </c>
      <c r="AD122" t="s">
        <v>1465</v>
      </c>
      <c r="AE122" t="s">
        <v>525</v>
      </c>
      <c r="AF122">
        <v>2</v>
      </c>
      <c r="AG122" t="s">
        <v>1465</v>
      </c>
    </row>
    <row r="123" spans="1:33" x14ac:dyDescent="0.3">
      <c r="A123" t="s">
        <v>517</v>
      </c>
      <c r="B123" t="s">
        <v>1653</v>
      </c>
      <c r="C123" t="s">
        <v>1654</v>
      </c>
      <c r="D123" t="s">
        <v>1655</v>
      </c>
      <c r="E123" t="s">
        <v>16</v>
      </c>
      <c r="F123" t="s">
        <v>1321</v>
      </c>
      <c r="G123" s="2">
        <v>0.68055555555555547</v>
      </c>
      <c r="H123" t="s">
        <v>1200</v>
      </c>
      <c r="I123" t="s">
        <v>1201</v>
      </c>
      <c r="L123" t="s">
        <v>1363</v>
      </c>
    </row>
    <row r="124" spans="1:33" x14ac:dyDescent="0.3">
      <c r="A124" t="s">
        <v>517</v>
      </c>
      <c r="B124" t="s">
        <v>1656</v>
      </c>
      <c r="C124" t="s">
        <v>1657</v>
      </c>
      <c r="D124" t="s">
        <v>1658</v>
      </c>
      <c r="E124" t="s">
        <v>16</v>
      </c>
      <c r="F124" t="s">
        <v>1325</v>
      </c>
      <c r="G124" s="2">
        <v>0.67361111111111116</v>
      </c>
      <c r="H124" t="s">
        <v>1200</v>
      </c>
      <c r="I124" t="s">
        <v>1201</v>
      </c>
      <c r="L124" t="s">
        <v>1363</v>
      </c>
    </row>
    <row r="125" spans="1:33" x14ac:dyDescent="0.3">
      <c r="A125" t="s">
        <v>517</v>
      </c>
      <c r="B125" t="s">
        <v>1659</v>
      </c>
      <c r="C125" t="s">
        <v>1660</v>
      </c>
      <c r="D125" t="s">
        <v>1661</v>
      </c>
      <c r="E125" t="s">
        <v>16</v>
      </c>
      <c r="F125" t="s">
        <v>1329</v>
      </c>
      <c r="G125" s="2">
        <v>0.66666666666666663</v>
      </c>
      <c r="H125" t="s">
        <v>1200</v>
      </c>
      <c r="I125" t="s">
        <v>1201</v>
      </c>
      <c r="L125" t="s">
        <v>1363</v>
      </c>
    </row>
    <row r="126" spans="1:33" x14ac:dyDescent="0.3">
      <c r="A126" t="s">
        <v>517</v>
      </c>
      <c r="B126" t="s">
        <v>1662</v>
      </c>
      <c r="C126" t="s">
        <v>1663</v>
      </c>
      <c r="D126" t="s">
        <v>1664</v>
      </c>
      <c r="E126" t="s">
        <v>16</v>
      </c>
      <c r="F126" t="s">
        <v>1333</v>
      </c>
      <c r="G126" s="2">
        <v>0.65972222222222221</v>
      </c>
      <c r="H126" t="s">
        <v>1200</v>
      </c>
      <c r="I126" t="s">
        <v>1201</v>
      </c>
      <c r="L126" t="s">
        <v>1202</v>
      </c>
      <c r="X126" t="s">
        <v>776</v>
      </c>
      <c r="Y126">
        <v>3</v>
      </c>
      <c r="Z126" t="s">
        <v>1203</v>
      </c>
    </row>
    <row r="127" spans="1:33" x14ac:dyDescent="0.3">
      <c r="A127" t="s">
        <v>517</v>
      </c>
      <c r="B127" t="s">
        <v>1665</v>
      </c>
      <c r="C127" t="s">
        <v>1666</v>
      </c>
      <c r="D127" t="s">
        <v>1667</v>
      </c>
      <c r="E127" t="s">
        <v>16</v>
      </c>
      <c r="F127" t="s">
        <v>1338</v>
      </c>
      <c r="G127" s="2">
        <v>0.65277777777777779</v>
      </c>
      <c r="H127" t="s">
        <v>1668</v>
      </c>
      <c r="I127" t="s">
        <v>1201</v>
      </c>
      <c r="L127" t="s">
        <v>1202</v>
      </c>
      <c r="X127" t="s">
        <v>776</v>
      </c>
      <c r="Y127">
        <v>3</v>
      </c>
      <c r="Z127" t="s">
        <v>1203</v>
      </c>
    </row>
    <row r="128" spans="1:33" x14ac:dyDescent="0.3">
      <c r="A128" t="s">
        <v>517</v>
      </c>
      <c r="B128" t="s">
        <v>1669</v>
      </c>
      <c r="C128" t="s">
        <v>1670</v>
      </c>
      <c r="D128" t="s">
        <v>1671</v>
      </c>
      <c r="E128" t="s">
        <v>16</v>
      </c>
      <c r="F128" t="s">
        <v>1342</v>
      </c>
      <c r="G128" s="2">
        <v>0.64583333333333337</v>
      </c>
      <c r="H128" t="s">
        <v>1200</v>
      </c>
      <c r="I128" t="s">
        <v>1201</v>
      </c>
      <c r="L128" t="s">
        <v>1202</v>
      </c>
      <c r="X128" t="s">
        <v>776</v>
      </c>
      <c r="Y128">
        <v>3</v>
      </c>
      <c r="Z128" t="s">
        <v>1203</v>
      </c>
    </row>
    <row r="129" spans="1:33" x14ac:dyDescent="0.3">
      <c r="A129" t="s">
        <v>517</v>
      </c>
      <c r="B129" t="s">
        <v>1672</v>
      </c>
      <c r="C129" t="s">
        <v>1673</v>
      </c>
      <c r="D129" t="s">
        <v>1674</v>
      </c>
      <c r="E129" t="s">
        <v>16</v>
      </c>
      <c r="F129" t="s">
        <v>1346</v>
      </c>
      <c r="G129" s="2">
        <v>0.63888888888888895</v>
      </c>
      <c r="H129" t="s">
        <v>1200</v>
      </c>
      <c r="I129" t="s">
        <v>1201</v>
      </c>
      <c r="L129" t="s">
        <v>1222</v>
      </c>
      <c r="R129" t="s">
        <v>1675</v>
      </c>
      <c r="S129" t="s">
        <v>364</v>
      </c>
      <c r="T129" t="s">
        <v>1676</v>
      </c>
      <c r="U129" t="s">
        <v>1677</v>
      </c>
    </row>
    <row r="130" spans="1:33" x14ac:dyDescent="0.3">
      <c r="A130" t="s">
        <v>517</v>
      </c>
      <c r="B130" t="s">
        <v>1678</v>
      </c>
      <c r="C130" t="s">
        <v>1679</v>
      </c>
      <c r="D130" t="s">
        <v>1680</v>
      </c>
      <c r="E130" t="s">
        <v>16</v>
      </c>
      <c r="F130" t="s">
        <v>1350</v>
      </c>
      <c r="G130" s="2">
        <v>0.63194444444444442</v>
      </c>
      <c r="H130" t="s">
        <v>1200</v>
      </c>
      <c r="I130" t="s">
        <v>1201</v>
      </c>
      <c r="M130" t="s">
        <v>1292</v>
      </c>
      <c r="R130" t="s">
        <v>1681</v>
      </c>
      <c r="S130" t="s">
        <v>364</v>
      </c>
      <c r="T130" t="s">
        <v>1676</v>
      </c>
      <c r="U130" t="s">
        <v>1677</v>
      </c>
      <c r="X130" t="s">
        <v>525</v>
      </c>
      <c r="Y130">
        <v>2</v>
      </c>
      <c r="Z130" t="s">
        <v>1228</v>
      </c>
    </row>
    <row r="131" spans="1:33" x14ac:dyDescent="0.3">
      <c r="A131" t="s">
        <v>517</v>
      </c>
      <c r="B131" t="s">
        <v>1682</v>
      </c>
      <c r="C131" t="s">
        <v>1683</v>
      </c>
      <c r="D131" t="s">
        <v>1684</v>
      </c>
      <c r="E131" t="s">
        <v>16</v>
      </c>
      <c r="F131" t="s">
        <v>1354</v>
      </c>
      <c r="G131" s="2">
        <v>0.625</v>
      </c>
      <c r="H131" t="s">
        <v>1200</v>
      </c>
      <c r="I131" t="s">
        <v>1201</v>
      </c>
      <c r="M131" t="s">
        <v>1292</v>
      </c>
      <c r="X131" t="s">
        <v>776</v>
      </c>
      <c r="Y131">
        <v>3</v>
      </c>
      <c r="Z131" t="s">
        <v>1245</v>
      </c>
      <c r="AB131" t="s">
        <v>752</v>
      </c>
      <c r="AC131">
        <v>3</v>
      </c>
      <c r="AD131" t="s">
        <v>1245</v>
      </c>
    </row>
    <row r="132" spans="1:33" x14ac:dyDescent="0.3">
      <c r="A132" t="s">
        <v>517</v>
      </c>
      <c r="B132" t="s">
        <v>1685</v>
      </c>
      <c r="C132" t="s">
        <v>1686</v>
      </c>
      <c r="D132" t="s">
        <v>1687</v>
      </c>
      <c r="E132" t="s">
        <v>16</v>
      </c>
      <c r="F132" t="s">
        <v>1558</v>
      </c>
      <c r="G132" s="2">
        <v>0.61805555555555558</v>
      </c>
      <c r="H132" t="s">
        <v>1200</v>
      </c>
      <c r="I132" t="s">
        <v>1201</v>
      </c>
      <c r="K132" t="s">
        <v>1250</v>
      </c>
    </row>
    <row r="133" spans="1:33" x14ac:dyDescent="0.3">
      <c r="A133" t="s">
        <v>517</v>
      </c>
      <c r="B133" t="s">
        <v>1688</v>
      </c>
      <c r="C133" t="s">
        <v>1689</v>
      </c>
      <c r="D133" t="s">
        <v>1690</v>
      </c>
      <c r="E133" t="s">
        <v>16</v>
      </c>
      <c r="F133" t="s">
        <v>1358</v>
      </c>
      <c r="G133" s="2">
        <v>0.61111111111111105</v>
      </c>
      <c r="H133" t="s">
        <v>1200</v>
      </c>
      <c r="I133" t="s">
        <v>1201</v>
      </c>
      <c r="K133" t="s">
        <v>1250</v>
      </c>
    </row>
    <row r="134" spans="1:33" x14ac:dyDescent="0.3">
      <c r="A134" t="s">
        <v>517</v>
      </c>
      <c r="B134" t="s">
        <v>1691</v>
      </c>
      <c r="C134" t="s">
        <v>1692</v>
      </c>
      <c r="D134" t="s">
        <v>1693</v>
      </c>
      <c r="E134" t="s">
        <v>16</v>
      </c>
      <c r="F134" t="s">
        <v>1362</v>
      </c>
      <c r="G134" s="2">
        <v>0.60416666666666663</v>
      </c>
      <c r="H134" t="s">
        <v>1200</v>
      </c>
      <c r="I134" t="s">
        <v>1201</v>
      </c>
      <c r="K134" t="s">
        <v>1250</v>
      </c>
    </row>
    <row r="135" spans="1:33" x14ac:dyDescent="0.3">
      <c r="A135" t="s">
        <v>517</v>
      </c>
      <c r="B135" t="s">
        <v>1694</v>
      </c>
      <c r="C135" t="s">
        <v>1695</v>
      </c>
      <c r="D135" t="s">
        <v>1696</v>
      </c>
      <c r="E135" t="s">
        <v>16</v>
      </c>
      <c r="F135" t="s">
        <v>1367</v>
      </c>
      <c r="G135" s="2">
        <v>0.59722222222222221</v>
      </c>
      <c r="H135" t="s">
        <v>1200</v>
      </c>
      <c r="I135" t="s">
        <v>1201</v>
      </c>
      <c r="K135" t="s">
        <v>1250</v>
      </c>
    </row>
    <row r="136" spans="1:33" x14ac:dyDescent="0.3">
      <c r="A136" t="s">
        <v>517</v>
      </c>
      <c r="B136" t="s">
        <v>1697</v>
      </c>
      <c r="C136" t="s">
        <v>1698</v>
      </c>
      <c r="D136" t="s">
        <v>1699</v>
      </c>
      <c r="E136" t="s">
        <v>16</v>
      </c>
      <c r="F136" t="s">
        <v>1371</v>
      </c>
      <c r="G136" s="2">
        <v>0.59027777777777779</v>
      </c>
      <c r="H136" t="s">
        <v>1200</v>
      </c>
      <c r="I136" t="s">
        <v>1201</v>
      </c>
      <c r="K136" t="s">
        <v>1250</v>
      </c>
    </row>
    <row r="137" spans="1:33" x14ac:dyDescent="0.3">
      <c r="A137" t="s">
        <v>521</v>
      </c>
      <c r="B137" t="s">
        <v>1700</v>
      </c>
      <c r="C137" t="s">
        <v>1701</v>
      </c>
      <c r="D137" t="s">
        <v>1702</v>
      </c>
      <c r="E137" t="s">
        <v>16</v>
      </c>
      <c r="F137" t="s">
        <v>1207</v>
      </c>
      <c r="G137" s="2">
        <v>0.57638888888888895</v>
      </c>
      <c r="H137" t="s">
        <v>1200</v>
      </c>
      <c r="I137" t="s">
        <v>1201</v>
      </c>
      <c r="M137" t="s">
        <v>1292</v>
      </c>
      <c r="R137" t="s">
        <v>1681</v>
      </c>
      <c r="S137" t="s">
        <v>364</v>
      </c>
      <c r="T137" t="s">
        <v>1703</v>
      </c>
      <c r="U137" t="s">
        <v>1677</v>
      </c>
      <c r="X137" t="s">
        <v>752</v>
      </c>
      <c r="Y137">
        <v>2</v>
      </c>
      <c r="Z137" t="s">
        <v>1704</v>
      </c>
      <c r="AB137" t="s">
        <v>498</v>
      </c>
      <c r="AC137">
        <v>3</v>
      </c>
      <c r="AD137" t="s">
        <v>1704</v>
      </c>
    </row>
    <row r="138" spans="1:33" x14ac:dyDescent="0.3">
      <c r="A138" t="s">
        <v>521</v>
      </c>
      <c r="B138" t="s">
        <v>1705</v>
      </c>
      <c r="C138" t="s">
        <v>1706</v>
      </c>
      <c r="D138" t="s">
        <v>1707</v>
      </c>
      <c r="E138" t="s">
        <v>16</v>
      </c>
      <c r="F138" t="s">
        <v>1211</v>
      </c>
      <c r="G138" s="2">
        <v>0.56944444444444442</v>
      </c>
      <c r="H138" t="s">
        <v>1200</v>
      </c>
      <c r="I138" t="s">
        <v>1201</v>
      </c>
      <c r="M138" t="s">
        <v>1292</v>
      </c>
      <c r="R138" t="s">
        <v>1223</v>
      </c>
      <c r="S138" t="s">
        <v>364</v>
      </c>
      <c r="T138" t="s">
        <v>1703</v>
      </c>
      <c r="U138" t="s">
        <v>1677</v>
      </c>
      <c r="X138" t="s">
        <v>752</v>
      </c>
      <c r="Y138">
        <v>2</v>
      </c>
      <c r="Z138" t="s">
        <v>1228</v>
      </c>
      <c r="AB138" t="s">
        <v>498</v>
      </c>
      <c r="AC138">
        <v>3</v>
      </c>
      <c r="AD138" t="s">
        <v>1704</v>
      </c>
    </row>
    <row r="139" spans="1:33" x14ac:dyDescent="0.3">
      <c r="A139" t="s">
        <v>521</v>
      </c>
      <c r="B139" t="s">
        <v>1708</v>
      </c>
      <c r="C139" t="s">
        <v>1709</v>
      </c>
      <c r="D139" t="s">
        <v>1710</v>
      </c>
      <c r="E139" t="s">
        <v>16</v>
      </c>
      <c r="F139" t="s">
        <v>1215</v>
      </c>
      <c r="G139" s="2">
        <v>0.5625</v>
      </c>
      <c r="H139" t="s">
        <v>1200</v>
      </c>
      <c r="I139" t="s">
        <v>1201</v>
      </c>
      <c r="M139" t="s">
        <v>1292</v>
      </c>
      <c r="S139" t="s">
        <v>364</v>
      </c>
      <c r="T139" t="s">
        <v>1703</v>
      </c>
      <c r="U139" t="s">
        <v>1677</v>
      </c>
      <c r="X139" t="s">
        <v>752</v>
      </c>
      <c r="Y139">
        <v>2</v>
      </c>
      <c r="Z139" t="s">
        <v>1245</v>
      </c>
      <c r="AB139" t="s">
        <v>498</v>
      </c>
      <c r="AC139">
        <v>3</v>
      </c>
      <c r="AD139" t="s">
        <v>1228</v>
      </c>
    </row>
    <row r="140" spans="1:33" x14ac:dyDescent="0.3">
      <c r="A140" t="s">
        <v>521</v>
      </c>
      <c r="B140" t="s">
        <v>1711</v>
      </c>
      <c r="C140" t="s">
        <v>1712</v>
      </c>
      <c r="D140" t="s">
        <v>1713</v>
      </c>
      <c r="E140" t="s">
        <v>16</v>
      </c>
      <c r="F140" t="s">
        <v>1221</v>
      </c>
      <c r="G140" s="2">
        <v>0.55555555555555558</v>
      </c>
      <c r="H140" t="s">
        <v>1200</v>
      </c>
      <c r="I140" t="s">
        <v>1201</v>
      </c>
      <c r="L140" t="s">
        <v>1222</v>
      </c>
      <c r="R140" t="s">
        <v>1223</v>
      </c>
      <c r="S140" t="s">
        <v>364</v>
      </c>
      <c r="T140" t="s">
        <v>1676</v>
      </c>
      <c r="U140" t="s">
        <v>1677</v>
      </c>
      <c r="X140" t="s">
        <v>752</v>
      </c>
      <c r="Y140">
        <v>2</v>
      </c>
      <c r="Z140" t="s">
        <v>1228</v>
      </c>
      <c r="AB140" t="s">
        <v>498</v>
      </c>
      <c r="AC140">
        <v>3</v>
      </c>
      <c r="AD140" t="s">
        <v>1704</v>
      </c>
    </row>
    <row r="141" spans="1:33" x14ac:dyDescent="0.3">
      <c r="A141" t="s">
        <v>521</v>
      </c>
      <c r="B141" t="s">
        <v>1714</v>
      </c>
      <c r="C141" t="s">
        <v>1715</v>
      </c>
      <c r="D141" t="s">
        <v>1716</v>
      </c>
      <c r="E141" t="s">
        <v>16</v>
      </c>
      <c r="F141" t="s">
        <v>1232</v>
      </c>
      <c r="G141" s="2">
        <v>0.54861111111111105</v>
      </c>
      <c r="H141" t="s">
        <v>1200</v>
      </c>
      <c r="I141" t="s">
        <v>1201</v>
      </c>
      <c r="L141" t="s">
        <v>1222</v>
      </c>
      <c r="R141" t="s">
        <v>1223</v>
      </c>
      <c r="S141" t="s">
        <v>364</v>
      </c>
      <c r="T141" t="s">
        <v>1703</v>
      </c>
      <c r="U141" t="s">
        <v>1677</v>
      </c>
      <c r="X141" t="s">
        <v>498</v>
      </c>
      <c r="Y141">
        <v>3</v>
      </c>
      <c r="Z141" t="s">
        <v>1717</v>
      </c>
      <c r="AB141" t="s">
        <v>752</v>
      </c>
      <c r="AC141">
        <v>3</v>
      </c>
      <c r="AD141" t="s">
        <v>1717</v>
      </c>
    </row>
    <row r="142" spans="1:33" x14ac:dyDescent="0.3">
      <c r="A142" t="s">
        <v>521</v>
      </c>
      <c r="B142" t="s">
        <v>1718</v>
      </c>
      <c r="C142" t="s">
        <v>1719</v>
      </c>
      <c r="D142" t="s">
        <v>1720</v>
      </c>
      <c r="E142" t="s">
        <v>16</v>
      </c>
      <c r="F142" t="s">
        <v>1236</v>
      </c>
      <c r="G142" s="2">
        <v>0.54166666666666663</v>
      </c>
      <c r="H142" t="s">
        <v>1200</v>
      </c>
      <c r="I142" t="s">
        <v>1201</v>
      </c>
      <c r="K142" t="s">
        <v>1250</v>
      </c>
      <c r="X142" t="s">
        <v>752</v>
      </c>
      <c r="Y142">
        <v>2</v>
      </c>
      <c r="Z142" t="s">
        <v>1266</v>
      </c>
      <c r="AB142" t="s">
        <v>498</v>
      </c>
      <c r="AC142">
        <v>3</v>
      </c>
      <c r="AD142" t="s">
        <v>1228</v>
      </c>
    </row>
    <row r="143" spans="1:33" x14ac:dyDescent="0.3">
      <c r="A143" t="s">
        <v>521</v>
      </c>
      <c r="B143" t="s">
        <v>1721</v>
      </c>
      <c r="C143" t="s">
        <v>1722</v>
      </c>
      <c r="D143" t="s">
        <v>1723</v>
      </c>
      <c r="E143" t="s">
        <v>16</v>
      </c>
      <c r="F143" t="s">
        <v>1240</v>
      </c>
      <c r="G143" s="2">
        <v>0.53472222222222221</v>
      </c>
      <c r="H143" t="s">
        <v>1200</v>
      </c>
      <c r="I143" t="s">
        <v>1201</v>
      </c>
      <c r="K143" t="s">
        <v>1250</v>
      </c>
      <c r="X143" t="s">
        <v>752</v>
      </c>
      <c r="Y143">
        <v>2</v>
      </c>
      <c r="Z143" t="s">
        <v>1266</v>
      </c>
      <c r="AB143" t="s">
        <v>498</v>
      </c>
      <c r="AC143">
        <v>3</v>
      </c>
      <c r="AD143" t="s">
        <v>1266</v>
      </c>
    </row>
    <row r="144" spans="1:33" x14ac:dyDescent="0.3">
      <c r="A144" t="s">
        <v>521</v>
      </c>
      <c r="B144" t="s">
        <v>1724</v>
      </c>
      <c r="C144" t="s">
        <v>1725</v>
      </c>
      <c r="D144" t="s">
        <v>1726</v>
      </c>
      <c r="E144" t="s">
        <v>16</v>
      </c>
      <c r="F144" t="s">
        <v>1244</v>
      </c>
      <c r="G144" s="2">
        <v>0.52777777777777779</v>
      </c>
      <c r="H144" t="s">
        <v>1200</v>
      </c>
      <c r="I144" t="s">
        <v>1201</v>
      </c>
      <c r="K144" t="s">
        <v>1250</v>
      </c>
      <c r="X144" t="s">
        <v>752</v>
      </c>
      <c r="Y144">
        <v>2</v>
      </c>
      <c r="Z144" t="s">
        <v>1228</v>
      </c>
      <c r="AB144" t="s">
        <v>498</v>
      </c>
      <c r="AC144">
        <v>4</v>
      </c>
      <c r="AD144" t="s">
        <v>1717</v>
      </c>
      <c r="AE144" t="s">
        <v>776</v>
      </c>
      <c r="AF144">
        <v>3</v>
      </c>
      <c r="AG144" t="s">
        <v>1228</v>
      </c>
    </row>
    <row r="145" spans="1:33" x14ac:dyDescent="0.3">
      <c r="A145" t="s">
        <v>526</v>
      </c>
      <c r="B145" t="s">
        <v>1727</v>
      </c>
      <c r="C145" t="s">
        <v>1728</v>
      </c>
      <c r="D145" t="s">
        <v>1729</v>
      </c>
      <c r="E145" t="s">
        <v>16</v>
      </c>
      <c r="F145" t="s">
        <v>1406</v>
      </c>
      <c r="G145" s="2">
        <v>0.51388888888888895</v>
      </c>
      <c r="H145" t="s">
        <v>1200</v>
      </c>
      <c r="I145" t="s">
        <v>1201</v>
      </c>
      <c r="J145" t="s">
        <v>1730</v>
      </c>
      <c r="L145" t="s">
        <v>1255</v>
      </c>
      <c r="X145" t="s">
        <v>525</v>
      </c>
      <c r="Y145">
        <v>2</v>
      </c>
      <c r="Z145" t="s">
        <v>1203</v>
      </c>
      <c r="AB145" t="s">
        <v>752</v>
      </c>
      <c r="AC145">
        <v>3</v>
      </c>
      <c r="AD145" t="s">
        <v>1203</v>
      </c>
      <c r="AE145" t="s">
        <v>498</v>
      </c>
      <c r="AF145">
        <v>4</v>
      </c>
      <c r="AG145" t="s">
        <v>1203</v>
      </c>
    </row>
    <row r="146" spans="1:33" x14ac:dyDescent="0.3">
      <c r="A146" t="s">
        <v>526</v>
      </c>
      <c r="B146" t="s">
        <v>1731</v>
      </c>
      <c r="C146" t="s">
        <v>1732</v>
      </c>
      <c r="D146" t="s">
        <v>1733</v>
      </c>
      <c r="E146" t="s">
        <v>16</v>
      </c>
      <c r="F146" t="s">
        <v>1254</v>
      </c>
      <c r="G146" s="2">
        <v>0.50694444444444442</v>
      </c>
      <c r="H146" t="s">
        <v>1200</v>
      </c>
      <c r="I146" t="s">
        <v>1201</v>
      </c>
      <c r="J146" t="s">
        <v>1730</v>
      </c>
      <c r="L146" t="s">
        <v>1363</v>
      </c>
      <c r="X146" t="s">
        <v>498</v>
      </c>
      <c r="Y146">
        <v>4</v>
      </c>
      <c r="Z146" t="s">
        <v>1228</v>
      </c>
    </row>
    <row r="147" spans="1:33" x14ac:dyDescent="0.3">
      <c r="A147" t="s">
        <v>526</v>
      </c>
      <c r="B147" t="s">
        <v>1734</v>
      </c>
      <c r="C147" t="s">
        <v>1735</v>
      </c>
      <c r="D147" t="s">
        <v>1736</v>
      </c>
      <c r="E147" t="s">
        <v>16</v>
      </c>
      <c r="F147" t="s">
        <v>1259</v>
      </c>
      <c r="G147" s="2">
        <v>0.5</v>
      </c>
      <c r="H147" t="s">
        <v>1200</v>
      </c>
      <c r="I147" t="s">
        <v>1201</v>
      </c>
      <c r="J147" t="s">
        <v>1730</v>
      </c>
      <c r="L147" t="s">
        <v>1363</v>
      </c>
      <c r="X147" t="s">
        <v>498</v>
      </c>
      <c r="Y147">
        <v>4</v>
      </c>
      <c r="Z147" t="s">
        <v>1396</v>
      </c>
    </row>
    <row r="148" spans="1:33" x14ac:dyDescent="0.3">
      <c r="A148" t="s">
        <v>526</v>
      </c>
      <c r="B148" t="s">
        <v>1737</v>
      </c>
      <c r="C148" t="s">
        <v>1738</v>
      </c>
      <c r="D148" t="s">
        <v>1739</v>
      </c>
      <c r="E148" t="s">
        <v>16</v>
      </c>
      <c r="F148" t="s">
        <v>1265</v>
      </c>
      <c r="G148" s="2">
        <v>0.49305555555555558</v>
      </c>
      <c r="H148" t="s">
        <v>1200</v>
      </c>
      <c r="I148" t="s">
        <v>1201</v>
      </c>
      <c r="J148" t="s">
        <v>1730</v>
      </c>
      <c r="L148" t="s">
        <v>1363</v>
      </c>
      <c r="X148" t="s">
        <v>498</v>
      </c>
      <c r="Y148">
        <v>4</v>
      </c>
      <c r="Z148" t="s">
        <v>1396</v>
      </c>
    </row>
    <row r="149" spans="1:33" x14ac:dyDescent="0.3">
      <c r="A149" t="s">
        <v>526</v>
      </c>
      <c r="B149" t="s">
        <v>1740</v>
      </c>
      <c r="C149" t="s">
        <v>1741</v>
      </c>
      <c r="D149" t="s">
        <v>1742</v>
      </c>
      <c r="E149" t="s">
        <v>16</v>
      </c>
      <c r="F149" t="s">
        <v>1270</v>
      </c>
      <c r="G149" s="2">
        <v>0.4861111111111111</v>
      </c>
      <c r="H149" t="s">
        <v>1200</v>
      </c>
      <c r="I149" t="s">
        <v>1201</v>
      </c>
      <c r="J149" t="s">
        <v>1730</v>
      </c>
      <c r="L149" t="s">
        <v>1363</v>
      </c>
      <c r="X149" t="s">
        <v>498</v>
      </c>
      <c r="Y149">
        <v>4</v>
      </c>
      <c r="Z149" t="s">
        <v>1203</v>
      </c>
    </row>
    <row r="150" spans="1:33" x14ac:dyDescent="0.3">
      <c r="A150" t="s">
        <v>526</v>
      </c>
      <c r="B150" t="s">
        <v>1743</v>
      </c>
      <c r="C150" t="s">
        <v>1744</v>
      </c>
      <c r="D150" t="s">
        <v>1745</v>
      </c>
      <c r="E150" t="s">
        <v>16</v>
      </c>
      <c r="F150" t="s">
        <v>1274</v>
      </c>
      <c r="G150" s="2">
        <v>0.47916666666666669</v>
      </c>
      <c r="H150" t="s">
        <v>1200</v>
      </c>
      <c r="I150" t="s">
        <v>1201</v>
      </c>
      <c r="J150" t="s">
        <v>1730</v>
      </c>
      <c r="L150" t="s">
        <v>1363</v>
      </c>
      <c r="X150" t="s">
        <v>498</v>
      </c>
      <c r="Y150">
        <v>2</v>
      </c>
      <c r="Z150" t="s">
        <v>1203</v>
      </c>
    </row>
    <row r="151" spans="1:33" x14ac:dyDescent="0.3">
      <c r="A151" t="s">
        <v>526</v>
      </c>
      <c r="B151" t="s">
        <v>1746</v>
      </c>
      <c r="C151" t="s">
        <v>1747</v>
      </c>
      <c r="D151" t="s">
        <v>1748</v>
      </c>
      <c r="E151" t="s">
        <v>16</v>
      </c>
      <c r="F151" t="s">
        <v>1278</v>
      </c>
      <c r="G151" s="2">
        <v>0.47222222222222227</v>
      </c>
      <c r="H151" t="s">
        <v>1200</v>
      </c>
      <c r="I151" t="s">
        <v>1201</v>
      </c>
      <c r="J151" t="s">
        <v>1730</v>
      </c>
      <c r="L151" t="s">
        <v>1363</v>
      </c>
      <c r="X151" t="s">
        <v>498</v>
      </c>
      <c r="Y151">
        <v>3</v>
      </c>
      <c r="Z151" t="s">
        <v>1203</v>
      </c>
    </row>
    <row r="152" spans="1:33" x14ac:dyDescent="0.3">
      <c r="A152" t="s">
        <v>526</v>
      </c>
      <c r="B152" t="s">
        <v>1749</v>
      </c>
      <c r="C152" t="s">
        <v>1750</v>
      </c>
      <c r="D152" t="s">
        <v>1751</v>
      </c>
      <c r="E152" t="s">
        <v>16</v>
      </c>
      <c r="F152" t="s">
        <v>1282</v>
      </c>
      <c r="G152" s="2">
        <v>0.46527777777777773</v>
      </c>
      <c r="H152" t="s">
        <v>1200</v>
      </c>
      <c r="I152" t="s">
        <v>1201</v>
      </c>
      <c r="J152" t="s">
        <v>1752</v>
      </c>
      <c r="L152" t="s">
        <v>1202</v>
      </c>
    </row>
    <row r="153" spans="1:33" x14ac:dyDescent="0.3">
      <c r="A153" t="s">
        <v>526</v>
      </c>
      <c r="B153" t="s">
        <v>1753</v>
      </c>
      <c r="C153" t="s">
        <v>1754</v>
      </c>
      <c r="D153" t="s">
        <v>1755</v>
      </c>
      <c r="E153" t="s">
        <v>16</v>
      </c>
      <c r="F153" t="s">
        <v>1287</v>
      </c>
      <c r="G153" s="2">
        <v>0.45833333333333331</v>
      </c>
      <c r="H153" t="s">
        <v>1200</v>
      </c>
      <c r="I153" t="s">
        <v>1201</v>
      </c>
      <c r="J153" t="s">
        <v>1752</v>
      </c>
      <c r="L153" t="s">
        <v>1202</v>
      </c>
    </row>
    <row r="154" spans="1:33" x14ac:dyDescent="0.3">
      <c r="A154" t="s">
        <v>526</v>
      </c>
      <c r="B154" t="s">
        <v>1756</v>
      </c>
      <c r="C154" t="s">
        <v>1757</v>
      </c>
      <c r="D154" t="s">
        <v>1758</v>
      </c>
      <c r="E154" t="s">
        <v>16</v>
      </c>
      <c r="F154" t="s">
        <v>1291</v>
      </c>
      <c r="G154" s="2">
        <v>0.4513888888888889</v>
      </c>
      <c r="H154" t="s">
        <v>1200</v>
      </c>
      <c r="I154" t="s">
        <v>1201</v>
      </c>
      <c r="J154" t="s">
        <v>1730</v>
      </c>
      <c r="K154" t="s">
        <v>1250</v>
      </c>
      <c r="X154" t="s">
        <v>525</v>
      </c>
      <c r="Y154">
        <v>3</v>
      </c>
      <c r="Z154" t="s">
        <v>1266</v>
      </c>
    </row>
    <row r="155" spans="1:33" x14ac:dyDescent="0.3">
      <c r="A155" t="s">
        <v>526</v>
      </c>
      <c r="B155" t="s">
        <v>1759</v>
      </c>
      <c r="C155" t="s">
        <v>1760</v>
      </c>
      <c r="D155" t="s">
        <v>1761</v>
      </c>
      <c r="E155" t="s">
        <v>16</v>
      </c>
      <c r="F155" t="s">
        <v>1296</v>
      </c>
      <c r="G155" s="2">
        <v>0.44444444444444442</v>
      </c>
      <c r="H155" t="s">
        <v>1200</v>
      </c>
      <c r="I155" t="s">
        <v>1201</v>
      </c>
      <c r="J155" t="s">
        <v>1730</v>
      </c>
      <c r="L155" t="s">
        <v>1255</v>
      </c>
      <c r="X155" t="s">
        <v>525</v>
      </c>
      <c r="Y155">
        <v>1</v>
      </c>
      <c r="Z155" t="s">
        <v>1496</v>
      </c>
    </row>
    <row r="156" spans="1:33" x14ac:dyDescent="0.3">
      <c r="A156" t="s">
        <v>526</v>
      </c>
      <c r="B156" t="s">
        <v>1762</v>
      </c>
      <c r="C156" t="s">
        <v>1763</v>
      </c>
      <c r="D156" t="s">
        <v>1764</v>
      </c>
      <c r="E156" t="s">
        <v>16</v>
      </c>
      <c r="F156" t="s">
        <v>1300</v>
      </c>
      <c r="G156" s="2">
        <v>0.4375</v>
      </c>
      <c r="H156" t="s">
        <v>1200</v>
      </c>
      <c r="I156" t="s">
        <v>1201</v>
      </c>
      <c r="J156" t="s">
        <v>1730</v>
      </c>
      <c r="K156" t="s">
        <v>1250</v>
      </c>
      <c r="X156" t="s">
        <v>525</v>
      </c>
      <c r="Y156">
        <v>3</v>
      </c>
      <c r="Z156" t="s">
        <v>1266</v>
      </c>
      <c r="AB156" t="s">
        <v>752</v>
      </c>
      <c r="AC156">
        <v>3</v>
      </c>
      <c r="AD156" t="s">
        <v>1266</v>
      </c>
    </row>
    <row r="157" spans="1:33" x14ac:dyDescent="0.3">
      <c r="A157" t="s">
        <v>526</v>
      </c>
      <c r="B157" t="s">
        <v>1765</v>
      </c>
      <c r="C157" t="s">
        <v>1766</v>
      </c>
      <c r="D157" t="s">
        <v>1767</v>
      </c>
      <c r="E157" t="s">
        <v>16</v>
      </c>
      <c r="F157" t="s">
        <v>1443</v>
      </c>
      <c r="G157" s="2">
        <v>0.43055555555555558</v>
      </c>
      <c r="H157" t="s">
        <v>1200</v>
      </c>
      <c r="I157" t="s">
        <v>1201</v>
      </c>
      <c r="J157" t="s">
        <v>1730</v>
      </c>
      <c r="M157" t="s">
        <v>1292</v>
      </c>
      <c r="X157" t="s">
        <v>752</v>
      </c>
      <c r="Y157">
        <v>3</v>
      </c>
      <c r="Z157" t="s">
        <v>1245</v>
      </c>
    </row>
    <row r="158" spans="1:33" x14ac:dyDescent="0.3">
      <c r="A158" t="s">
        <v>526</v>
      </c>
      <c r="B158" t="s">
        <v>1768</v>
      </c>
      <c r="C158" t="s">
        <v>1769</v>
      </c>
      <c r="D158" t="s">
        <v>1770</v>
      </c>
      <c r="E158" t="s">
        <v>16</v>
      </c>
      <c r="F158" t="s">
        <v>1447</v>
      </c>
      <c r="G158" s="2">
        <v>0.4236111111111111</v>
      </c>
      <c r="H158" t="s">
        <v>1200</v>
      </c>
      <c r="I158" t="s">
        <v>1201</v>
      </c>
      <c r="J158" t="s">
        <v>1730</v>
      </c>
      <c r="M158" t="s">
        <v>1292</v>
      </c>
      <c r="X158" t="s">
        <v>776</v>
      </c>
      <c r="Y158">
        <v>2</v>
      </c>
      <c r="Z158" t="s">
        <v>1245</v>
      </c>
    </row>
    <row r="159" spans="1:33" x14ac:dyDescent="0.3">
      <c r="A159" t="s">
        <v>526</v>
      </c>
      <c r="B159" t="s">
        <v>1771</v>
      </c>
      <c r="C159" t="s">
        <v>1772</v>
      </c>
      <c r="D159" t="s">
        <v>1773</v>
      </c>
      <c r="E159" t="s">
        <v>16</v>
      </c>
      <c r="F159" t="s">
        <v>1451</v>
      </c>
      <c r="G159" s="2">
        <v>0.41666666666666669</v>
      </c>
      <c r="H159" t="s">
        <v>1200</v>
      </c>
      <c r="I159" t="s">
        <v>1201</v>
      </c>
      <c r="J159" t="s">
        <v>1730</v>
      </c>
      <c r="M159" t="s">
        <v>1292</v>
      </c>
      <c r="X159" t="s">
        <v>776</v>
      </c>
      <c r="Y159">
        <v>2</v>
      </c>
      <c r="Z159" t="s">
        <v>1245</v>
      </c>
      <c r="AB159" t="s">
        <v>776</v>
      </c>
      <c r="AC159">
        <v>3</v>
      </c>
      <c r="AD159" t="s">
        <v>1245</v>
      </c>
    </row>
    <row r="160" spans="1:33" x14ac:dyDescent="0.3">
      <c r="A160" t="s">
        <v>530</v>
      </c>
      <c r="B160" t="s">
        <v>1774</v>
      </c>
      <c r="C160" t="s">
        <v>1775</v>
      </c>
      <c r="D160" t="s">
        <v>1776</v>
      </c>
      <c r="E160" t="s">
        <v>16</v>
      </c>
      <c r="F160" t="s">
        <v>1362</v>
      </c>
      <c r="G160" s="2">
        <v>0.60416666666666663</v>
      </c>
      <c r="H160" t="s">
        <v>1200</v>
      </c>
      <c r="I160" t="s">
        <v>1201</v>
      </c>
      <c r="J160" t="s">
        <v>1730</v>
      </c>
      <c r="L160" t="s">
        <v>1202</v>
      </c>
      <c r="X160" t="s">
        <v>498</v>
      </c>
      <c r="Y160">
        <v>2</v>
      </c>
      <c r="Z160" t="s">
        <v>1203</v>
      </c>
    </row>
    <row r="161" spans="1:33" x14ac:dyDescent="0.3">
      <c r="A161" t="s">
        <v>530</v>
      </c>
      <c r="B161" t="s">
        <v>1777</v>
      </c>
      <c r="C161" t="s">
        <v>1778</v>
      </c>
      <c r="D161" t="s">
        <v>1779</v>
      </c>
      <c r="E161" t="s">
        <v>16</v>
      </c>
      <c r="F161" t="s">
        <v>1367</v>
      </c>
      <c r="G161" s="2">
        <v>0.59722222222222221</v>
      </c>
      <c r="H161" t="s">
        <v>1200</v>
      </c>
      <c r="I161" t="s">
        <v>1201</v>
      </c>
      <c r="M161" t="s">
        <v>1464</v>
      </c>
      <c r="X161" t="s">
        <v>498</v>
      </c>
      <c r="Y161">
        <v>2</v>
      </c>
      <c r="Z161" t="s">
        <v>1465</v>
      </c>
    </row>
    <row r="162" spans="1:33" x14ac:dyDescent="0.3">
      <c r="A162" t="s">
        <v>530</v>
      </c>
      <c r="B162" t="s">
        <v>1780</v>
      </c>
      <c r="C162" t="s">
        <v>1781</v>
      </c>
      <c r="D162" t="s">
        <v>1782</v>
      </c>
      <c r="E162" t="s">
        <v>16</v>
      </c>
      <c r="F162" t="s">
        <v>1371</v>
      </c>
      <c r="G162" s="2">
        <v>0.59027777777777779</v>
      </c>
      <c r="H162" t="s">
        <v>1200</v>
      </c>
      <c r="I162" t="s">
        <v>1201</v>
      </c>
      <c r="J162" t="s">
        <v>1730</v>
      </c>
      <c r="M162" t="s">
        <v>1464</v>
      </c>
      <c r="X162" t="s">
        <v>498</v>
      </c>
      <c r="Y162">
        <v>2</v>
      </c>
      <c r="Z162" t="s">
        <v>1465</v>
      </c>
    </row>
    <row r="163" spans="1:33" x14ac:dyDescent="0.3">
      <c r="A163" t="s">
        <v>530</v>
      </c>
      <c r="B163" t="s">
        <v>1783</v>
      </c>
      <c r="C163" t="s">
        <v>1784</v>
      </c>
      <c r="D163" t="s">
        <v>1785</v>
      </c>
      <c r="E163" t="s">
        <v>16</v>
      </c>
      <c r="F163" t="s">
        <v>1199</v>
      </c>
      <c r="G163" s="2">
        <v>0.58333333333333337</v>
      </c>
      <c r="H163" t="s">
        <v>1200</v>
      </c>
      <c r="I163" t="s">
        <v>1201</v>
      </c>
      <c r="J163" t="s">
        <v>1752</v>
      </c>
      <c r="M163" t="s">
        <v>1464</v>
      </c>
      <c r="X163" t="s">
        <v>498</v>
      </c>
      <c r="Y163">
        <v>1</v>
      </c>
      <c r="Z163" t="s">
        <v>1465</v>
      </c>
    </row>
    <row r="164" spans="1:33" x14ac:dyDescent="0.3">
      <c r="A164" t="s">
        <v>530</v>
      </c>
      <c r="B164" t="s">
        <v>1786</v>
      </c>
      <c r="C164" t="s">
        <v>1787</v>
      </c>
      <c r="D164" t="s">
        <v>1788</v>
      </c>
      <c r="E164" t="s">
        <v>16</v>
      </c>
      <c r="F164" t="s">
        <v>1207</v>
      </c>
      <c r="G164" s="2">
        <v>0.57638888888888895</v>
      </c>
      <c r="H164" t="s">
        <v>1200</v>
      </c>
      <c r="I164" t="s">
        <v>1201</v>
      </c>
      <c r="J164" t="s">
        <v>1730</v>
      </c>
      <c r="K164" t="s">
        <v>1250</v>
      </c>
      <c r="X164" t="s">
        <v>498</v>
      </c>
      <c r="Y164">
        <v>2</v>
      </c>
      <c r="Z164" t="s">
        <v>1266</v>
      </c>
      <c r="AB164" t="s">
        <v>776</v>
      </c>
      <c r="AC164">
        <v>2</v>
      </c>
      <c r="AD164" t="s">
        <v>1266</v>
      </c>
      <c r="AE164" t="s">
        <v>1100</v>
      </c>
      <c r="AF164">
        <v>3</v>
      </c>
      <c r="AG164" t="s">
        <v>1266</v>
      </c>
    </row>
    <row r="165" spans="1:33" x14ac:dyDescent="0.3">
      <c r="A165" t="s">
        <v>530</v>
      </c>
      <c r="B165" t="s">
        <v>1789</v>
      </c>
      <c r="C165" t="s">
        <v>1790</v>
      </c>
      <c r="D165" t="s">
        <v>1791</v>
      </c>
      <c r="E165" t="s">
        <v>16</v>
      </c>
      <c r="F165" t="s">
        <v>1211</v>
      </c>
      <c r="G165" s="2">
        <v>0.56944444444444442</v>
      </c>
      <c r="H165" t="s">
        <v>1200</v>
      </c>
      <c r="I165" t="s">
        <v>1201</v>
      </c>
      <c r="J165" t="s">
        <v>1730</v>
      </c>
      <c r="K165" t="s">
        <v>1250</v>
      </c>
      <c r="X165" t="s">
        <v>498</v>
      </c>
      <c r="Y165">
        <v>2</v>
      </c>
      <c r="Z165" t="s">
        <v>1228</v>
      </c>
      <c r="AB165" t="s">
        <v>776</v>
      </c>
      <c r="AC165">
        <v>2</v>
      </c>
      <c r="AD165" t="s">
        <v>1228</v>
      </c>
      <c r="AE165" t="s">
        <v>498</v>
      </c>
      <c r="AF165">
        <v>3</v>
      </c>
      <c r="AG165" t="s">
        <v>1228</v>
      </c>
    </row>
    <row r="166" spans="1:33" x14ac:dyDescent="0.3">
      <c r="A166" t="s">
        <v>534</v>
      </c>
      <c r="B166" t="s">
        <v>1792</v>
      </c>
      <c r="C166" t="s">
        <v>1793</v>
      </c>
      <c r="D166" t="s">
        <v>1794</v>
      </c>
      <c r="E166" t="s">
        <v>16</v>
      </c>
      <c r="F166" t="s">
        <v>1221</v>
      </c>
      <c r="G166" s="2">
        <v>0.55555555555555558</v>
      </c>
      <c r="H166" t="s">
        <v>1200</v>
      </c>
      <c r="I166" t="s">
        <v>1201</v>
      </c>
      <c r="M166" t="s">
        <v>1292</v>
      </c>
      <c r="X166" t="s">
        <v>776</v>
      </c>
      <c r="Y166">
        <v>2</v>
      </c>
      <c r="Z166" t="s">
        <v>1245</v>
      </c>
      <c r="AB166" t="s">
        <v>1100</v>
      </c>
      <c r="AC166">
        <v>2</v>
      </c>
      <c r="AD166" t="s">
        <v>1245</v>
      </c>
      <c r="AE166" t="s">
        <v>498</v>
      </c>
      <c r="AF166">
        <v>2</v>
      </c>
      <c r="AG166" t="s">
        <v>1245</v>
      </c>
    </row>
    <row r="167" spans="1:33" x14ac:dyDescent="0.3">
      <c r="A167" t="s">
        <v>534</v>
      </c>
      <c r="B167" t="s">
        <v>1795</v>
      </c>
      <c r="C167" t="s">
        <v>1796</v>
      </c>
      <c r="D167" t="s">
        <v>1797</v>
      </c>
      <c r="E167" t="s">
        <v>16</v>
      </c>
      <c r="F167" t="s">
        <v>1232</v>
      </c>
      <c r="G167" s="2">
        <v>0.54861111111111105</v>
      </c>
      <c r="H167" t="s">
        <v>1200</v>
      </c>
      <c r="I167" t="s">
        <v>1201</v>
      </c>
      <c r="M167" t="s">
        <v>1292</v>
      </c>
      <c r="X167" t="s">
        <v>776</v>
      </c>
      <c r="Y167">
        <v>2</v>
      </c>
      <c r="Z167" t="s">
        <v>1245</v>
      </c>
      <c r="AB167" t="s">
        <v>776</v>
      </c>
      <c r="AC167">
        <v>3</v>
      </c>
      <c r="AD167" t="s">
        <v>1245</v>
      </c>
      <c r="AE167" t="s">
        <v>498</v>
      </c>
      <c r="AF167">
        <v>3</v>
      </c>
      <c r="AG167" t="s">
        <v>1245</v>
      </c>
    </row>
    <row r="168" spans="1:33" x14ac:dyDescent="0.3">
      <c r="A168" t="s">
        <v>534</v>
      </c>
      <c r="B168" t="s">
        <v>1798</v>
      </c>
      <c r="C168" t="s">
        <v>1799</v>
      </c>
      <c r="D168" t="s">
        <v>1800</v>
      </c>
      <c r="E168" t="s">
        <v>16</v>
      </c>
      <c r="F168" t="s">
        <v>1236</v>
      </c>
      <c r="G168" s="2">
        <v>0.54166666666666663</v>
      </c>
      <c r="I168" t="s">
        <v>1201</v>
      </c>
      <c r="M168" t="s">
        <v>1292</v>
      </c>
      <c r="X168" t="s">
        <v>776</v>
      </c>
      <c r="Y168">
        <v>1</v>
      </c>
      <c r="Z168" t="s">
        <v>1245</v>
      </c>
      <c r="AB168" t="s">
        <v>498</v>
      </c>
      <c r="AC168">
        <v>2</v>
      </c>
      <c r="AD168" t="s">
        <v>1228</v>
      </c>
      <c r="AE168" t="s">
        <v>498</v>
      </c>
      <c r="AF168">
        <v>3</v>
      </c>
      <c r="AG168" t="s">
        <v>1245</v>
      </c>
    </row>
    <row r="169" spans="1:33" x14ac:dyDescent="0.3">
      <c r="A169" t="s">
        <v>534</v>
      </c>
      <c r="B169" t="s">
        <v>1801</v>
      </c>
      <c r="C169" t="s">
        <v>1802</v>
      </c>
      <c r="D169" t="s">
        <v>1803</v>
      </c>
      <c r="E169" t="s">
        <v>16</v>
      </c>
      <c r="F169" t="s">
        <v>1240</v>
      </c>
      <c r="G169" s="2">
        <v>0.53472222222222221</v>
      </c>
      <c r="H169" t="s">
        <v>1200</v>
      </c>
      <c r="I169" t="s">
        <v>1201</v>
      </c>
      <c r="M169" t="s">
        <v>1292</v>
      </c>
      <c r="X169" t="s">
        <v>776</v>
      </c>
      <c r="Y169">
        <v>1</v>
      </c>
      <c r="Z169" t="s">
        <v>1245</v>
      </c>
      <c r="AB169" t="s">
        <v>776</v>
      </c>
      <c r="AC169">
        <v>2</v>
      </c>
      <c r="AD169" t="s">
        <v>1245</v>
      </c>
      <c r="AE169" t="s">
        <v>776</v>
      </c>
      <c r="AF169">
        <v>2</v>
      </c>
      <c r="AG169" t="s">
        <v>1245</v>
      </c>
    </row>
    <row r="170" spans="1:33" x14ac:dyDescent="0.3">
      <c r="A170" t="s">
        <v>534</v>
      </c>
      <c r="B170" t="s">
        <v>1804</v>
      </c>
      <c r="C170" t="s">
        <v>1805</v>
      </c>
      <c r="D170" t="s">
        <v>1806</v>
      </c>
      <c r="E170" t="s">
        <v>16</v>
      </c>
      <c r="F170" t="s">
        <v>1244</v>
      </c>
      <c r="G170" s="2">
        <v>0.52777777777777779</v>
      </c>
      <c r="H170" t="s">
        <v>1200</v>
      </c>
      <c r="I170" t="s">
        <v>1201</v>
      </c>
      <c r="K170" t="s">
        <v>1250</v>
      </c>
      <c r="X170" t="s">
        <v>525</v>
      </c>
      <c r="Y170">
        <v>2</v>
      </c>
      <c r="Z170" t="s">
        <v>1266</v>
      </c>
      <c r="AB170" t="s">
        <v>546</v>
      </c>
      <c r="AC170">
        <v>3</v>
      </c>
      <c r="AD170" t="s">
        <v>1266</v>
      </c>
      <c r="AE170" t="s">
        <v>1100</v>
      </c>
      <c r="AF170">
        <v>3</v>
      </c>
      <c r="AG170" t="s">
        <v>1266</v>
      </c>
    </row>
    <row r="171" spans="1:33" x14ac:dyDescent="0.3">
      <c r="A171" t="s">
        <v>534</v>
      </c>
      <c r="B171" t="s">
        <v>1807</v>
      </c>
      <c r="C171" t="s">
        <v>1808</v>
      </c>
      <c r="D171" t="s">
        <v>1809</v>
      </c>
      <c r="E171" t="s">
        <v>16</v>
      </c>
      <c r="F171" t="s">
        <v>1249</v>
      </c>
      <c r="G171" s="2">
        <v>0.52083333333333337</v>
      </c>
      <c r="H171" t="s">
        <v>1200</v>
      </c>
      <c r="I171" t="s">
        <v>1201</v>
      </c>
      <c r="L171" t="s">
        <v>1202</v>
      </c>
      <c r="X171" t="s">
        <v>776</v>
      </c>
      <c r="Y171">
        <v>1</v>
      </c>
      <c r="Z171" t="s">
        <v>1203</v>
      </c>
      <c r="AB171" t="s">
        <v>1100</v>
      </c>
      <c r="AC171">
        <v>3</v>
      </c>
      <c r="AD171" t="s">
        <v>1203</v>
      </c>
      <c r="AE171" t="s">
        <v>498</v>
      </c>
      <c r="AF171">
        <v>3</v>
      </c>
      <c r="AG171" t="s">
        <v>1245</v>
      </c>
    </row>
    <row r="172" spans="1:33" x14ac:dyDescent="0.3">
      <c r="A172" t="s">
        <v>534</v>
      </c>
      <c r="B172" t="s">
        <v>1810</v>
      </c>
      <c r="C172" t="s">
        <v>1811</v>
      </c>
      <c r="D172" t="s">
        <v>1812</v>
      </c>
      <c r="E172" t="s">
        <v>16</v>
      </c>
      <c r="F172" t="s">
        <v>1406</v>
      </c>
      <c r="G172" s="2">
        <v>0.51388888888888895</v>
      </c>
      <c r="H172" t="s">
        <v>1200</v>
      </c>
      <c r="I172" t="s">
        <v>1201</v>
      </c>
      <c r="L172" t="s">
        <v>1202</v>
      </c>
      <c r="X172" t="s">
        <v>776</v>
      </c>
      <c r="Y172">
        <v>1</v>
      </c>
      <c r="Z172" t="s">
        <v>1203</v>
      </c>
      <c r="AB172" t="s">
        <v>1100</v>
      </c>
      <c r="AC172">
        <v>3</v>
      </c>
      <c r="AD172" t="s">
        <v>1203</v>
      </c>
      <c r="AE172" t="s">
        <v>498</v>
      </c>
      <c r="AF172">
        <v>3</v>
      </c>
      <c r="AG172" t="s">
        <v>1203</v>
      </c>
    </row>
    <row r="173" spans="1:33" x14ac:dyDescent="0.3">
      <c r="A173" t="s">
        <v>534</v>
      </c>
      <c r="B173" t="s">
        <v>1813</v>
      </c>
      <c r="C173" t="s">
        <v>1814</v>
      </c>
      <c r="D173" t="s">
        <v>1815</v>
      </c>
      <c r="E173" t="s">
        <v>16</v>
      </c>
      <c r="F173" t="s">
        <v>1254</v>
      </c>
      <c r="G173" s="2">
        <v>0.50694444444444442</v>
      </c>
      <c r="H173" t="s">
        <v>1200</v>
      </c>
      <c r="I173" t="s">
        <v>1201</v>
      </c>
      <c r="L173" t="s">
        <v>1202</v>
      </c>
      <c r="X173" t="s">
        <v>776</v>
      </c>
      <c r="Y173">
        <v>1</v>
      </c>
      <c r="Z173" t="s">
        <v>1203</v>
      </c>
      <c r="AB173" t="s">
        <v>1100</v>
      </c>
      <c r="AC173">
        <v>2</v>
      </c>
      <c r="AD173" t="s">
        <v>1245</v>
      </c>
      <c r="AE173" t="s">
        <v>498</v>
      </c>
      <c r="AF173">
        <v>3</v>
      </c>
      <c r="AG173" t="s">
        <v>1245</v>
      </c>
    </row>
    <row r="174" spans="1:33" x14ac:dyDescent="0.3">
      <c r="A174" t="s">
        <v>534</v>
      </c>
      <c r="B174" t="s">
        <v>1816</v>
      </c>
      <c r="C174" t="s">
        <v>1817</v>
      </c>
      <c r="D174" t="s">
        <v>1818</v>
      </c>
      <c r="E174" t="s">
        <v>16</v>
      </c>
      <c r="F174" t="s">
        <v>1259</v>
      </c>
      <c r="G174" s="2">
        <v>0.5</v>
      </c>
      <c r="H174" t="s">
        <v>1200</v>
      </c>
      <c r="I174" t="s">
        <v>1201</v>
      </c>
      <c r="L174" t="s">
        <v>1202</v>
      </c>
      <c r="X174" t="s">
        <v>776</v>
      </c>
      <c r="Y174">
        <v>1</v>
      </c>
      <c r="Z174" t="s">
        <v>1203</v>
      </c>
      <c r="AB174" t="s">
        <v>1100</v>
      </c>
      <c r="AC174">
        <v>2</v>
      </c>
      <c r="AD174" t="s">
        <v>1245</v>
      </c>
      <c r="AE174" t="s">
        <v>498</v>
      </c>
      <c r="AF174">
        <v>3</v>
      </c>
      <c r="AG174" t="s">
        <v>1245</v>
      </c>
    </row>
    <row r="175" spans="1:33" x14ac:dyDescent="0.3">
      <c r="A175" t="s">
        <v>534</v>
      </c>
      <c r="B175" t="s">
        <v>1819</v>
      </c>
      <c r="C175" t="s">
        <v>1820</v>
      </c>
      <c r="D175" t="s">
        <v>1821</v>
      </c>
      <c r="E175" t="s">
        <v>16</v>
      </c>
      <c r="F175" t="s">
        <v>1265</v>
      </c>
      <c r="G175" s="2">
        <v>0.49305555555555558</v>
      </c>
      <c r="H175" t="s">
        <v>1200</v>
      </c>
      <c r="I175" t="s">
        <v>1201</v>
      </c>
      <c r="L175" t="s">
        <v>1222</v>
      </c>
      <c r="Q175" t="s">
        <v>1822</v>
      </c>
      <c r="S175" t="s">
        <v>1224</v>
      </c>
      <c r="T175" t="s">
        <v>1676</v>
      </c>
      <c r="V175" t="s">
        <v>1226</v>
      </c>
      <c r="W175" t="s">
        <v>1227</v>
      </c>
      <c r="X175" t="s">
        <v>776</v>
      </c>
      <c r="Y175">
        <v>1</v>
      </c>
      <c r="Z175" t="s">
        <v>1228</v>
      </c>
      <c r="AB175" t="s">
        <v>1100</v>
      </c>
      <c r="AC175">
        <v>2</v>
      </c>
      <c r="AD175" t="s">
        <v>1245</v>
      </c>
      <c r="AE175" t="s">
        <v>546</v>
      </c>
      <c r="AF175">
        <v>2</v>
      </c>
      <c r="AG175" t="s">
        <v>1228</v>
      </c>
    </row>
    <row r="176" spans="1:33" x14ac:dyDescent="0.3">
      <c r="A176" t="s">
        <v>534</v>
      </c>
      <c r="B176" t="s">
        <v>1823</v>
      </c>
      <c r="C176" t="s">
        <v>1824</v>
      </c>
      <c r="D176" t="s">
        <v>1825</v>
      </c>
      <c r="E176" t="s">
        <v>16</v>
      </c>
      <c r="F176" t="s">
        <v>1270</v>
      </c>
      <c r="G176" s="2">
        <v>0.4861111111111111</v>
      </c>
      <c r="H176" t="s">
        <v>1200</v>
      </c>
      <c r="I176" t="s">
        <v>1201</v>
      </c>
      <c r="M176" t="s">
        <v>1292</v>
      </c>
      <c r="X176" t="s">
        <v>776</v>
      </c>
      <c r="Y176">
        <v>1</v>
      </c>
      <c r="Z176" t="s">
        <v>1245</v>
      </c>
      <c r="AB176" t="s">
        <v>498</v>
      </c>
      <c r="AC176">
        <v>2</v>
      </c>
      <c r="AD176" t="s">
        <v>1266</v>
      </c>
      <c r="AE176" t="s">
        <v>498</v>
      </c>
      <c r="AF176">
        <v>3</v>
      </c>
      <c r="AG176" t="s">
        <v>1203</v>
      </c>
    </row>
    <row r="177" spans="1:33" x14ac:dyDescent="0.3">
      <c r="A177" t="s">
        <v>534</v>
      </c>
      <c r="B177" t="s">
        <v>1826</v>
      </c>
      <c r="C177" t="s">
        <v>1827</v>
      </c>
      <c r="D177" t="s">
        <v>1828</v>
      </c>
      <c r="E177" t="s">
        <v>16</v>
      </c>
      <c r="F177" t="s">
        <v>1274</v>
      </c>
      <c r="G177" s="2">
        <v>0.47916666666666669</v>
      </c>
      <c r="H177" t="s">
        <v>1200</v>
      </c>
      <c r="I177" t="s">
        <v>1201</v>
      </c>
      <c r="M177" t="s">
        <v>1260</v>
      </c>
      <c r="X177" t="s">
        <v>776</v>
      </c>
      <c r="Y177">
        <v>1</v>
      </c>
      <c r="Z177" t="s">
        <v>1203</v>
      </c>
      <c r="AB177" t="s">
        <v>498</v>
      </c>
      <c r="AC177">
        <v>2</v>
      </c>
      <c r="AD177" t="s">
        <v>1203</v>
      </c>
      <c r="AE177" t="s">
        <v>1100</v>
      </c>
      <c r="AF177">
        <v>3</v>
      </c>
      <c r="AG177" t="s">
        <v>1203</v>
      </c>
    </row>
    <row r="178" spans="1:33" x14ac:dyDescent="0.3">
      <c r="A178" t="s">
        <v>534</v>
      </c>
      <c r="B178" t="s">
        <v>1829</v>
      </c>
      <c r="C178" t="s">
        <v>1830</v>
      </c>
      <c r="D178" t="s">
        <v>1831</v>
      </c>
      <c r="E178" t="s">
        <v>16</v>
      </c>
      <c r="F178" t="s">
        <v>1278</v>
      </c>
      <c r="G178" s="2">
        <v>0.47222222222222227</v>
      </c>
      <c r="H178" t="s">
        <v>1200</v>
      </c>
      <c r="I178" t="s">
        <v>1201</v>
      </c>
      <c r="M178" t="s">
        <v>1260</v>
      </c>
      <c r="X178" t="s">
        <v>498</v>
      </c>
      <c r="Y178">
        <v>1</v>
      </c>
      <c r="Z178" t="s">
        <v>1261</v>
      </c>
      <c r="AB178" t="s">
        <v>498</v>
      </c>
      <c r="AC178">
        <v>1</v>
      </c>
      <c r="AD178" t="s">
        <v>1261</v>
      </c>
      <c r="AE178" t="s">
        <v>525</v>
      </c>
      <c r="AF178">
        <v>1</v>
      </c>
      <c r="AG178" t="s">
        <v>1228</v>
      </c>
    </row>
    <row r="179" spans="1:33" x14ac:dyDescent="0.3">
      <c r="A179" t="s">
        <v>534</v>
      </c>
      <c r="B179" t="s">
        <v>1832</v>
      </c>
      <c r="C179" t="s">
        <v>1833</v>
      </c>
      <c r="D179" t="s">
        <v>1834</v>
      </c>
      <c r="E179" t="s">
        <v>16</v>
      </c>
      <c r="F179" t="s">
        <v>1282</v>
      </c>
      <c r="G179" s="2">
        <v>0.46527777777777773</v>
      </c>
      <c r="H179" t="s">
        <v>1200</v>
      </c>
      <c r="I179" t="s">
        <v>1201</v>
      </c>
      <c r="M179" t="s">
        <v>1260</v>
      </c>
      <c r="X179" t="s">
        <v>498</v>
      </c>
      <c r="Y179">
        <v>1</v>
      </c>
      <c r="Z179" t="s">
        <v>1228</v>
      </c>
      <c r="AB179" t="s">
        <v>498</v>
      </c>
      <c r="AC179">
        <v>1</v>
      </c>
      <c r="AD179" t="s">
        <v>1228</v>
      </c>
      <c r="AE179" t="s">
        <v>525</v>
      </c>
      <c r="AF179">
        <v>2</v>
      </c>
      <c r="AG179" t="s">
        <v>1717</v>
      </c>
    </row>
    <row r="180" spans="1:33" x14ac:dyDescent="0.3">
      <c r="A180" t="s">
        <v>534</v>
      </c>
      <c r="B180" t="s">
        <v>1835</v>
      </c>
      <c r="C180" t="s">
        <v>1836</v>
      </c>
      <c r="D180" t="s">
        <v>1837</v>
      </c>
      <c r="E180" t="s">
        <v>16</v>
      </c>
      <c r="F180" t="s">
        <v>1287</v>
      </c>
      <c r="G180" s="2">
        <v>0.45833333333333331</v>
      </c>
      <c r="H180" t="s">
        <v>1200</v>
      </c>
      <c r="I180" t="s">
        <v>1201</v>
      </c>
      <c r="K180" t="s">
        <v>1250</v>
      </c>
    </row>
    <row r="181" spans="1:33" x14ac:dyDescent="0.3">
      <c r="A181" t="s">
        <v>534</v>
      </c>
      <c r="B181" t="s">
        <v>1838</v>
      </c>
      <c r="C181" t="s">
        <v>1839</v>
      </c>
      <c r="D181" t="s">
        <v>1840</v>
      </c>
      <c r="E181" t="s">
        <v>16</v>
      </c>
      <c r="F181" t="s">
        <v>1291</v>
      </c>
      <c r="G181" s="2">
        <v>0.4513888888888889</v>
      </c>
      <c r="H181" t="s">
        <v>1200</v>
      </c>
      <c r="I181" t="s">
        <v>1201</v>
      </c>
      <c r="M181" t="s">
        <v>1501</v>
      </c>
    </row>
    <row r="182" spans="1:33" x14ac:dyDescent="0.3">
      <c r="A182" t="s">
        <v>534</v>
      </c>
      <c r="B182" t="s">
        <v>1841</v>
      </c>
      <c r="C182" t="s">
        <v>1842</v>
      </c>
      <c r="D182" t="s">
        <v>1843</v>
      </c>
      <c r="E182" t="s">
        <v>16</v>
      </c>
      <c r="F182" t="s">
        <v>1296</v>
      </c>
      <c r="G182" s="2">
        <v>0.44444444444444442</v>
      </c>
      <c r="H182" t="s">
        <v>1200</v>
      </c>
      <c r="I182" t="s">
        <v>1201</v>
      </c>
      <c r="M182" t="s">
        <v>1501</v>
      </c>
    </row>
    <row r="183" spans="1:33" x14ac:dyDescent="0.3">
      <c r="A183" t="s">
        <v>539</v>
      </c>
      <c r="B183" t="s">
        <v>1844</v>
      </c>
      <c r="C183" t="s">
        <v>1845</v>
      </c>
      <c r="D183" t="s">
        <v>1846</v>
      </c>
      <c r="E183" t="s">
        <v>16</v>
      </c>
      <c r="F183" t="s">
        <v>1358</v>
      </c>
      <c r="G183" s="2">
        <v>0.61111111111111105</v>
      </c>
      <c r="H183" t="s">
        <v>1200</v>
      </c>
      <c r="I183" t="s">
        <v>1201</v>
      </c>
      <c r="J183" t="s">
        <v>1730</v>
      </c>
      <c r="M183" t="s">
        <v>1292</v>
      </c>
    </row>
    <row r="184" spans="1:33" x14ac:dyDescent="0.3">
      <c r="A184" t="s">
        <v>539</v>
      </c>
      <c r="B184" t="s">
        <v>1847</v>
      </c>
      <c r="C184" t="s">
        <v>1848</v>
      </c>
      <c r="D184" t="s">
        <v>1849</v>
      </c>
      <c r="E184" t="s">
        <v>16</v>
      </c>
      <c r="F184" t="s">
        <v>1362</v>
      </c>
      <c r="G184" s="2">
        <v>0.60416666666666663</v>
      </c>
      <c r="H184" t="s">
        <v>1200</v>
      </c>
      <c r="I184" t="s">
        <v>1201</v>
      </c>
      <c r="J184" t="s">
        <v>1730</v>
      </c>
      <c r="M184" t="s">
        <v>1292</v>
      </c>
    </row>
    <row r="185" spans="1:33" x14ac:dyDescent="0.3">
      <c r="A185" t="s">
        <v>539</v>
      </c>
      <c r="B185" t="s">
        <v>1850</v>
      </c>
      <c r="C185" t="s">
        <v>1851</v>
      </c>
      <c r="D185" t="s">
        <v>1852</v>
      </c>
      <c r="E185" t="s">
        <v>16</v>
      </c>
      <c r="F185" t="s">
        <v>1367</v>
      </c>
      <c r="G185" s="2">
        <v>0.59722222222222221</v>
      </c>
      <c r="H185" t="s">
        <v>1200</v>
      </c>
      <c r="I185" t="s">
        <v>1201</v>
      </c>
      <c r="J185" t="s">
        <v>1730</v>
      </c>
      <c r="K185" t="s">
        <v>1250</v>
      </c>
      <c r="X185" t="s">
        <v>498</v>
      </c>
      <c r="Y185">
        <v>2</v>
      </c>
      <c r="Z185" t="s">
        <v>1266</v>
      </c>
      <c r="AB185" t="s">
        <v>1100</v>
      </c>
      <c r="AC185">
        <v>3</v>
      </c>
      <c r="AD185" t="s">
        <v>1245</v>
      </c>
      <c r="AE185" t="s">
        <v>525</v>
      </c>
      <c r="AF185">
        <v>4</v>
      </c>
      <c r="AG185" t="s">
        <v>1266</v>
      </c>
    </row>
    <row r="186" spans="1:33" x14ac:dyDescent="0.3">
      <c r="A186" t="s">
        <v>539</v>
      </c>
      <c r="B186" t="s">
        <v>1853</v>
      </c>
      <c r="C186" t="s">
        <v>1854</v>
      </c>
      <c r="D186" t="s">
        <v>1855</v>
      </c>
      <c r="E186" t="s">
        <v>16</v>
      </c>
      <c r="F186" t="s">
        <v>1371</v>
      </c>
      <c r="G186" s="2">
        <v>0.59027777777777779</v>
      </c>
      <c r="H186" t="s">
        <v>1200</v>
      </c>
      <c r="I186" t="s">
        <v>1201</v>
      </c>
      <c r="J186" t="s">
        <v>1730</v>
      </c>
      <c r="L186" t="s">
        <v>1255</v>
      </c>
      <c r="X186" t="s">
        <v>498</v>
      </c>
      <c r="Y186">
        <v>2</v>
      </c>
      <c r="Z186" t="s">
        <v>1496</v>
      </c>
      <c r="AB186" t="s">
        <v>776</v>
      </c>
      <c r="AC186">
        <v>3</v>
      </c>
      <c r="AD186" t="s">
        <v>1496</v>
      </c>
    </row>
    <row r="187" spans="1:33" x14ac:dyDescent="0.3">
      <c r="A187" t="s">
        <v>539</v>
      </c>
      <c r="B187" t="s">
        <v>1856</v>
      </c>
      <c r="C187" t="s">
        <v>1857</v>
      </c>
      <c r="D187" t="s">
        <v>1858</v>
      </c>
      <c r="E187" t="s">
        <v>16</v>
      </c>
      <c r="F187" t="s">
        <v>1199</v>
      </c>
      <c r="G187" s="2">
        <v>0.58333333333333337</v>
      </c>
      <c r="H187" t="s">
        <v>1200</v>
      </c>
      <c r="I187" t="s">
        <v>1201</v>
      </c>
      <c r="J187" t="s">
        <v>1730</v>
      </c>
      <c r="K187" t="s">
        <v>1250</v>
      </c>
      <c r="X187" t="s">
        <v>498</v>
      </c>
      <c r="Y187">
        <v>2</v>
      </c>
      <c r="Z187" t="s">
        <v>1266</v>
      </c>
      <c r="AB187" t="s">
        <v>776</v>
      </c>
      <c r="AC187">
        <v>3</v>
      </c>
      <c r="AD187" t="s">
        <v>1266</v>
      </c>
      <c r="AE187" t="s">
        <v>1100</v>
      </c>
      <c r="AF187">
        <v>4</v>
      </c>
      <c r="AG187" t="s">
        <v>1266</v>
      </c>
    </row>
    <row r="188" spans="1:33" x14ac:dyDescent="0.3">
      <c r="A188" t="s">
        <v>539</v>
      </c>
      <c r="B188" t="s">
        <v>1859</v>
      </c>
      <c r="C188" t="s">
        <v>1860</v>
      </c>
      <c r="D188" t="s">
        <v>1861</v>
      </c>
      <c r="E188" t="s">
        <v>16</v>
      </c>
      <c r="F188" t="s">
        <v>1207</v>
      </c>
      <c r="G188" s="2">
        <v>0.57638888888888895</v>
      </c>
      <c r="H188" t="s">
        <v>1200</v>
      </c>
      <c r="I188" t="s">
        <v>1201</v>
      </c>
      <c r="J188" t="s">
        <v>1752</v>
      </c>
      <c r="L188" t="s">
        <v>1222</v>
      </c>
      <c r="X188" t="s">
        <v>498</v>
      </c>
      <c r="Y188">
        <v>2</v>
      </c>
      <c r="Z188" t="s">
        <v>1862</v>
      </c>
      <c r="AB188" t="s">
        <v>525</v>
      </c>
      <c r="AC188">
        <v>2</v>
      </c>
      <c r="AD188" t="s">
        <v>1228</v>
      </c>
    </row>
    <row r="189" spans="1:33" x14ac:dyDescent="0.3">
      <c r="A189" t="s">
        <v>539</v>
      </c>
      <c r="B189" t="s">
        <v>1863</v>
      </c>
      <c r="C189" t="s">
        <v>1864</v>
      </c>
      <c r="D189" t="s">
        <v>1865</v>
      </c>
      <c r="E189" t="s">
        <v>16</v>
      </c>
      <c r="F189" t="s">
        <v>1211</v>
      </c>
      <c r="G189" s="2">
        <v>0.56944444444444442</v>
      </c>
      <c r="H189" t="s">
        <v>1200</v>
      </c>
      <c r="I189" t="s">
        <v>1201</v>
      </c>
      <c r="J189" t="s">
        <v>1730</v>
      </c>
      <c r="M189" t="s">
        <v>1292</v>
      </c>
      <c r="X189" t="s">
        <v>498</v>
      </c>
      <c r="Y189">
        <v>1</v>
      </c>
      <c r="Z189" t="s">
        <v>1228</v>
      </c>
      <c r="AB189" t="s">
        <v>525</v>
      </c>
      <c r="AC189">
        <v>1</v>
      </c>
      <c r="AD189" t="s">
        <v>1245</v>
      </c>
      <c r="AE189" t="s">
        <v>498</v>
      </c>
      <c r="AF189">
        <v>4</v>
      </c>
      <c r="AG189" t="s">
        <v>1228</v>
      </c>
    </row>
    <row r="190" spans="1:33" x14ac:dyDescent="0.3">
      <c r="A190" t="s">
        <v>539</v>
      </c>
      <c r="B190" t="s">
        <v>1866</v>
      </c>
      <c r="C190" t="s">
        <v>1867</v>
      </c>
      <c r="D190" t="s">
        <v>1868</v>
      </c>
      <c r="E190" t="s">
        <v>16</v>
      </c>
      <c r="F190" t="s">
        <v>1215</v>
      </c>
      <c r="G190" s="2">
        <v>0.5625</v>
      </c>
      <c r="H190" t="s">
        <v>1200</v>
      </c>
      <c r="I190" t="s">
        <v>1201</v>
      </c>
      <c r="J190" t="s">
        <v>1752</v>
      </c>
      <c r="M190" t="s">
        <v>1292</v>
      </c>
      <c r="X190" t="s">
        <v>498</v>
      </c>
      <c r="Y190">
        <v>1</v>
      </c>
      <c r="Z190" t="s">
        <v>1862</v>
      </c>
      <c r="AA190" t="s">
        <v>1869</v>
      </c>
      <c r="AB190" t="s">
        <v>525</v>
      </c>
      <c r="AC190">
        <v>1</v>
      </c>
      <c r="AD190" t="s">
        <v>1245</v>
      </c>
      <c r="AE190" t="s">
        <v>498</v>
      </c>
      <c r="AF190">
        <v>4</v>
      </c>
      <c r="AG190" t="s">
        <v>1228</v>
      </c>
    </row>
    <row r="191" spans="1:33" x14ac:dyDescent="0.3">
      <c r="A191" t="s">
        <v>539</v>
      </c>
      <c r="B191" t="s">
        <v>1870</v>
      </c>
      <c r="C191" t="s">
        <v>1871</v>
      </c>
      <c r="D191" t="s">
        <v>1872</v>
      </c>
      <c r="E191" t="s">
        <v>16</v>
      </c>
      <c r="F191" t="s">
        <v>1221</v>
      </c>
      <c r="G191" s="2">
        <v>0.55555555555555558</v>
      </c>
      <c r="H191" t="s">
        <v>1200</v>
      </c>
      <c r="I191" t="s">
        <v>1201</v>
      </c>
      <c r="J191" t="s">
        <v>1730</v>
      </c>
      <c r="K191" t="s">
        <v>1250</v>
      </c>
      <c r="X191" t="s">
        <v>498</v>
      </c>
      <c r="Y191">
        <v>4</v>
      </c>
      <c r="Z191" t="s">
        <v>1228</v>
      </c>
      <c r="AB191" t="s">
        <v>498</v>
      </c>
      <c r="AC191">
        <v>6</v>
      </c>
      <c r="AD191" t="s">
        <v>1266</v>
      </c>
    </row>
    <row r="192" spans="1:33" x14ac:dyDescent="0.3">
      <c r="A192" t="s">
        <v>539</v>
      </c>
      <c r="B192" t="s">
        <v>1873</v>
      </c>
      <c r="C192" t="s">
        <v>1874</v>
      </c>
      <c r="D192" t="s">
        <v>1875</v>
      </c>
      <c r="E192" t="s">
        <v>16</v>
      </c>
      <c r="F192" t="s">
        <v>1232</v>
      </c>
      <c r="G192" s="2">
        <v>0.54861111111111105</v>
      </c>
      <c r="H192" t="s">
        <v>1200</v>
      </c>
      <c r="I192" t="s">
        <v>1201</v>
      </c>
      <c r="J192" t="s">
        <v>1730</v>
      </c>
      <c r="K192" t="s">
        <v>1250</v>
      </c>
      <c r="X192" t="s">
        <v>498</v>
      </c>
      <c r="Y192">
        <v>3</v>
      </c>
      <c r="Z192" t="s">
        <v>1266</v>
      </c>
      <c r="AB192" t="s">
        <v>525</v>
      </c>
      <c r="AC192">
        <v>3</v>
      </c>
      <c r="AD192" t="s">
        <v>1266</v>
      </c>
    </row>
    <row r="193" spans="1:30" x14ac:dyDescent="0.3">
      <c r="A193" t="s">
        <v>539</v>
      </c>
      <c r="B193" t="s">
        <v>1876</v>
      </c>
      <c r="C193" t="s">
        <v>1877</v>
      </c>
      <c r="D193" t="s">
        <v>1878</v>
      </c>
      <c r="E193" t="s">
        <v>16</v>
      </c>
      <c r="F193" t="s">
        <v>1236</v>
      </c>
      <c r="G193" s="2">
        <v>0.54166666666666663</v>
      </c>
      <c r="H193" t="s">
        <v>1200</v>
      </c>
      <c r="I193" t="s">
        <v>1201</v>
      </c>
      <c r="J193" t="s">
        <v>1730</v>
      </c>
      <c r="L193" t="s">
        <v>1363</v>
      </c>
      <c r="X193" t="s">
        <v>546</v>
      </c>
      <c r="Y193">
        <v>3</v>
      </c>
      <c r="Z193" t="s">
        <v>1396</v>
      </c>
      <c r="AB193" t="s">
        <v>1100</v>
      </c>
      <c r="AC193">
        <v>3</v>
      </c>
      <c r="AD193" t="s">
        <v>1396</v>
      </c>
    </row>
    <row r="194" spans="1:30" x14ac:dyDescent="0.3">
      <c r="A194" t="s">
        <v>539</v>
      </c>
      <c r="B194" t="s">
        <v>1879</v>
      </c>
      <c r="C194" t="s">
        <v>1880</v>
      </c>
      <c r="D194" t="s">
        <v>1881</v>
      </c>
      <c r="E194" t="s">
        <v>16</v>
      </c>
      <c r="F194" t="s">
        <v>1240</v>
      </c>
      <c r="G194" s="2">
        <v>0.53472222222222221</v>
      </c>
      <c r="H194" t="s">
        <v>1200</v>
      </c>
      <c r="I194" t="s">
        <v>1201</v>
      </c>
      <c r="J194" t="s">
        <v>1730</v>
      </c>
      <c r="L194" t="s">
        <v>1363</v>
      </c>
      <c r="X194" t="s">
        <v>546</v>
      </c>
      <c r="Y194">
        <v>3</v>
      </c>
      <c r="AB194" t="s">
        <v>1100</v>
      </c>
      <c r="AC194">
        <v>3</v>
      </c>
      <c r="AD194" t="s">
        <v>1396</v>
      </c>
    </row>
    <row r="195" spans="1:30" x14ac:dyDescent="0.3">
      <c r="A195" t="s">
        <v>539</v>
      </c>
      <c r="B195" t="s">
        <v>1882</v>
      </c>
      <c r="C195" t="s">
        <v>1883</v>
      </c>
      <c r="D195" t="s">
        <v>1884</v>
      </c>
      <c r="E195" t="s">
        <v>16</v>
      </c>
      <c r="F195" t="s">
        <v>1244</v>
      </c>
      <c r="G195" s="2">
        <v>0.52777777777777779</v>
      </c>
      <c r="H195" t="s">
        <v>1200</v>
      </c>
      <c r="I195" t="s">
        <v>1201</v>
      </c>
      <c r="J195" t="s">
        <v>1730</v>
      </c>
      <c r="L195" t="s">
        <v>1363</v>
      </c>
      <c r="X195" t="s">
        <v>546</v>
      </c>
      <c r="Y195">
        <v>3</v>
      </c>
      <c r="Z195" t="s">
        <v>1396</v>
      </c>
      <c r="AB195" t="s">
        <v>1100</v>
      </c>
      <c r="AC195">
        <v>3</v>
      </c>
      <c r="AD195" t="s">
        <v>1396</v>
      </c>
    </row>
    <row r="196" spans="1:30" x14ac:dyDescent="0.3">
      <c r="A196" t="s">
        <v>539</v>
      </c>
      <c r="B196" t="s">
        <v>1885</v>
      </c>
      <c r="C196" t="s">
        <v>1886</v>
      </c>
      <c r="D196" t="s">
        <v>1887</v>
      </c>
      <c r="E196" t="s">
        <v>16</v>
      </c>
      <c r="F196" t="s">
        <v>1249</v>
      </c>
      <c r="G196" s="2">
        <v>0.52083333333333337</v>
      </c>
      <c r="H196" t="s">
        <v>1200</v>
      </c>
      <c r="I196" t="s">
        <v>1201</v>
      </c>
      <c r="J196" t="s">
        <v>1730</v>
      </c>
      <c r="L196" t="s">
        <v>1363</v>
      </c>
      <c r="X196" t="s">
        <v>546</v>
      </c>
      <c r="Y196">
        <v>3</v>
      </c>
      <c r="Z196" t="s">
        <v>1396</v>
      </c>
      <c r="AB196" t="s">
        <v>1100</v>
      </c>
      <c r="AC196">
        <v>3</v>
      </c>
      <c r="AD196" t="s">
        <v>1396</v>
      </c>
    </row>
    <row r="197" spans="1:30" x14ac:dyDescent="0.3">
      <c r="A197" t="s">
        <v>539</v>
      </c>
      <c r="B197" t="s">
        <v>1888</v>
      </c>
      <c r="C197" t="s">
        <v>1889</v>
      </c>
      <c r="D197" t="s">
        <v>1890</v>
      </c>
      <c r="E197" t="s">
        <v>16</v>
      </c>
      <c r="F197" t="s">
        <v>1406</v>
      </c>
      <c r="G197" s="2">
        <v>0.51388888888888895</v>
      </c>
      <c r="H197" t="s">
        <v>1200</v>
      </c>
      <c r="I197" t="s">
        <v>1201</v>
      </c>
      <c r="J197" t="s">
        <v>1730</v>
      </c>
      <c r="L197" t="s">
        <v>1363</v>
      </c>
      <c r="X197" t="s">
        <v>546</v>
      </c>
      <c r="Y197">
        <v>3</v>
      </c>
      <c r="Z197" t="s">
        <v>1396</v>
      </c>
      <c r="AB197" t="s">
        <v>1100</v>
      </c>
      <c r="AC197">
        <v>3</v>
      </c>
      <c r="AD197" t="s">
        <v>1396</v>
      </c>
    </row>
    <row r="198" spans="1:30" x14ac:dyDescent="0.3">
      <c r="A198" t="s">
        <v>539</v>
      </c>
      <c r="B198" t="s">
        <v>1891</v>
      </c>
      <c r="C198" t="s">
        <v>1892</v>
      </c>
      <c r="D198" t="s">
        <v>1893</v>
      </c>
      <c r="E198" t="s">
        <v>16</v>
      </c>
      <c r="F198" t="s">
        <v>1254</v>
      </c>
      <c r="G198" s="2">
        <v>0.50694444444444442</v>
      </c>
      <c r="H198" t="s">
        <v>1200</v>
      </c>
      <c r="I198" t="s">
        <v>1201</v>
      </c>
      <c r="J198" t="s">
        <v>1730</v>
      </c>
      <c r="L198" t="s">
        <v>1363</v>
      </c>
      <c r="X198" t="s">
        <v>546</v>
      </c>
      <c r="Y198">
        <v>3</v>
      </c>
      <c r="Z198" t="s">
        <v>1396</v>
      </c>
      <c r="AB198" t="s">
        <v>1100</v>
      </c>
      <c r="AC198">
        <v>3</v>
      </c>
      <c r="AD198" t="s">
        <v>1396</v>
      </c>
    </row>
    <row r="199" spans="1:30" x14ac:dyDescent="0.3">
      <c r="A199" t="s">
        <v>539</v>
      </c>
      <c r="B199" t="s">
        <v>1894</v>
      </c>
      <c r="C199" t="s">
        <v>1895</v>
      </c>
      <c r="D199" t="s">
        <v>1896</v>
      </c>
      <c r="E199" t="s">
        <v>16</v>
      </c>
      <c r="F199" t="s">
        <v>1259</v>
      </c>
      <c r="G199" s="2">
        <v>0.5</v>
      </c>
      <c r="H199" t="s">
        <v>1200</v>
      </c>
      <c r="I199" t="s">
        <v>1201</v>
      </c>
      <c r="J199" t="s">
        <v>1730</v>
      </c>
      <c r="L199" t="s">
        <v>1363</v>
      </c>
      <c r="X199" t="s">
        <v>546</v>
      </c>
      <c r="Y199">
        <v>3</v>
      </c>
      <c r="Z199" t="s">
        <v>1396</v>
      </c>
      <c r="AB199" t="s">
        <v>1100</v>
      </c>
      <c r="AC199">
        <v>3</v>
      </c>
      <c r="AD199" t="s">
        <v>1396</v>
      </c>
    </row>
    <row r="200" spans="1:30" x14ac:dyDescent="0.3">
      <c r="A200" t="s">
        <v>539</v>
      </c>
      <c r="B200" t="s">
        <v>1897</v>
      </c>
      <c r="C200" t="s">
        <v>1898</v>
      </c>
      <c r="D200" t="s">
        <v>1899</v>
      </c>
      <c r="E200" t="s">
        <v>16</v>
      </c>
      <c r="F200" t="s">
        <v>1265</v>
      </c>
      <c r="G200" s="2">
        <v>0.49305555555555558</v>
      </c>
      <c r="H200" t="s">
        <v>1200</v>
      </c>
      <c r="I200" t="s">
        <v>1201</v>
      </c>
      <c r="J200" t="s">
        <v>1730</v>
      </c>
      <c r="L200" t="s">
        <v>1363</v>
      </c>
      <c r="X200" t="s">
        <v>546</v>
      </c>
      <c r="Y200">
        <v>3</v>
      </c>
      <c r="Z200" t="s">
        <v>1396</v>
      </c>
      <c r="AB200" t="s">
        <v>1100</v>
      </c>
      <c r="AC200">
        <v>3</v>
      </c>
      <c r="AD200" t="s">
        <v>1396</v>
      </c>
    </row>
    <row r="201" spans="1:30" x14ac:dyDescent="0.3">
      <c r="A201" t="s">
        <v>539</v>
      </c>
      <c r="B201" t="s">
        <v>1900</v>
      </c>
      <c r="C201" t="s">
        <v>1901</v>
      </c>
      <c r="D201" t="s">
        <v>1902</v>
      </c>
      <c r="E201" t="s">
        <v>16</v>
      </c>
      <c r="F201" t="s">
        <v>1270</v>
      </c>
      <c r="G201" s="2">
        <v>0.4861111111111111</v>
      </c>
      <c r="H201" t="s">
        <v>1200</v>
      </c>
      <c r="I201" t="s">
        <v>1201</v>
      </c>
      <c r="J201" t="s">
        <v>1730</v>
      </c>
      <c r="L201" t="s">
        <v>1363</v>
      </c>
      <c r="X201" t="s">
        <v>546</v>
      </c>
      <c r="Y201">
        <v>3</v>
      </c>
      <c r="Z201" t="s">
        <v>1396</v>
      </c>
      <c r="AB201" t="s">
        <v>1100</v>
      </c>
      <c r="AC201">
        <v>3</v>
      </c>
      <c r="AD201" t="s">
        <v>1396</v>
      </c>
    </row>
    <row r="202" spans="1:30" x14ac:dyDescent="0.3">
      <c r="A202" t="s">
        <v>539</v>
      </c>
      <c r="B202" t="s">
        <v>1903</v>
      </c>
      <c r="C202" t="s">
        <v>1904</v>
      </c>
      <c r="D202" t="s">
        <v>1905</v>
      </c>
      <c r="E202" t="s">
        <v>16</v>
      </c>
      <c r="F202" t="s">
        <v>1274</v>
      </c>
      <c r="G202" s="2">
        <v>0.47916666666666669</v>
      </c>
      <c r="H202" t="s">
        <v>1200</v>
      </c>
      <c r="I202" t="s">
        <v>1201</v>
      </c>
      <c r="J202" t="s">
        <v>1730</v>
      </c>
      <c r="L202" t="s">
        <v>1363</v>
      </c>
      <c r="X202" t="s">
        <v>546</v>
      </c>
      <c r="Y202">
        <v>3</v>
      </c>
      <c r="Z202" t="s">
        <v>1396</v>
      </c>
      <c r="AB202" t="s">
        <v>1100</v>
      </c>
      <c r="AC202">
        <v>3</v>
      </c>
      <c r="AD202" t="s">
        <v>1396</v>
      </c>
    </row>
    <row r="203" spans="1:30" x14ac:dyDescent="0.3">
      <c r="A203" t="s">
        <v>539</v>
      </c>
      <c r="B203" t="s">
        <v>1906</v>
      </c>
      <c r="C203" t="s">
        <v>1907</v>
      </c>
      <c r="D203" t="s">
        <v>1908</v>
      </c>
      <c r="E203" t="s">
        <v>16</v>
      </c>
      <c r="F203" t="s">
        <v>1278</v>
      </c>
      <c r="G203" s="2">
        <v>0.47222222222222227</v>
      </c>
      <c r="H203" t="s">
        <v>1200</v>
      </c>
      <c r="I203" t="s">
        <v>1201</v>
      </c>
      <c r="J203" t="s">
        <v>1730</v>
      </c>
      <c r="L203" t="s">
        <v>1363</v>
      </c>
      <c r="X203" t="s">
        <v>546</v>
      </c>
      <c r="Y203">
        <v>3</v>
      </c>
      <c r="Z203" t="s">
        <v>1396</v>
      </c>
      <c r="AB203" t="s">
        <v>1100</v>
      </c>
      <c r="AC203">
        <v>3</v>
      </c>
      <c r="AD203" t="s">
        <v>1396</v>
      </c>
    </row>
    <row r="204" spans="1:30" x14ac:dyDescent="0.3">
      <c r="A204" t="s">
        <v>539</v>
      </c>
      <c r="B204" t="s">
        <v>1909</v>
      </c>
      <c r="C204" t="s">
        <v>1910</v>
      </c>
      <c r="D204" t="s">
        <v>1911</v>
      </c>
      <c r="E204" t="s">
        <v>16</v>
      </c>
      <c r="F204" t="s">
        <v>1282</v>
      </c>
      <c r="G204" s="2">
        <v>0.46527777777777773</v>
      </c>
      <c r="H204" t="s">
        <v>1200</v>
      </c>
      <c r="I204" t="s">
        <v>1201</v>
      </c>
      <c r="J204" t="s">
        <v>1730</v>
      </c>
      <c r="L204" t="s">
        <v>1363</v>
      </c>
      <c r="X204" t="s">
        <v>546</v>
      </c>
      <c r="Y204">
        <v>3</v>
      </c>
      <c r="Z204" t="s">
        <v>1396</v>
      </c>
      <c r="AB204" t="s">
        <v>1100</v>
      </c>
      <c r="AC204">
        <v>3</v>
      </c>
      <c r="AD204" t="s">
        <v>1396</v>
      </c>
    </row>
    <row r="205" spans="1:30" x14ac:dyDescent="0.3">
      <c r="A205" t="s">
        <v>539</v>
      </c>
      <c r="B205" t="s">
        <v>1912</v>
      </c>
      <c r="C205" t="s">
        <v>1913</v>
      </c>
      <c r="D205" t="s">
        <v>1914</v>
      </c>
      <c r="E205" t="s">
        <v>16</v>
      </c>
      <c r="F205" t="s">
        <v>1287</v>
      </c>
      <c r="G205" s="2">
        <v>0.45833333333333331</v>
      </c>
      <c r="H205" t="s">
        <v>1200</v>
      </c>
      <c r="I205" t="s">
        <v>1201</v>
      </c>
      <c r="J205" t="s">
        <v>1730</v>
      </c>
      <c r="L205" t="s">
        <v>1363</v>
      </c>
      <c r="X205" t="s">
        <v>546</v>
      </c>
      <c r="Y205">
        <v>3</v>
      </c>
      <c r="Z205" t="s">
        <v>1396</v>
      </c>
      <c r="AB205" t="s">
        <v>1100</v>
      </c>
      <c r="AC205">
        <v>3</v>
      </c>
      <c r="AD205" t="s">
        <v>1396</v>
      </c>
    </row>
    <row r="206" spans="1:30" x14ac:dyDescent="0.3">
      <c r="A206" t="s">
        <v>539</v>
      </c>
      <c r="B206" t="s">
        <v>1915</v>
      </c>
      <c r="C206" t="s">
        <v>1916</v>
      </c>
      <c r="D206" t="s">
        <v>1917</v>
      </c>
      <c r="E206" t="s">
        <v>16</v>
      </c>
      <c r="F206" t="s">
        <v>1291</v>
      </c>
      <c r="G206" s="2">
        <v>0.4513888888888889</v>
      </c>
      <c r="H206" t="s">
        <v>1200</v>
      </c>
      <c r="I206" t="s">
        <v>1201</v>
      </c>
      <c r="J206" t="s">
        <v>1730</v>
      </c>
      <c r="L206" t="s">
        <v>1363</v>
      </c>
      <c r="X206" t="s">
        <v>546</v>
      </c>
      <c r="Y206">
        <v>3</v>
      </c>
      <c r="Z206" t="s">
        <v>1396</v>
      </c>
      <c r="AB206" t="s">
        <v>1100</v>
      </c>
      <c r="AC206">
        <v>3</v>
      </c>
      <c r="AD206" t="s">
        <v>1396</v>
      </c>
    </row>
    <row r="207" spans="1:30" x14ac:dyDescent="0.3">
      <c r="A207" t="s">
        <v>539</v>
      </c>
      <c r="B207" t="s">
        <v>1918</v>
      </c>
      <c r="C207" t="s">
        <v>1919</v>
      </c>
      <c r="D207" t="s">
        <v>1920</v>
      </c>
      <c r="E207" t="s">
        <v>16</v>
      </c>
      <c r="F207" t="s">
        <v>1296</v>
      </c>
      <c r="G207" s="2">
        <v>0.44444444444444442</v>
      </c>
      <c r="H207" t="s">
        <v>1200</v>
      </c>
      <c r="I207" t="s">
        <v>1201</v>
      </c>
      <c r="J207" t="s">
        <v>1730</v>
      </c>
      <c r="L207" t="s">
        <v>1363</v>
      </c>
      <c r="X207" t="s">
        <v>546</v>
      </c>
      <c r="Y207">
        <v>3</v>
      </c>
      <c r="Z207" t="s">
        <v>1396</v>
      </c>
      <c r="AB207" t="s">
        <v>1100</v>
      </c>
      <c r="AC207">
        <v>3</v>
      </c>
      <c r="AD207" t="s">
        <v>1396</v>
      </c>
    </row>
    <row r="208" spans="1:30" x14ac:dyDescent="0.3">
      <c r="A208" t="s">
        <v>539</v>
      </c>
      <c r="B208" t="s">
        <v>1921</v>
      </c>
      <c r="C208" t="s">
        <v>1922</v>
      </c>
      <c r="D208" t="s">
        <v>1923</v>
      </c>
      <c r="E208" t="s">
        <v>16</v>
      </c>
      <c r="F208" t="s">
        <v>1300</v>
      </c>
      <c r="G208" s="2">
        <v>0.4375</v>
      </c>
      <c r="H208" t="s">
        <v>1200</v>
      </c>
      <c r="I208" t="s">
        <v>1201</v>
      </c>
      <c r="J208" t="s">
        <v>1730</v>
      </c>
      <c r="L208" t="s">
        <v>1363</v>
      </c>
      <c r="X208" t="s">
        <v>546</v>
      </c>
      <c r="Y208">
        <v>3</v>
      </c>
      <c r="Z208" t="s">
        <v>1396</v>
      </c>
      <c r="AB208" t="s">
        <v>1100</v>
      </c>
      <c r="AC208">
        <v>3</v>
      </c>
      <c r="AD208" t="s">
        <v>1396</v>
      </c>
    </row>
    <row r="209" spans="1:33" x14ac:dyDescent="0.3">
      <c r="A209" t="s">
        <v>539</v>
      </c>
      <c r="B209" t="s">
        <v>1924</v>
      </c>
      <c r="C209" t="s">
        <v>1925</v>
      </c>
      <c r="D209" t="s">
        <v>1926</v>
      </c>
      <c r="E209" t="s">
        <v>16</v>
      </c>
      <c r="F209" t="s">
        <v>1443</v>
      </c>
      <c r="G209" s="2">
        <v>0.43055555555555558</v>
      </c>
      <c r="H209" t="s">
        <v>1200</v>
      </c>
      <c r="I209" t="s">
        <v>1201</v>
      </c>
      <c r="J209" t="s">
        <v>1730</v>
      </c>
      <c r="L209" t="s">
        <v>1363</v>
      </c>
      <c r="X209" t="s">
        <v>546</v>
      </c>
      <c r="Y209">
        <v>3</v>
      </c>
      <c r="Z209" t="s">
        <v>1396</v>
      </c>
      <c r="AB209" t="s">
        <v>1100</v>
      </c>
      <c r="AC209">
        <v>3</v>
      </c>
      <c r="AD209" t="s">
        <v>1396</v>
      </c>
    </row>
    <row r="210" spans="1:33" x14ac:dyDescent="0.3">
      <c r="A210" t="s">
        <v>539</v>
      </c>
      <c r="B210" t="s">
        <v>1927</v>
      </c>
      <c r="C210" t="s">
        <v>1928</v>
      </c>
      <c r="D210" t="s">
        <v>1929</v>
      </c>
      <c r="E210" t="s">
        <v>16</v>
      </c>
      <c r="F210" t="s">
        <v>1447</v>
      </c>
      <c r="G210" s="2">
        <v>0.4236111111111111</v>
      </c>
      <c r="H210" t="s">
        <v>1200</v>
      </c>
      <c r="I210" t="s">
        <v>1201</v>
      </c>
      <c r="J210" t="s">
        <v>1730</v>
      </c>
      <c r="L210" t="s">
        <v>1363</v>
      </c>
      <c r="X210" t="s">
        <v>546</v>
      </c>
      <c r="Y210">
        <v>3</v>
      </c>
      <c r="Z210" t="s">
        <v>1396</v>
      </c>
      <c r="AB210" t="s">
        <v>1100</v>
      </c>
      <c r="AC210">
        <v>3</v>
      </c>
      <c r="AD210" t="s">
        <v>1396</v>
      </c>
    </row>
    <row r="211" spans="1:33" x14ac:dyDescent="0.3">
      <c r="A211" t="s">
        <v>539</v>
      </c>
      <c r="B211" t="s">
        <v>1930</v>
      </c>
      <c r="C211" t="s">
        <v>1931</v>
      </c>
      <c r="D211" t="s">
        <v>1932</v>
      </c>
      <c r="E211" t="s">
        <v>16</v>
      </c>
      <c r="F211" t="s">
        <v>1451</v>
      </c>
      <c r="G211" s="2">
        <v>0.41666666666666669</v>
      </c>
      <c r="H211" t="s">
        <v>1200</v>
      </c>
      <c r="I211" t="s">
        <v>1201</v>
      </c>
      <c r="L211" t="s">
        <v>1363</v>
      </c>
      <c r="X211" t="s">
        <v>546</v>
      </c>
      <c r="Y211">
        <v>3</v>
      </c>
      <c r="Z211" t="s">
        <v>1396</v>
      </c>
      <c r="AB211" t="s">
        <v>1100</v>
      </c>
      <c r="AC211">
        <v>3</v>
      </c>
      <c r="AD211" t="s">
        <v>1396</v>
      </c>
    </row>
    <row r="212" spans="1:33" x14ac:dyDescent="0.3">
      <c r="A212" t="s">
        <v>539</v>
      </c>
      <c r="B212" t="s">
        <v>1933</v>
      </c>
      <c r="C212" t="s">
        <v>1934</v>
      </c>
      <c r="D212" t="s">
        <v>1935</v>
      </c>
      <c r="E212" t="s">
        <v>16</v>
      </c>
      <c r="F212" t="s">
        <v>1455</v>
      </c>
      <c r="G212" s="2">
        <v>0.40972222222222227</v>
      </c>
      <c r="H212" t="s">
        <v>1200</v>
      </c>
      <c r="I212" t="s">
        <v>1201</v>
      </c>
      <c r="J212" t="s">
        <v>1730</v>
      </c>
      <c r="L212" t="s">
        <v>1363</v>
      </c>
      <c r="X212" t="s">
        <v>546</v>
      </c>
      <c r="Y212">
        <v>3</v>
      </c>
      <c r="Z212" t="s">
        <v>1396</v>
      </c>
      <c r="AB212" t="s">
        <v>1100</v>
      </c>
      <c r="AC212">
        <v>3</v>
      </c>
      <c r="AD212" t="s">
        <v>1396</v>
      </c>
    </row>
    <row r="213" spans="1:33" x14ac:dyDescent="0.3">
      <c r="A213" t="s">
        <v>539</v>
      </c>
      <c r="B213" t="s">
        <v>1936</v>
      </c>
      <c r="C213" t="s">
        <v>1937</v>
      </c>
      <c r="D213" t="s">
        <v>1938</v>
      </c>
      <c r="E213" t="s">
        <v>16</v>
      </c>
      <c r="F213" t="s">
        <v>1459</v>
      </c>
      <c r="G213" s="2">
        <v>0.40277777777777773</v>
      </c>
      <c r="H213" t="s">
        <v>1200</v>
      </c>
      <c r="I213" t="s">
        <v>1201</v>
      </c>
      <c r="J213" t="s">
        <v>1730</v>
      </c>
      <c r="L213" t="s">
        <v>1363</v>
      </c>
      <c r="X213" t="s">
        <v>546</v>
      </c>
      <c r="Y213">
        <v>3</v>
      </c>
      <c r="Z213" t="s">
        <v>1396</v>
      </c>
      <c r="AB213" t="s">
        <v>1100</v>
      </c>
      <c r="AC213">
        <v>3</v>
      </c>
      <c r="AD213" t="s">
        <v>1396</v>
      </c>
    </row>
    <row r="214" spans="1:33" x14ac:dyDescent="0.3">
      <c r="A214" t="s">
        <v>539</v>
      </c>
      <c r="B214" t="s">
        <v>1939</v>
      </c>
      <c r="C214" t="s">
        <v>1940</v>
      </c>
      <c r="D214" t="s">
        <v>1941</v>
      </c>
      <c r="E214" t="s">
        <v>16</v>
      </c>
      <c r="F214" t="s">
        <v>1463</v>
      </c>
      <c r="G214" s="2">
        <v>0.39583333333333331</v>
      </c>
      <c r="H214" t="s">
        <v>1200</v>
      </c>
      <c r="I214" t="s">
        <v>1201</v>
      </c>
      <c r="J214" t="s">
        <v>1730</v>
      </c>
      <c r="L214" t="s">
        <v>1363</v>
      </c>
      <c r="X214" t="s">
        <v>546</v>
      </c>
      <c r="Y214">
        <v>3</v>
      </c>
      <c r="Z214" t="s">
        <v>1396</v>
      </c>
      <c r="AB214" t="s">
        <v>1100</v>
      </c>
      <c r="AC214">
        <v>3</v>
      </c>
      <c r="AD214" t="s">
        <v>1396</v>
      </c>
    </row>
    <row r="215" spans="1:33" x14ac:dyDescent="0.3">
      <c r="A215" t="s">
        <v>539</v>
      </c>
      <c r="B215" t="s">
        <v>1942</v>
      </c>
      <c r="C215" t="s">
        <v>1943</v>
      </c>
      <c r="D215" t="s">
        <v>1944</v>
      </c>
      <c r="E215" t="s">
        <v>16</v>
      </c>
      <c r="F215" t="s">
        <v>1469</v>
      </c>
      <c r="G215" s="2">
        <v>0.3888888888888889</v>
      </c>
      <c r="H215" t="s">
        <v>1200</v>
      </c>
      <c r="I215" t="s">
        <v>1201</v>
      </c>
      <c r="J215" t="s">
        <v>1730</v>
      </c>
      <c r="L215" t="s">
        <v>1363</v>
      </c>
      <c r="X215" t="s">
        <v>546</v>
      </c>
      <c r="Y215">
        <v>3</v>
      </c>
      <c r="Z215" t="s">
        <v>1396</v>
      </c>
      <c r="AB215" t="s">
        <v>1100</v>
      </c>
      <c r="AC215">
        <v>3</v>
      </c>
      <c r="AD215" t="s">
        <v>1396</v>
      </c>
    </row>
    <row r="216" spans="1:33" x14ac:dyDescent="0.3">
      <c r="A216" t="s">
        <v>539</v>
      </c>
      <c r="B216" t="s">
        <v>1945</v>
      </c>
      <c r="C216" t="s">
        <v>1946</v>
      </c>
      <c r="D216" t="s">
        <v>1947</v>
      </c>
      <c r="E216" t="s">
        <v>16</v>
      </c>
      <c r="F216" t="s">
        <v>1473</v>
      </c>
      <c r="G216" s="2">
        <v>0.38194444444444442</v>
      </c>
      <c r="H216" t="s">
        <v>1200</v>
      </c>
      <c r="I216" t="s">
        <v>1201</v>
      </c>
      <c r="J216" t="s">
        <v>1730</v>
      </c>
      <c r="L216" t="s">
        <v>1363</v>
      </c>
      <c r="X216" t="s">
        <v>546</v>
      </c>
      <c r="Y216">
        <v>3</v>
      </c>
      <c r="Z216" t="s">
        <v>1396</v>
      </c>
      <c r="AB216" t="s">
        <v>1100</v>
      </c>
      <c r="AC216">
        <v>3</v>
      </c>
      <c r="AD216" t="s">
        <v>1396</v>
      </c>
    </row>
    <row r="217" spans="1:33" x14ac:dyDescent="0.3">
      <c r="A217" t="s">
        <v>539</v>
      </c>
      <c r="B217" t="s">
        <v>1948</v>
      </c>
      <c r="C217" t="s">
        <v>1949</v>
      </c>
      <c r="D217" t="s">
        <v>1950</v>
      </c>
      <c r="E217" t="s">
        <v>16</v>
      </c>
      <c r="F217" t="s">
        <v>1477</v>
      </c>
      <c r="G217" s="2">
        <v>0.375</v>
      </c>
      <c r="H217" t="s">
        <v>1200</v>
      </c>
      <c r="I217" t="s">
        <v>1201</v>
      </c>
      <c r="J217" t="s">
        <v>1730</v>
      </c>
      <c r="M217" t="s">
        <v>1464</v>
      </c>
      <c r="X217" t="s">
        <v>1100</v>
      </c>
      <c r="Y217">
        <v>3</v>
      </c>
      <c r="Z217" t="s">
        <v>1203</v>
      </c>
      <c r="AB217" t="s">
        <v>546</v>
      </c>
      <c r="AC217">
        <v>3</v>
      </c>
      <c r="AD217" t="s">
        <v>1203</v>
      </c>
    </row>
    <row r="218" spans="1:33" x14ac:dyDescent="0.3">
      <c r="A218" t="s">
        <v>539</v>
      </c>
      <c r="B218" t="s">
        <v>1951</v>
      </c>
      <c r="C218" t="s">
        <v>1952</v>
      </c>
      <c r="D218" t="s">
        <v>1953</v>
      </c>
      <c r="E218" t="s">
        <v>16</v>
      </c>
      <c r="F218" t="s">
        <v>1482</v>
      </c>
      <c r="G218" s="2">
        <v>0.36805555555555558</v>
      </c>
      <c r="H218" t="s">
        <v>1200</v>
      </c>
      <c r="I218" t="s">
        <v>1201</v>
      </c>
      <c r="J218" t="s">
        <v>1730</v>
      </c>
      <c r="M218" t="s">
        <v>1464</v>
      </c>
      <c r="X218" t="s">
        <v>498</v>
      </c>
      <c r="Y218">
        <v>2</v>
      </c>
      <c r="Z218" t="s">
        <v>1465</v>
      </c>
      <c r="AB218" t="s">
        <v>546</v>
      </c>
      <c r="AC218">
        <v>3</v>
      </c>
      <c r="AD218" t="s">
        <v>1465</v>
      </c>
    </row>
    <row r="219" spans="1:33" x14ac:dyDescent="0.3">
      <c r="A219" t="s">
        <v>539</v>
      </c>
      <c r="B219" t="s">
        <v>1954</v>
      </c>
      <c r="C219" t="s">
        <v>1955</v>
      </c>
      <c r="D219" t="s">
        <v>1956</v>
      </c>
      <c r="E219" t="s">
        <v>16</v>
      </c>
      <c r="F219" t="s">
        <v>1486</v>
      </c>
      <c r="G219" s="2">
        <v>0.3611111111111111</v>
      </c>
      <c r="H219" t="s">
        <v>1200</v>
      </c>
      <c r="I219" t="s">
        <v>1201</v>
      </c>
      <c r="J219" t="s">
        <v>1730</v>
      </c>
      <c r="M219" t="s">
        <v>1464</v>
      </c>
      <c r="X219" t="s">
        <v>498</v>
      </c>
      <c r="Y219">
        <v>2</v>
      </c>
      <c r="Z219" t="s">
        <v>1465</v>
      </c>
      <c r="AB219" t="s">
        <v>546</v>
      </c>
      <c r="AC219">
        <v>4</v>
      </c>
      <c r="AD219" t="s">
        <v>1496</v>
      </c>
      <c r="AE219" t="s">
        <v>1100</v>
      </c>
      <c r="AF219">
        <v>4</v>
      </c>
      <c r="AG219" t="s">
        <v>1266</v>
      </c>
    </row>
    <row r="220" spans="1:33" x14ac:dyDescent="0.3">
      <c r="A220" t="s">
        <v>539</v>
      </c>
      <c r="B220" t="s">
        <v>1957</v>
      </c>
      <c r="C220" t="s">
        <v>1958</v>
      </c>
      <c r="D220" t="s">
        <v>1959</v>
      </c>
      <c r="E220" t="s">
        <v>16</v>
      </c>
      <c r="F220" t="s">
        <v>1490</v>
      </c>
      <c r="G220" s="2">
        <v>0.35416666666666669</v>
      </c>
      <c r="H220" t="s">
        <v>1200</v>
      </c>
      <c r="I220" t="s">
        <v>1201</v>
      </c>
      <c r="J220" t="s">
        <v>1730</v>
      </c>
      <c r="M220" t="s">
        <v>1464</v>
      </c>
    </row>
    <row r="221" spans="1:33" x14ac:dyDescent="0.3">
      <c r="A221" t="s">
        <v>539</v>
      </c>
      <c r="B221" t="s">
        <v>1960</v>
      </c>
      <c r="C221" t="s">
        <v>1961</v>
      </c>
      <c r="D221" t="s">
        <v>1962</v>
      </c>
      <c r="E221" t="s">
        <v>16</v>
      </c>
      <c r="F221" t="s">
        <v>1495</v>
      </c>
      <c r="G221" s="2">
        <v>0.34722222222222227</v>
      </c>
      <c r="H221" t="s">
        <v>1200</v>
      </c>
      <c r="I221" t="s">
        <v>1201</v>
      </c>
      <c r="J221" t="s">
        <v>1730</v>
      </c>
      <c r="M221" t="s">
        <v>1464</v>
      </c>
    </row>
    <row r="222" spans="1:33" x14ac:dyDescent="0.3">
      <c r="A222" t="s">
        <v>543</v>
      </c>
      <c r="B222" t="s">
        <v>1963</v>
      </c>
      <c r="C222" t="s">
        <v>1964</v>
      </c>
      <c r="D222" t="s">
        <v>1965</v>
      </c>
      <c r="E222" t="s">
        <v>16</v>
      </c>
      <c r="F222" t="s">
        <v>1342</v>
      </c>
      <c r="G222" s="2">
        <v>0.64583333333333337</v>
      </c>
      <c r="H222" t="s">
        <v>1200</v>
      </c>
      <c r="I222" t="s">
        <v>1201</v>
      </c>
      <c r="L222" t="s">
        <v>1363</v>
      </c>
      <c r="X222" t="s">
        <v>1100</v>
      </c>
      <c r="Z222" t="s">
        <v>1396</v>
      </c>
    </row>
    <row r="223" spans="1:33" x14ac:dyDescent="0.3">
      <c r="A223" t="s">
        <v>543</v>
      </c>
      <c r="B223" t="s">
        <v>1966</v>
      </c>
      <c r="C223" t="s">
        <v>1967</v>
      </c>
      <c r="D223" t="s">
        <v>1968</v>
      </c>
      <c r="E223" t="s">
        <v>16</v>
      </c>
      <c r="F223" t="s">
        <v>1346</v>
      </c>
      <c r="G223" s="2">
        <v>0.63888888888888895</v>
      </c>
      <c r="H223" t="s">
        <v>1200</v>
      </c>
      <c r="I223" t="s">
        <v>1201</v>
      </c>
      <c r="L223" t="s">
        <v>1363</v>
      </c>
      <c r="X223" t="s">
        <v>1100</v>
      </c>
      <c r="Y223">
        <v>1</v>
      </c>
      <c r="Z223" t="s">
        <v>1396</v>
      </c>
    </row>
    <row r="224" spans="1:33" x14ac:dyDescent="0.3">
      <c r="A224" t="s">
        <v>543</v>
      </c>
      <c r="B224" t="s">
        <v>1969</v>
      </c>
      <c r="C224" t="s">
        <v>1970</v>
      </c>
      <c r="D224" t="s">
        <v>1971</v>
      </c>
      <c r="E224" t="s">
        <v>16</v>
      </c>
      <c r="F224" t="s">
        <v>1350</v>
      </c>
      <c r="G224" s="2">
        <v>0.63194444444444442</v>
      </c>
      <c r="H224" t="s">
        <v>1200</v>
      </c>
      <c r="I224" t="s">
        <v>1201</v>
      </c>
      <c r="L224" t="s">
        <v>1363</v>
      </c>
      <c r="X224" t="s">
        <v>1100</v>
      </c>
      <c r="Y224">
        <v>1</v>
      </c>
      <c r="Z224" t="s">
        <v>1396</v>
      </c>
    </row>
    <row r="225" spans="1:26" x14ac:dyDescent="0.3">
      <c r="A225" t="s">
        <v>543</v>
      </c>
      <c r="B225" t="s">
        <v>1972</v>
      </c>
      <c r="C225" t="s">
        <v>1973</v>
      </c>
      <c r="D225" t="s">
        <v>1974</v>
      </c>
      <c r="E225" t="s">
        <v>16</v>
      </c>
      <c r="F225" t="s">
        <v>1354</v>
      </c>
      <c r="G225" s="2">
        <v>0.625</v>
      </c>
      <c r="H225" t="s">
        <v>1200</v>
      </c>
      <c r="I225" t="s">
        <v>1201</v>
      </c>
      <c r="L225" t="s">
        <v>1363</v>
      </c>
      <c r="X225" t="s">
        <v>1100</v>
      </c>
      <c r="Y225">
        <v>1</v>
      </c>
      <c r="Z225" t="s">
        <v>1396</v>
      </c>
    </row>
    <row r="226" spans="1:26" x14ac:dyDescent="0.3">
      <c r="A226" t="s">
        <v>543</v>
      </c>
      <c r="B226" t="s">
        <v>1975</v>
      </c>
      <c r="C226" t="s">
        <v>1976</v>
      </c>
      <c r="D226" t="s">
        <v>1977</v>
      </c>
      <c r="E226" t="s">
        <v>16</v>
      </c>
      <c r="F226" t="s">
        <v>1558</v>
      </c>
      <c r="G226" s="2">
        <v>0.61805555555555558</v>
      </c>
      <c r="H226" t="s">
        <v>1200</v>
      </c>
      <c r="I226" t="s">
        <v>1201</v>
      </c>
      <c r="L226" t="s">
        <v>1363</v>
      </c>
      <c r="X226" t="s">
        <v>1100</v>
      </c>
      <c r="Y226">
        <v>1</v>
      </c>
      <c r="Z226" t="s">
        <v>1396</v>
      </c>
    </row>
    <row r="227" spans="1:26" x14ac:dyDescent="0.3">
      <c r="A227" t="s">
        <v>543</v>
      </c>
      <c r="B227" t="s">
        <v>1978</v>
      </c>
      <c r="C227" t="s">
        <v>1979</v>
      </c>
      <c r="D227" t="s">
        <v>1980</v>
      </c>
      <c r="E227" t="s">
        <v>16</v>
      </c>
      <c r="F227" t="s">
        <v>1358</v>
      </c>
      <c r="G227" s="2">
        <v>0.61111111111111105</v>
      </c>
      <c r="H227" t="s">
        <v>1200</v>
      </c>
      <c r="I227" t="s">
        <v>1201</v>
      </c>
      <c r="L227" t="s">
        <v>1363</v>
      </c>
      <c r="X227" t="s">
        <v>1100</v>
      </c>
      <c r="Y227">
        <v>1</v>
      </c>
      <c r="Z227" t="s">
        <v>1396</v>
      </c>
    </row>
    <row r="228" spans="1:26" x14ac:dyDescent="0.3">
      <c r="A228" t="s">
        <v>543</v>
      </c>
      <c r="B228" t="s">
        <v>1981</v>
      </c>
      <c r="C228" t="s">
        <v>1982</v>
      </c>
      <c r="D228" t="s">
        <v>1983</v>
      </c>
      <c r="E228" t="s">
        <v>16</v>
      </c>
      <c r="F228" t="s">
        <v>1362</v>
      </c>
      <c r="G228" s="2">
        <v>0.60416666666666663</v>
      </c>
      <c r="H228" t="s">
        <v>1200</v>
      </c>
      <c r="I228" t="s">
        <v>1201</v>
      </c>
      <c r="L228" t="s">
        <v>1363</v>
      </c>
      <c r="X228" t="s">
        <v>1100</v>
      </c>
      <c r="Y228">
        <v>1</v>
      </c>
      <c r="Z228" t="s">
        <v>1396</v>
      </c>
    </row>
    <row r="229" spans="1:26" x14ac:dyDescent="0.3">
      <c r="A229" t="s">
        <v>543</v>
      </c>
      <c r="B229" t="s">
        <v>1984</v>
      </c>
      <c r="C229" t="s">
        <v>1985</v>
      </c>
      <c r="D229" t="s">
        <v>1986</v>
      </c>
      <c r="E229" t="s">
        <v>16</v>
      </c>
      <c r="F229" t="s">
        <v>1367</v>
      </c>
      <c r="G229" s="2">
        <v>0.59722222222222221</v>
      </c>
      <c r="H229" t="s">
        <v>1200</v>
      </c>
      <c r="I229" t="s">
        <v>1201</v>
      </c>
      <c r="L229" t="s">
        <v>1363</v>
      </c>
      <c r="X229" t="s">
        <v>1100</v>
      </c>
      <c r="Y229">
        <v>1</v>
      </c>
      <c r="Z229" t="s">
        <v>1396</v>
      </c>
    </row>
    <row r="230" spans="1:26" x14ac:dyDescent="0.3">
      <c r="A230" t="s">
        <v>543</v>
      </c>
      <c r="B230" t="s">
        <v>1987</v>
      </c>
      <c r="C230" t="s">
        <v>1988</v>
      </c>
      <c r="D230" t="s">
        <v>1989</v>
      </c>
      <c r="E230" t="s">
        <v>16</v>
      </c>
      <c r="F230" t="s">
        <v>1371</v>
      </c>
      <c r="G230" s="2">
        <v>0.59027777777777779</v>
      </c>
      <c r="H230" t="s">
        <v>1200</v>
      </c>
      <c r="I230" t="s">
        <v>1201</v>
      </c>
      <c r="L230" t="s">
        <v>1363</v>
      </c>
      <c r="X230" t="s">
        <v>1100</v>
      </c>
      <c r="Y230">
        <v>1</v>
      </c>
      <c r="Z230" t="s">
        <v>1396</v>
      </c>
    </row>
    <row r="231" spans="1:26" x14ac:dyDescent="0.3">
      <c r="A231" t="s">
        <v>543</v>
      </c>
      <c r="B231" t="s">
        <v>1990</v>
      </c>
      <c r="C231" t="s">
        <v>1991</v>
      </c>
      <c r="D231" t="s">
        <v>1992</v>
      </c>
      <c r="E231" t="s">
        <v>16</v>
      </c>
      <c r="F231" t="s">
        <v>1199</v>
      </c>
      <c r="G231" s="2">
        <v>0.58333333333333337</v>
      </c>
      <c r="H231" t="s">
        <v>1200</v>
      </c>
      <c r="I231" t="s">
        <v>1201</v>
      </c>
      <c r="L231" t="s">
        <v>1363</v>
      </c>
      <c r="X231" t="s">
        <v>1100</v>
      </c>
      <c r="Y231">
        <v>1</v>
      </c>
      <c r="Z231" t="s">
        <v>1396</v>
      </c>
    </row>
    <row r="232" spans="1:26" x14ac:dyDescent="0.3">
      <c r="A232" t="s">
        <v>543</v>
      </c>
      <c r="B232" t="s">
        <v>1993</v>
      </c>
      <c r="C232" t="s">
        <v>1994</v>
      </c>
      <c r="D232" t="s">
        <v>1995</v>
      </c>
      <c r="E232" t="s">
        <v>16</v>
      </c>
      <c r="F232" t="s">
        <v>1207</v>
      </c>
      <c r="G232" s="2">
        <v>0.57638888888888895</v>
      </c>
      <c r="H232" t="s">
        <v>1200</v>
      </c>
      <c r="I232" t="s">
        <v>1201</v>
      </c>
      <c r="L232" t="s">
        <v>1363</v>
      </c>
      <c r="X232" t="s">
        <v>1100</v>
      </c>
      <c r="Y232">
        <v>1</v>
      </c>
      <c r="Z232" t="s">
        <v>1396</v>
      </c>
    </row>
    <row r="233" spans="1:26" x14ac:dyDescent="0.3">
      <c r="A233" t="s">
        <v>543</v>
      </c>
      <c r="B233" t="s">
        <v>1996</v>
      </c>
      <c r="C233" t="s">
        <v>1997</v>
      </c>
      <c r="D233" t="s">
        <v>1998</v>
      </c>
      <c r="E233" t="s">
        <v>16</v>
      </c>
      <c r="F233" t="s">
        <v>1211</v>
      </c>
      <c r="G233" s="2">
        <v>0.56944444444444442</v>
      </c>
      <c r="H233" t="s">
        <v>1200</v>
      </c>
      <c r="I233" t="s">
        <v>1201</v>
      </c>
      <c r="L233" t="s">
        <v>1363</v>
      </c>
      <c r="X233" t="s">
        <v>1100</v>
      </c>
      <c r="Y233">
        <v>1</v>
      </c>
      <c r="Z233" t="s">
        <v>1396</v>
      </c>
    </row>
    <row r="234" spans="1:26" x14ac:dyDescent="0.3">
      <c r="A234" t="s">
        <v>543</v>
      </c>
      <c r="B234" t="s">
        <v>1999</v>
      </c>
      <c r="C234" t="s">
        <v>2000</v>
      </c>
      <c r="D234" t="s">
        <v>2001</v>
      </c>
      <c r="E234" t="s">
        <v>16</v>
      </c>
      <c r="F234" t="s">
        <v>1215</v>
      </c>
      <c r="G234" s="2">
        <v>0.5625</v>
      </c>
      <c r="H234" t="s">
        <v>1200</v>
      </c>
      <c r="I234" t="s">
        <v>1201</v>
      </c>
      <c r="L234" t="s">
        <v>1363</v>
      </c>
      <c r="X234" t="s">
        <v>1100</v>
      </c>
      <c r="Y234">
        <v>1</v>
      </c>
      <c r="Z234" t="s">
        <v>1396</v>
      </c>
    </row>
    <row r="235" spans="1:26" x14ac:dyDescent="0.3">
      <c r="A235" t="s">
        <v>543</v>
      </c>
      <c r="B235" t="s">
        <v>2002</v>
      </c>
      <c r="C235" t="s">
        <v>2003</v>
      </c>
      <c r="D235" t="s">
        <v>2004</v>
      </c>
      <c r="E235" t="s">
        <v>16</v>
      </c>
      <c r="F235" t="s">
        <v>1221</v>
      </c>
      <c r="G235" s="2">
        <v>0.55555555555555558</v>
      </c>
      <c r="H235" t="s">
        <v>1200</v>
      </c>
      <c r="I235" t="s">
        <v>1201</v>
      </c>
      <c r="L235" t="s">
        <v>1363</v>
      </c>
      <c r="X235" t="s">
        <v>1100</v>
      </c>
      <c r="Y235">
        <v>1</v>
      </c>
      <c r="Z235" t="s">
        <v>1396</v>
      </c>
    </row>
    <row r="236" spans="1:26" x14ac:dyDescent="0.3">
      <c r="A236" t="s">
        <v>543</v>
      </c>
      <c r="B236" t="s">
        <v>2005</v>
      </c>
      <c r="C236" t="s">
        <v>2006</v>
      </c>
      <c r="D236" t="s">
        <v>2007</v>
      </c>
      <c r="E236" t="s">
        <v>16</v>
      </c>
      <c r="F236" t="s">
        <v>1232</v>
      </c>
      <c r="G236" s="2">
        <v>0.54861111111111105</v>
      </c>
      <c r="H236" t="s">
        <v>1200</v>
      </c>
      <c r="I236" t="s">
        <v>1201</v>
      </c>
      <c r="L236" t="s">
        <v>1363</v>
      </c>
      <c r="X236" t="s">
        <v>1100</v>
      </c>
      <c r="Y236">
        <v>1</v>
      </c>
      <c r="Z236" t="s">
        <v>1396</v>
      </c>
    </row>
    <row r="237" spans="1:26" x14ac:dyDescent="0.3">
      <c r="A237" t="s">
        <v>543</v>
      </c>
      <c r="B237" t="s">
        <v>2008</v>
      </c>
      <c r="C237" t="s">
        <v>2009</v>
      </c>
      <c r="D237" t="s">
        <v>2010</v>
      </c>
      <c r="E237" t="s">
        <v>16</v>
      </c>
      <c r="F237" t="s">
        <v>1236</v>
      </c>
      <c r="G237" s="2">
        <v>0.54166666666666663</v>
      </c>
      <c r="H237" t="s">
        <v>1200</v>
      </c>
      <c r="I237" t="s">
        <v>1201</v>
      </c>
      <c r="L237" t="s">
        <v>1363</v>
      </c>
      <c r="X237" t="s">
        <v>1100</v>
      </c>
      <c r="Y237">
        <v>1</v>
      </c>
      <c r="Z237" t="s">
        <v>1396</v>
      </c>
    </row>
    <row r="238" spans="1:26" x14ac:dyDescent="0.3">
      <c r="A238" t="s">
        <v>543</v>
      </c>
      <c r="B238" t="s">
        <v>2011</v>
      </c>
      <c r="C238" t="s">
        <v>2012</v>
      </c>
      <c r="D238" t="s">
        <v>2013</v>
      </c>
      <c r="E238" t="s">
        <v>16</v>
      </c>
      <c r="F238" t="s">
        <v>1240</v>
      </c>
      <c r="G238" s="2">
        <v>0.53472222222222221</v>
      </c>
      <c r="H238" t="s">
        <v>1200</v>
      </c>
      <c r="I238" t="s">
        <v>1201</v>
      </c>
      <c r="L238" t="s">
        <v>1363</v>
      </c>
      <c r="X238" t="s">
        <v>1100</v>
      </c>
      <c r="Y238">
        <v>1</v>
      </c>
      <c r="Z238" t="s">
        <v>1396</v>
      </c>
    </row>
    <row r="239" spans="1:26" x14ac:dyDescent="0.3">
      <c r="A239" t="s">
        <v>543</v>
      </c>
      <c r="B239" t="s">
        <v>2014</v>
      </c>
      <c r="C239" t="s">
        <v>2015</v>
      </c>
      <c r="D239" t="s">
        <v>2016</v>
      </c>
      <c r="E239" t="s">
        <v>16</v>
      </c>
      <c r="F239" t="s">
        <v>1244</v>
      </c>
      <c r="G239" s="2">
        <v>0.52777777777777779</v>
      </c>
      <c r="H239" t="s">
        <v>1200</v>
      </c>
      <c r="I239" t="s">
        <v>1201</v>
      </c>
      <c r="L239" t="s">
        <v>1363</v>
      </c>
      <c r="X239" t="s">
        <v>1100</v>
      </c>
      <c r="Y239">
        <v>1</v>
      </c>
      <c r="Z239" t="s">
        <v>1396</v>
      </c>
    </row>
    <row r="240" spans="1:26" x14ac:dyDescent="0.3">
      <c r="A240" t="s">
        <v>543</v>
      </c>
      <c r="B240" t="s">
        <v>2017</v>
      </c>
      <c r="C240" t="s">
        <v>2018</v>
      </c>
      <c r="D240" t="s">
        <v>2019</v>
      </c>
      <c r="E240" t="s">
        <v>16</v>
      </c>
      <c r="F240" t="s">
        <v>1249</v>
      </c>
      <c r="G240" s="2">
        <v>0.52083333333333337</v>
      </c>
      <c r="H240" t="s">
        <v>1200</v>
      </c>
      <c r="I240" t="s">
        <v>1201</v>
      </c>
      <c r="L240" t="s">
        <v>1363</v>
      </c>
      <c r="X240" t="s">
        <v>1100</v>
      </c>
      <c r="Y240">
        <v>1</v>
      </c>
      <c r="Z240" t="s">
        <v>1396</v>
      </c>
    </row>
    <row r="241" spans="1:33" x14ac:dyDescent="0.3">
      <c r="A241" t="s">
        <v>543</v>
      </c>
      <c r="B241" t="s">
        <v>2020</v>
      </c>
      <c r="C241" t="s">
        <v>2021</v>
      </c>
      <c r="D241" t="s">
        <v>2022</v>
      </c>
      <c r="E241" t="s">
        <v>16</v>
      </c>
      <c r="F241" t="s">
        <v>1406</v>
      </c>
      <c r="G241" s="2">
        <v>0.51388888888888895</v>
      </c>
      <c r="H241" t="s">
        <v>1200</v>
      </c>
      <c r="I241" t="s">
        <v>1201</v>
      </c>
      <c r="L241" t="s">
        <v>1363</v>
      </c>
      <c r="X241" t="s">
        <v>1100</v>
      </c>
      <c r="Y241">
        <v>1</v>
      </c>
      <c r="Z241" t="s">
        <v>1396</v>
      </c>
    </row>
    <row r="242" spans="1:33" x14ac:dyDescent="0.3">
      <c r="A242" t="s">
        <v>543</v>
      </c>
      <c r="B242" t="s">
        <v>2023</v>
      </c>
      <c r="C242" t="s">
        <v>2024</v>
      </c>
      <c r="D242" t="s">
        <v>2025</v>
      </c>
      <c r="E242" t="s">
        <v>16</v>
      </c>
      <c r="F242" t="s">
        <v>1254</v>
      </c>
      <c r="G242" s="2">
        <v>0.50694444444444442</v>
      </c>
      <c r="H242" t="s">
        <v>1200</v>
      </c>
      <c r="I242" t="s">
        <v>1201</v>
      </c>
      <c r="L242" t="s">
        <v>1363</v>
      </c>
      <c r="X242" t="s">
        <v>1100</v>
      </c>
      <c r="Y242">
        <v>1</v>
      </c>
      <c r="Z242" t="s">
        <v>1396</v>
      </c>
    </row>
    <row r="243" spans="1:33" x14ac:dyDescent="0.3">
      <c r="A243" t="s">
        <v>543</v>
      </c>
      <c r="B243" t="s">
        <v>2026</v>
      </c>
      <c r="C243" t="s">
        <v>2027</v>
      </c>
      <c r="D243" t="s">
        <v>2028</v>
      </c>
      <c r="E243" t="s">
        <v>16</v>
      </c>
      <c r="F243" t="s">
        <v>1259</v>
      </c>
      <c r="G243" s="2">
        <v>0.5</v>
      </c>
      <c r="H243" t="s">
        <v>1200</v>
      </c>
      <c r="I243" t="s">
        <v>1201</v>
      </c>
      <c r="L243" t="s">
        <v>1363</v>
      </c>
      <c r="X243" t="s">
        <v>1100</v>
      </c>
      <c r="Y243">
        <v>1</v>
      </c>
      <c r="Z243" t="s">
        <v>1396</v>
      </c>
    </row>
    <row r="244" spans="1:33" x14ac:dyDescent="0.3">
      <c r="A244" t="s">
        <v>543</v>
      </c>
      <c r="B244" t="s">
        <v>2029</v>
      </c>
      <c r="C244" t="s">
        <v>2030</v>
      </c>
      <c r="D244" t="s">
        <v>2031</v>
      </c>
      <c r="E244" t="s">
        <v>16</v>
      </c>
      <c r="F244" t="s">
        <v>1265</v>
      </c>
      <c r="G244" s="2">
        <v>0.49305555555555558</v>
      </c>
      <c r="H244" t="s">
        <v>1200</v>
      </c>
      <c r="I244" t="s">
        <v>1201</v>
      </c>
      <c r="L244" t="s">
        <v>1202</v>
      </c>
      <c r="X244" t="s">
        <v>1100</v>
      </c>
      <c r="Y244">
        <v>1</v>
      </c>
      <c r="Z244" t="s">
        <v>1203</v>
      </c>
    </row>
    <row r="245" spans="1:33" x14ac:dyDescent="0.3">
      <c r="A245" t="s">
        <v>543</v>
      </c>
      <c r="B245" t="s">
        <v>2032</v>
      </c>
      <c r="C245" t="s">
        <v>2033</v>
      </c>
      <c r="D245" t="s">
        <v>2034</v>
      </c>
      <c r="E245" t="s">
        <v>16</v>
      </c>
      <c r="F245" t="s">
        <v>1270</v>
      </c>
      <c r="G245" s="2">
        <v>0.4861111111111111</v>
      </c>
      <c r="H245" t="s">
        <v>1200</v>
      </c>
      <c r="I245" t="s">
        <v>1201</v>
      </c>
      <c r="L245" t="s">
        <v>1202</v>
      </c>
      <c r="X245" t="s">
        <v>1100</v>
      </c>
      <c r="Y245">
        <v>1</v>
      </c>
      <c r="Z245" t="s">
        <v>1203</v>
      </c>
    </row>
    <row r="246" spans="1:33" x14ac:dyDescent="0.3">
      <c r="A246" t="s">
        <v>543</v>
      </c>
      <c r="B246" t="s">
        <v>2035</v>
      </c>
      <c r="C246" t="s">
        <v>2036</v>
      </c>
      <c r="D246" t="s">
        <v>2037</v>
      </c>
      <c r="E246" t="s">
        <v>16</v>
      </c>
      <c r="F246" t="s">
        <v>1274</v>
      </c>
      <c r="G246" s="2">
        <v>0.47916666666666669</v>
      </c>
      <c r="H246" t="s">
        <v>1200</v>
      </c>
      <c r="I246" t="s">
        <v>1201</v>
      </c>
      <c r="L246" t="s">
        <v>1202</v>
      </c>
      <c r="X246" t="s">
        <v>1100</v>
      </c>
      <c r="Y246">
        <v>1</v>
      </c>
      <c r="Z246" t="s">
        <v>1203</v>
      </c>
    </row>
    <row r="247" spans="1:33" x14ac:dyDescent="0.3">
      <c r="A247" t="s">
        <v>543</v>
      </c>
      <c r="B247" t="s">
        <v>2038</v>
      </c>
      <c r="C247" t="s">
        <v>2039</v>
      </c>
      <c r="D247" t="s">
        <v>2040</v>
      </c>
      <c r="E247" t="s">
        <v>16</v>
      </c>
      <c r="F247" t="s">
        <v>1278</v>
      </c>
      <c r="G247" s="2">
        <v>0.47222222222222227</v>
      </c>
      <c r="H247" t="s">
        <v>1668</v>
      </c>
      <c r="I247" t="s">
        <v>1201</v>
      </c>
      <c r="M247" t="s">
        <v>1464</v>
      </c>
    </row>
    <row r="248" spans="1:33" x14ac:dyDescent="0.3">
      <c r="A248" t="s">
        <v>543</v>
      </c>
      <c r="B248" t="s">
        <v>2041</v>
      </c>
      <c r="C248" t="s">
        <v>2042</v>
      </c>
      <c r="D248" t="s">
        <v>2043</v>
      </c>
      <c r="E248" t="s">
        <v>16</v>
      </c>
      <c r="F248" t="s">
        <v>1282</v>
      </c>
      <c r="G248" s="2">
        <v>0.46527777777777773</v>
      </c>
      <c r="H248" t="s">
        <v>1200</v>
      </c>
      <c r="I248" t="s">
        <v>1201</v>
      </c>
      <c r="M248" t="s">
        <v>1464</v>
      </c>
    </row>
    <row r="249" spans="1:33" x14ac:dyDescent="0.3">
      <c r="A249" t="s">
        <v>543</v>
      </c>
      <c r="B249" t="s">
        <v>2044</v>
      </c>
      <c r="C249" t="s">
        <v>2045</v>
      </c>
      <c r="D249" t="s">
        <v>2046</v>
      </c>
      <c r="E249" t="s">
        <v>16</v>
      </c>
      <c r="F249" t="s">
        <v>1287</v>
      </c>
      <c r="G249" s="2">
        <v>0.45833333333333331</v>
      </c>
      <c r="H249" t="s">
        <v>1200</v>
      </c>
      <c r="I249" t="s">
        <v>1201</v>
      </c>
      <c r="M249" t="s">
        <v>1640</v>
      </c>
      <c r="X249" t="s">
        <v>546</v>
      </c>
      <c r="Y249">
        <v>2</v>
      </c>
      <c r="Z249" t="s">
        <v>2047</v>
      </c>
      <c r="AB249" t="s">
        <v>1100</v>
      </c>
      <c r="AC249">
        <v>2</v>
      </c>
      <c r="AD249" t="s">
        <v>1203</v>
      </c>
    </row>
    <row r="250" spans="1:33" x14ac:dyDescent="0.3">
      <c r="A250" t="s">
        <v>543</v>
      </c>
      <c r="B250" t="s">
        <v>2048</v>
      </c>
      <c r="C250" t="s">
        <v>2049</v>
      </c>
      <c r="D250" t="s">
        <v>2050</v>
      </c>
      <c r="E250" t="s">
        <v>16</v>
      </c>
      <c r="F250" t="s">
        <v>1291</v>
      </c>
      <c r="G250" s="2">
        <v>0.4513888888888889</v>
      </c>
      <c r="H250" t="s">
        <v>1200</v>
      </c>
      <c r="I250" t="s">
        <v>1201</v>
      </c>
      <c r="K250" t="s">
        <v>1250</v>
      </c>
    </row>
    <row r="251" spans="1:33" x14ac:dyDescent="0.3">
      <c r="A251" t="s">
        <v>543</v>
      </c>
      <c r="B251" t="s">
        <v>2051</v>
      </c>
      <c r="C251" t="s">
        <v>2052</v>
      </c>
      <c r="D251" t="s">
        <v>2053</v>
      </c>
      <c r="E251" t="s">
        <v>16</v>
      </c>
      <c r="F251" t="s">
        <v>1296</v>
      </c>
      <c r="G251" s="2">
        <v>0.44444444444444442</v>
      </c>
      <c r="H251" t="s">
        <v>1200</v>
      </c>
      <c r="I251" t="s">
        <v>1201</v>
      </c>
      <c r="K251" t="s">
        <v>1250</v>
      </c>
    </row>
    <row r="252" spans="1:33" x14ac:dyDescent="0.3">
      <c r="A252" t="s">
        <v>543</v>
      </c>
      <c r="B252" t="s">
        <v>2054</v>
      </c>
      <c r="C252" t="s">
        <v>2055</v>
      </c>
      <c r="D252" t="s">
        <v>2056</v>
      </c>
      <c r="E252" t="s">
        <v>16</v>
      </c>
      <c r="F252" t="s">
        <v>1300</v>
      </c>
      <c r="G252" s="2">
        <v>0.4375</v>
      </c>
      <c r="H252" t="s">
        <v>1200</v>
      </c>
      <c r="I252" t="s">
        <v>1201</v>
      </c>
      <c r="M252" t="s">
        <v>1640</v>
      </c>
    </row>
    <row r="253" spans="1:33" x14ac:dyDescent="0.3">
      <c r="A253" t="s">
        <v>543</v>
      </c>
      <c r="B253" t="s">
        <v>2057</v>
      </c>
      <c r="C253" t="s">
        <v>2058</v>
      </c>
      <c r="D253" t="s">
        <v>2059</v>
      </c>
      <c r="E253" t="s">
        <v>16</v>
      </c>
      <c r="F253" t="s">
        <v>1443</v>
      </c>
      <c r="G253" s="2">
        <v>0.43055555555555558</v>
      </c>
      <c r="H253" t="s">
        <v>1200</v>
      </c>
      <c r="I253" t="s">
        <v>1201</v>
      </c>
      <c r="M253" t="s">
        <v>1464</v>
      </c>
      <c r="X253" t="s">
        <v>1100</v>
      </c>
      <c r="Y253">
        <v>2</v>
      </c>
      <c r="Z253" t="s">
        <v>1465</v>
      </c>
      <c r="AB253" t="s">
        <v>498</v>
      </c>
      <c r="AC253">
        <v>4</v>
      </c>
      <c r="AD253" t="s">
        <v>1228</v>
      </c>
      <c r="AE253" t="s">
        <v>776</v>
      </c>
      <c r="AF253">
        <v>3</v>
      </c>
      <c r="AG253" t="s">
        <v>1217</v>
      </c>
    </row>
    <row r="254" spans="1:33" x14ac:dyDescent="0.3">
      <c r="A254" t="s">
        <v>543</v>
      </c>
      <c r="B254" t="s">
        <v>2060</v>
      </c>
      <c r="C254" t="s">
        <v>2061</v>
      </c>
      <c r="D254" t="s">
        <v>2062</v>
      </c>
      <c r="E254" t="s">
        <v>16</v>
      </c>
      <c r="F254" t="s">
        <v>1447</v>
      </c>
      <c r="G254" s="2">
        <v>0.4236111111111111</v>
      </c>
      <c r="H254" t="s">
        <v>1200</v>
      </c>
      <c r="I254" t="s">
        <v>1201</v>
      </c>
      <c r="M254" t="s">
        <v>1464</v>
      </c>
      <c r="X254" t="s">
        <v>1100</v>
      </c>
      <c r="Y254">
        <v>2</v>
      </c>
      <c r="Z254" t="s">
        <v>1245</v>
      </c>
      <c r="AB254" t="s">
        <v>525</v>
      </c>
      <c r="AC254">
        <v>3</v>
      </c>
      <c r="AD254" t="s">
        <v>1465</v>
      </c>
      <c r="AE254" t="s">
        <v>498</v>
      </c>
      <c r="AF254">
        <v>3</v>
      </c>
      <c r="AG254" t="s">
        <v>1465</v>
      </c>
    </row>
    <row r="255" spans="1:33" x14ac:dyDescent="0.3">
      <c r="A255" t="s">
        <v>543</v>
      </c>
      <c r="B255" t="s">
        <v>2063</v>
      </c>
      <c r="C255" t="s">
        <v>2064</v>
      </c>
      <c r="D255" t="s">
        <v>2065</v>
      </c>
      <c r="E255" t="s">
        <v>16</v>
      </c>
      <c r="F255" t="s">
        <v>1451</v>
      </c>
      <c r="G255" s="2">
        <v>0.41666666666666669</v>
      </c>
      <c r="H255" t="s">
        <v>1200</v>
      </c>
      <c r="I255" t="s">
        <v>1201</v>
      </c>
      <c r="K255" t="s">
        <v>1250</v>
      </c>
      <c r="X255" t="s">
        <v>1100</v>
      </c>
      <c r="Y255">
        <v>3</v>
      </c>
      <c r="Z255" t="s">
        <v>1266</v>
      </c>
      <c r="AB255" t="s">
        <v>498</v>
      </c>
      <c r="AC255">
        <v>3</v>
      </c>
      <c r="AD255" t="s">
        <v>1266</v>
      </c>
      <c r="AE255" t="s">
        <v>776</v>
      </c>
      <c r="AF255">
        <v>3</v>
      </c>
      <c r="AG255" t="s">
        <v>1245</v>
      </c>
    </row>
    <row r="256" spans="1:33" x14ac:dyDescent="0.3">
      <c r="A256" t="s">
        <v>543</v>
      </c>
      <c r="B256" t="s">
        <v>2066</v>
      </c>
      <c r="C256" t="s">
        <v>2067</v>
      </c>
      <c r="D256" t="s">
        <v>2068</v>
      </c>
      <c r="E256" t="s">
        <v>16</v>
      </c>
      <c r="F256" t="s">
        <v>1455</v>
      </c>
      <c r="G256" s="2">
        <v>0.40972222222222227</v>
      </c>
      <c r="H256" t="s">
        <v>1200</v>
      </c>
      <c r="I256" t="s">
        <v>1201</v>
      </c>
      <c r="K256" t="s">
        <v>1250</v>
      </c>
      <c r="X256" t="s">
        <v>1100</v>
      </c>
      <c r="Y256">
        <v>3</v>
      </c>
      <c r="Z256" t="s">
        <v>1266</v>
      </c>
      <c r="AB256" t="s">
        <v>776</v>
      </c>
      <c r="AC256">
        <v>3</v>
      </c>
      <c r="AD256" t="s">
        <v>1228</v>
      </c>
      <c r="AE256" t="s">
        <v>498</v>
      </c>
      <c r="AF256">
        <v>3</v>
      </c>
      <c r="AG256" t="s">
        <v>1228</v>
      </c>
    </row>
    <row r="257" spans="1:33" x14ac:dyDescent="0.3">
      <c r="A257" t="s">
        <v>543</v>
      </c>
      <c r="B257" t="s">
        <v>2069</v>
      </c>
      <c r="C257" t="s">
        <v>2070</v>
      </c>
      <c r="D257" t="s">
        <v>2071</v>
      </c>
      <c r="E257" t="s">
        <v>16</v>
      </c>
      <c r="F257" t="s">
        <v>1459</v>
      </c>
      <c r="G257" s="2">
        <v>0.40277777777777773</v>
      </c>
      <c r="H257" t="s">
        <v>1200</v>
      </c>
      <c r="I257" t="s">
        <v>1201</v>
      </c>
      <c r="M257" t="s">
        <v>1292</v>
      </c>
      <c r="X257" t="s">
        <v>1100</v>
      </c>
      <c r="Y257">
        <v>2</v>
      </c>
      <c r="Z257" t="s">
        <v>1266</v>
      </c>
      <c r="AB257" t="s">
        <v>776</v>
      </c>
      <c r="AC257">
        <v>3</v>
      </c>
      <c r="AD257" t="s">
        <v>1266</v>
      </c>
      <c r="AE257" t="s">
        <v>498</v>
      </c>
      <c r="AF257">
        <v>4</v>
      </c>
      <c r="AG257" t="s">
        <v>1266</v>
      </c>
    </row>
    <row r="258" spans="1:33" x14ac:dyDescent="0.3">
      <c r="A258" t="s">
        <v>547</v>
      </c>
      <c r="B258" t="s">
        <v>2072</v>
      </c>
      <c r="C258" t="s">
        <v>2073</v>
      </c>
      <c r="D258" t="s">
        <v>2074</v>
      </c>
      <c r="E258" t="s">
        <v>16</v>
      </c>
      <c r="F258" t="s">
        <v>1406</v>
      </c>
      <c r="G258" s="2">
        <v>0.51388888888888895</v>
      </c>
      <c r="H258" t="s">
        <v>1200</v>
      </c>
      <c r="I258" t="s">
        <v>1201</v>
      </c>
      <c r="L258" t="s">
        <v>1363</v>
      </c>
      <c r="X258" t="s">
        <v>546</v>
      </c>
      <c r="Y258">
        <v>1</v>
      </c>
      <c r="Z258" t="s">
        <v>1396</v>
      </c>
      <c r="AB258" t="s">
        <v>1100</v>
      </c>
      <c r="AC258">
        <v>1</v>
      </c>
      <c r="AD258" t="s">
        <v>1396</v>
      </c>
    </row>
    <row r="259" spans="1:33" x14ac:dyDescent="0.3">
      <c r="A259" t="s">
        <v>547</v>
      </c>
      <c r="B259" t="s">
        <v>2075</v>
      </c>
      <c r="C259" t="s">
        <v>2076</v>
      </c>
      <c r="D259" t="s">
        <v>2077</v>
      </c>
      <c r="E259" t="s">
        <v>16</v>
      </c>
      <c r="F259" t="s">
        <v>1254</v>
      </c>
      <c r="G259" s="2">
        <v>0.50694444444444442</v>
      </c>
      <c r="H259" t="s">
        <v>1200</v>
      </c>
      <c r="I259" t="s">
        <v>1201</v>
      </c>
      <c r="L259" t="s">
        <v>1202</v>
      </c>
      <c r="X259" t="s">
        <v>546</v>
      </c>
      <c r="Y259">
        <v>1</v>
      </c>
      <c r="Z259" t="s">
        <v>1203</v>
      </c>
      <c r="AB259" t="s">
        <v>1100</v>
      </c>
      <c r="AC259">
        <v>1</v>
      </c>
      <c r="AD259" t="s">
        <v>1203</v>
      </c>
    </row>
    <row r="260" spans="1:33" x14ac:dyDescent="0.3">
      <c r="A260" t="s">
        <v>547</v>
      </c>
      <c r="B260" t="s">
        <v>2078</v>
      </c>
      <c r="C260" t="s">
        <v>2079</v>
      </c>
      <c r="D260" t="s">
        <v>2080</v>
      </c>
      <c r="E260" t="s">
        <v>16</v>
      </c>
      <c r="F260" t="s">
        <v>1259</v>
      </c>
      <c r="G260" s="2">
        <v>0.5</v>
      </c>
      <c r="H260" t="s">
        <v>1200</v>
      </c>
      <c r="I260" t="s">
        <v>1201</v>
      </c>
      <c r="L260" t="s">
        <v>1202</v>
      </c>
      <c r="X260" t="s">
        <v>546</v>
      </c>
      <c r="Y260">
        <v>1</v>
      </c>
      <c r="Z260" t="s">
        <v>1203</v>
      </c>
      <c r="AB260" t="s">
        <v>1100</v>
      </c>
      <c r="AC260">
        <v>1</v>
      </c>
      <c r="AD260" t="s">
        <v>1203</v>
      </c>
    </row>
    <row r="261" spans="1:33" x14ac:dyDescent="0.3">
      <c r="A261" t="s">
        <v>547</v>
      </c>
      <c r="B261" t="s">
        <v>2081</v>
      </c>
      <c r="C261" t="s">
        <v>2082</v>
      </c>
      <c r="D261" t="s">
        <v>2083</v>
      </c>
      <c r="E261" t="s">
        <v>16</v>
      </c>
      <c r="F261" t="s">
        <v>1265</v>
      </c>
      <c r="G261" s="2">
        <v>0.49305555555555558</v>
      </c>
      <c r="H261" t="s">
        <v>1200</v>
      </c>
      <c r="I261" t="s">
        <v>1201</v>
      </c>
      <c r="L261" t="s">
        <v>1222</v>
      </c>
      <c r="X261" t="s">
        <v>546</v>
      </c>
      <c r="Y261">
        <v>1</v>
      </c>
      <c r="Z261" t="s">
        <v>1717</v>
      </c>
      <c r="AB261" t="s">
        <v>1100</v>
      </c>
      <c r="AC261">
        <v>1</v>
      </c>
      <c r="AD261" t="s">
        <v>1203</v>
      </c>
    </row>
    <row r="262" spans="1:33" x14ac:dyDescent="0.3">
      <c r="A262" t="s">
        <v>547</v>
      </c>
      <c r="B262" t="s">
        <v>2084</v>
      </c>
      <c r="C262" t="s">
        <v>2085</v>
      </c>
      <c r="D262" t="s">
        <v>2086</v>
      </c>
      <c r="E262" t="s">
        <v>16</v>
      </c>
      <c r="F262" t="s">
        <v>1270</v>
      </c>
      <c r="G262" s="2">
        <v>0.4861111111111111</v>
      </c>
      <c r="H262" t="s">
        <v>1200</v>
      </c>
      <c r="I262" t="s">
        <v>1201</v>
      </c>
      <c r="L262" t="s">
        <v>1222</v>
      </c>
      <c r="X262" t="s">
        <v>1100</v>
      </c>
      <c r="Y262">
        <v>2</v>
      </c>
      <c r="Z262" t="s">
        <v>2087</v>
      </c>
      <c r="AB262" t="s">
        <v>546</v>
      </c>
      <c r="AC262">
        <v>3</v>
      </c>
      <c r="AD262" t="s">
        <v>1228</v>
      </c>
    </row>
    <row r="263" spans="1:33" x14ac:dyDescent="0.3">
      <c r="A263" t="s">
        <v>547</v>
      </c>
      <c r="B263" t="s">
        <v>2088</v>
      </c>
      <c r="C263" t="s">
        <v>2089</v>
      </c>
      <c r="D263" t="s">
        <v>2090</v>
      </c>
      <c r="E263" t="s">
        <v>16</v>
      </c>
      <c r="F263" t="s">
        <v>1274</v>
      </c>
      <c r="G263" s="2">
        <v>0.47916666666666669</v>
      </c>
      <c r="H263" t="s">
        <v>1200</v>
      </c>
      <c r="I263" t="s">
        <v>1201</v>
      </c>
      <c r="K263" t="s">
        <v>1250</v>
      </c>
      <c r="X263" t="s">
        <v>1100</v>
      </c>
      <c r="Y263">
        <v>1</v>
      </c>
      <c r="Z263" t="s">
        <v>2087</v>
      </c>
      <c r="AB263" t="s">
        <v>546</v>
      </c>
      <c r="AC263">
        <v>2</v>
      </c>
      <c r="AD263" t="s">
        <v>1496</v>
      </c>
    </row>
    <row r="264" spans="1:33" x14ac:dyDescent="0.3">
      <c r="A264" t="s">
        <v>547</v>
      </c>
      <c r="B264" t="s">
        <v>2091</v>
      </c>
      <c r="C264" t="s">
        <v>2092</v>
      </c>
      <c r="D264" t="s">
        <v>2093</v>
      </c>
      <c r="E264" t="s">
        <v>16</v>
      </c>
      <c r="F264" t="s">
        <v>1278</v>
      </c>
      <c r="G264" s="2">
        <v>0.47222222222222227</v>
      </c>
      <c r="H264" t="s">
        <v>1200</v>
      </c>
      <c r="I264" t="s">
        <v>1201</v>
      </c>
      <c r="R264" t="s">
        <v>1681</v>
      </c>
      <c r="X264" t="s">
        <v>1100</v>
      </c>
      <c r="Y264">
        <v>2</v>
      </c>
      <c r="Z264" t="s">
        <v>1595</v>
      </c>
      <c r="AB264" t="s">
        <v>546</v>
      </c>
      <c r="AC264">
        <v>3</v>
      </c>
      <c r="AD264" t="s">
        <v>1496</v>
      </c>
    </row>
    <row r="265" spans="1:33" x14ac:dyDescent="0.3">
      <c r="A265" t="s">
        <v>547</v>
      </c>
      <c r="B265" t="s">
        <v>2094</v>
      </c>
      <c r="C265" t="s">
        <v>2095</v>
      </c>
      <c r="D265" t="s">
        <v>2096</v>
      </c>
      <c r="E265" t="s">
        <v>16</v>
      </c>
      <c r="F265" t="s">
        <v>1282</v>
      </c>
      <c r="G265" s="2">
        <v>0.46527777777777773</v>
      </c>
      <c r="H265" t="s">
        <v>1200</v>
      </c>
      <c r="I265" t="s">
        <v>1201</v>
      </c>
      <c r="L265" t="s">
        <v>1222</v>
      </c>
      <c r="X265" t="s">
        <v>546</v>
      </c>
      <c r="Y265">
        <v>1</v>
      </c>
      <c r="Z265" t="s">
        <v>1496</v>
      </c>
      <c r="AB265" t="s">
        <v>1100</v>
      </c>
      <c r="AC265">
        <v>1</v>
      </c>
      <c r="AD265" t="s">
        <v>1862</v>
      </c>
    </row>
    <row r="266" spans="1:33" x14ac:dyDescent="0.3">
      <c r="A266" t="s">
        <v>547</v>
      </c>
      <c r="B266" t="s">
        <v>2097</v>
      </c>
      <c r="C266" t="s">
        <v>2098</v>
      </c>
      <c r="D266" t="s">
        <v>2099</v>
      </c>
      <c r="E266" t="s">
        <v>16</v>
      </c>
      <c r="F266" t="s">
        <v>1287</v>
      </c>
      <c r="G266" s="2">
        <v>0.45833333333333331</v>
      </c>
      <c r="H266" t="s">
        <v>1200</v>
      </c>
      <c r="I266" t="s">
        <v>1201</v>
      </c>
      <c r="K266" t="s">
        <v>1250</v>
      </c>
      <c r="X266" t="s">
        <v>546</v>
      </c>
      <c r="Y266">
        <v>2</v>
      </c>
      <c r="Z266" t="s">
        <v>1266</v>
      </c>
      <c r="AB266" t="s">
        <v>1100</v>
      </c>
      <c r="AC266">
        <v>2</v>
      </c>
      <c r="AD266" t="s">
        <v>1266</v>
      </c>
      <c r="AE266" t="s">
        <v>776</v>
      </c>
      <c r="AF266">
        <v>5</v>
      </c>
      <c r="AG266" t="s">
        <v>1228</v>
      </c>
    </row>
    <row r="267" spans="1:33" x14ac:dyDescent="0.3">
      <c r="A267" t="s">
        <v>547</v>
      </c>
      <c r="B267" t="s">
        <v>2100</v>
      </c>
      <c r="C267" t="s">
        <v>2101</v>
      </c>
      <c r="D267" t="s">
        <v>2102</v>
      </c>
      <c r="E267" t="s">
        <v>16</v>
      </c>
      <c r="F267" t="s">
        <v>1291</v>
      </c>
      <c r="G267" s="2">
        <v>0.4513888888888889</v>
      </c>
      <c r="H267" t="s">
        <v>1200</v>
      </c>
      <c r="I267" t="s">
        <v>1201</v>
      </c>
      <c r="K267" t="s">
        <v>1250</v>
      </c>
      <c r="X267" t="s">
        <v>546</v>
      </c>
      <c r="Y267">
        <v>1</v>
      </c>
      <c r="Z267" t="s">
        <v>1228</v>
      </c>
      <c r="AB267" t="s">
        <v>1100</v>
      </c>
      <c r="AC267">
        <v>2</v>
      </c>
      <c r="AD267" t="s">
        <v>1595</v>
      </c>
      <c r="AE267" t="s">
        <v>776</v>
      </c>
      <c r="AF267">
        <v>3</v>
      </c>
      <c r="AG267" t="s">
        <v>1266</v>
      </c>
    </row>
    <row r="268" spans="1:33" x14ac:dyDescent="0.3">
      <c r="A268" t="s">
        <v>552</v>
      </c>
      <c r="B268" t="s">
        <v>2103</v>
      </c>
      <c r="C268" t="s">
        <v>2104</v>
      </c>
      <c r="D268" t="s">
        <v>2105</v>
      </c>
      <c r="E268" t="s">
        <v>16</v>
      </c>
      <c r="F268" t="s">
        <v>1317</v>
      </c>
      <c r="G268" s="2">
        <v>0.6875</v>
      </c>
      <c r="H268" t="s">
        <v>1200</v>
      </c>
      <c r="I268" t="s">
        <v>1201</v>
      </c>
      <c r="L268" t="s">
        <v>1363</v>
      </c>
      <c r="X268" t="s">
        <v>546</v>
      </c>
      <c r="Y268">
        <v>3</v>
      </c>
      <c r="Z268" t="s">
        <v>1396</v>
      </c>
      <c r="AB268" t="s">
        <v>1100</v>
      </c>
      <c r="AC268">
        <v>3</v>
      </c>
      <c r="AD268" t="s">
        <v>1396</v>
      </c>
    </row>
    <row r="269" spans="1:33" x14ac:dyDescent="0.3">
      <c r="A269" t="s">
        <v>552</v>
      </c>
      <c r="B269" t="s">
        <v>2106</v>
      </c>
      <c r="C269" t="s">
        <v>2107</v>
      </c>
      <c r="D269" t="s">
        <v>2108</v>
      </c>
      <c r="E269" t="s">
        <v>16</v>
      </c>
      <c r="F269" t="s">
        <v>1321</v>
      </c>
      <c r="G269" s="2">
        <v>0.68055555555555547</v>
      </c>
      <c r="H269" t="s">
        <v>1200</v>
      </c>
      <c r="I269" t="s">
        <v>1201</v>
      </c>
      <c r="L269" t="s">
        <v>1363</v>
      </c>
      <c r="X269" t="s">
        <v>546</v>
      </c>
      <c r="Y269">
        <v>3</v>
      </c>
      <c r="Z269" t="s">
        <v>1396</v>
      </c>
      <c r="AB269" t="s">
        <v>1100</v>
      </c>
      <c r="AC269">
        <v>3</v>
      </c>
      <c r="AD269" t="s">
        <v>1396</v>
      </c>
    </row>
    <row r="270" spans="1:33" x14ac:dyDescent="0.3">
      <c r="A270" t="s">
        <v>552</v>
      </c>
      <c r="B270" t="s">
        <v>2109</v>
      </c>
      <c r="C270" t="s">
        <v>2110</v>
      </c>
      <c r="D270" t="s">
        <v>2111</v>
      </c>
      <c r="E270" t="s">
        <v>16</v>
      </c>
      <c r="F270" t="s">
        <v>1325</v>
      </c>
      <c r="G270" s="2">
        <v>0.67361111111111116</v>
      </c>
      <c r="H270" t="s">
        <v>1200</v>
      </c>
      <c r="I270" t="s">
        <v>1201</v>
      </c>
      <c r="L270" t="s">
        <v>1363</v>
      </c>
      <c r="X270" t="s">
        <v>546</v>
      </c>
      <c r="Y270">
        <v>3</v>
      </c>
      <c r="Z270" t="s">
        <v>1396</v>
      </c>
      <c r="AB270" t="s">
        <v>1100</v>
      </c>
      <c r="AC270">
        <v>3</v>
      </c>
      <c r="AD270" t="s">
        <v>1396</v>
      </c>
    </row>
    <row r="271" spans="1:33" x14ac:dyDescent="0.3">
      <c r="A271" t="s">
        <v>552</v>
      </c>
      <c r="B271" t="s">
        <v>2112</v>
      </c>
      <c r="C271" t="s">
        <v>2113</v>
      </c>
      <c r="D271" t="s">
        <v>2114</v>
      </c>
      <c r="E271" t="s">
        <v>16</v>
      </c>
      <c r="F271" t="s">
        <v>1329</v>
      </c>
      <c r="G271" s="2">
        <v>0.66666666666666663</v>
      </c>
      <c r="H271" t="s">
        <v>1200</v>
      </c>
      <c r="I271" t="s">
        <v>1201</v>
      </c>
      <c r="L271" t="s">
        <v>1363</v>
      </c>
      <c r="X271" t="s">
        <v>546</v>
      </c>
      <c r="Y271">
        <v>3</v>
      </c>
      <c r="Z271" t="s">
        <v>1396</v>
      </c>
      <c r="AB271" t="s">
        <v>1100</v>
      </c>
      <c r="AC271">
        <v>3</v>
      </c>
      <c r="AD271" t="s">
        <v>1396</v>
      </c>
    </row>
    <row r="272" spans="1:33" x14ac:dyDescent="0.3">
      <c r="A272" t="s">
        <v>552</v>
      </c>
      <c r="B272" t="s">
        <v>2115</v>
      </c>
      <c r="C272" t="s">
        <v>2116</v>
      </c>
      <c r="D272" t="s">
        <v>2117</v>
      </c>
      <c r="E272" t="s">
        <v>16</v>
      </c>
      <c r="F272" t="s">
        <v>1333</v>
      </c>
      <c r="G272" s="2">
        <v>0.65972222222222221</v>
      </c>
      <c r="H272" t="s">
        <v>1200</v>
      </c>
      <c r="I272" t="s">
        <v>1201</v>
      </c>
      <c r="L272" t="s">
        <v>1363</v>
      </c>
      <c r="X272" t="s">
        <v>546</v>
      </c>
      <c r="Y272">
        <v>3</v>
      </c>
      <c r="Z272" t="s">
        <v>1396</v>
      </c>
      <c r="AB272" t="s">
        <v>1100</v>
      </c>
      <c r="AC272">
        <v>3</v>
      </c>
      <c r="AD272" t="s">
        <v>1396</v>
      </c>
    </row>
    <row r="273" spans="1:30" x14ac:dyDescent="0.3">
      <c r="A273" t="s">
        <v>552</v>
      </c>
      <c r="B273" t="s">
        <v>2118</v>
      </c>
      <c r="C273" t="s">
        <v>2119</v>
      </c>
      <c r="D273" t="s">
        <v>2120</v>
      </c>
      <c r="E273" t="s">
        <v>16</v>
      </c>
      <c r="F273" t="s">
        <v>1338</v>
      </c>
      <c r="G273" s="2">
        <v>0.65277777777777779</v>
      </c>
      <c r="H273" t="s">
        <v>1200</v>
      </c>
      <c r="I273" t="s">
        <v>1201</v>
      </c>
      <c r="L273" t="s">
        <v>1222</v>
      </c>
      <c r="S273" t="s">
        <v>1224</v>
      </c>
      <c r="T273" t="s">
        <v>1225</v>
      </c>
      <c r="V273" t="s">
        <v>2121</v>
      </c>
      <c r="W273" t="s">
        <v>1227</v>
      </c>
      <c r="X273" t="s">
        <v>546</v>
      </c>
      <c r="Y273">
        <v>3</v>
      </c>
      <c r="Z273" t="s">
        <v>1203</v>
      </c>
      <c r="AB273" t="s">
        <v>1100</v>
      </c>
      <c r="AC273">
        <v>3</v>
      </c>
      <c r="AD273" t="s">
        <v>1203</v>
      </c>
    </row>
    <row r="274" spans="1:30" x14ac:dyDescent="0.3">
      <c r="A274" t="s">
        <v>552</v>
      </c>
      <c r="B274" t="s">
        <v>2122</v>
      </c>
      <c r="C274" t="s">
        <v>2123</v>
      </c>
      <c r="D274" t="s">
        <v>2124</v>
      </c>
      <c r="E274" t="s">
        <v>16</v>
      </c>
      <c r="F274" t="s">
        <v>1342</v>
      </c>
      <c r="G274" s="2">
        <v>0.64583333333333337</v>
      </c>
      <c r="H274" t="s">
        <v>1200</v>
      </c>
      <c r="I274" t="s">
        <v>1201</v>
      </c>
      <c r="L274" t="s">
        <v>1222</v>
      </c>
      <c r="S274" t="s">
        <v>1224</v>
      </c>
      <c r="T274" t="s">
        <v>1676</v>
      </c>
      <c r="V274" t="s">
        <v>2121</v>
      </c>
      <c r="W274" t="s">
        <v>1227</v>
      </c>
      <c r="X274" t="s">
        <v>546</v>
      </c>
      <c r="Y274">
        <v>3</v>
      </c>
      <c r="Z274" t="s">
        <v>1228</v>
      </c>
      <c r="AB274" t="s">
        <v>1100</v>
      </c>
      <c r="AC274">
        <v>3</v>
      </c>
      <c r="AD274" t="s">
        <v>1228</v>
      </c>
    </row>
    <row r="275" spans="1:30" x14ac:dyDescent="0.3">
      <c r="A275" t="s">
        <v>552</v>
      </c>
      <c r="B275" t="s">
        <v>2125</v>
      </c>
      <c r="C275" t="s">
        <v>2126</v>
      </c>
      <c r="D275" t="s">
        <v>2127</v>
      </c>
      <c r="E275" t="s">
        <v>16</v>
      </c>
      <c r="F275" t="s">
        <v>1346</v>
      </c>
      <c r="G275" s="2">
        <v>0.63888888888888895</v>
      </c>
      <c r="H275" t="s">
        <v>1200</v>
      </c>
      <c r="I275" t="s">
        <v>1201</v>
      </c>
      <c r="L275" t="s">
        <v>1202</v>
      </c>
      <c r="X275" t="s">
        <v>546</v>
      </c>
      <c r="Y275">
        <v>3</v>
      </c>
      <c r="Z275" t="s">
        <v>1203</v>
      </c>
      <c r="AB275" t="s">
        <v>1100</v>
      </c>
      <c r="AC275">
        <v>4</v>
      </c>
      <c r="AD275" t="s">
        <v>1203</v>
      </c>
    </row>
    <row r="276" spans="1:30" x14ac:dyDescent="0.3">
      <c r="A276" t="s">
        <v>552</v>
      </c>
      <c r="B276" t="s">
        <v>2128</v>
      </c>
      <c r="C276" t="s">
        <v>2129</v>
      </c>
      <c r="D276" t="s">
        <v>2130</v>
      </c>
      <c r="E276" t="s">
        <v>16</v>
      </c>
      <c r="F276" t="s">
        <v>1350</v>
      </c>
      <c r="G276" s="2">
        <v>0.63194444444444442</v>
      </c>
      <c r="H276" t="s">
        <v>1200</v>
      </c>
      <c r="I276" t="s">
        <v>1201</v>
      </c>
      <c r="L276" t="s">
        <v>1202</v>
      </c>
      <c r="X276" t="s">
        <v>546</v>
      </c>
      <c r="Y276">
        <v>3</v>
      </c>
      <c r="Z276" t="s">
        <v>1266</v>
      </c>
      <c r="AB276" t="s">
        <v>1100</v>
      </c>
      <c r="AC276">
        <v>4</v>
      </c>
      <c r="AD276" t="s">
        <v>1228</v>
      </c>
    </row>
    <row r="277" spans="1:30" x14ac:dyDescent="0.3">
      <c r="A277" t="s">
        <v>552</v>
      </c>
      <c r="B277" t="s">
        <v>2131</v>
      </c>
      <c r="C277" t="s">
        <v>2132</v>
      </c>
      <c r="D277" t="s">
        <v>2133</v>
      </c>
      <c r="E277" t="s">
        <v>16</v>
      </c>
      <c r="F277" t="s">
        <v>1354</v>
      </c>
      <c r="G277" s="2">
        <v>0.625</v>
      </c>
      <c r="H277" t="s">
        <v>1200</v>
      </c>
      <c r="I277" t="s">
        <v>1201</v>
      </c>
      <c r="L277" t="s">
        <v>1202</v>
      </c>
      <c r="X277" t="s">
        <v>546</v>
      </c>
      <c r="Y277">
        <v>2</v>
      </c>
      <c r="Z277" t="s">
        <v>1203</v>
      </c>
      <c r="AB277" t="s">
        <v>1100</v>
      </c>
      <c r="AC277">
        <v>3</v>
      </c>
      <c r="AD277" t="s">
        <v>1203</v>
      </c>
    </row>
    <row r="278" spans="1:30" x14ac:dyDescent="0.3">
      <c r="A278" t="s">
        <v>552</v>
      </c>
      <c r="B278" t="s">
        <v>2134</v>
      </c>
      <c r="C278" t="s">
        <v>2135</v>
      </c>
      <c r="D278" t="s">
        <v>2136</v>
      </c>
      <c r="E278" t="s">
        <v>16</v>
      </c>
      <c r="F278" t="s">
        <v>1558</v>
      </c>
      <c r="G278" s="2">
        <v>0.61805555555555558</v>
      </c>
      <c r="H278" t="s">
        <v>1200</v>
      </c>
      <c r="I278" t="s">
        <v>1201</v>
      </c>
      <c r="L278" t="s">
        <v>1222</v>
      </c>
      <c r="X278" t="s">
        <v>546</v>
      </c>
      <c r="Y278">
        <v>2</v>
      </c>
      <c r="Z278" t="s">
        <v>1228</v>
      </c>
      <c r="AB278" t="s">
        <v>1100</v>
      </c>
      <c r="AC278">
        <v>2</v>
      </c>
      <c r="AD278" t="s">
        <v>1228</v>
      </c>
    </row>
    <row r="279" spans="1:30" x14ac:dyDescent="0.3">
      <c r="A279" t="s">
        <v>552</v>
      </c>
      <c r="B279" s="3" t="s">
        <v>2137</v>
      </c>
      <c r="C279" t="s">
        <v>2138</v>
      </c>
      <c r="D279" t="s">
        <v>2139</v>
      </c>
      <c r="E279" t="s">
        <v>16</v>
      </c>
      <c r="F279" t="s">
        <v>1358</v>
      </c>
      <c r="G279" s="2">
        <v>0.61111111111111105</v>
      </c>
      <c r="H279" t="s">
        <v>1200</v>
      </c>
      <c r="I279" t="s">
        <v>1201</v>
      </c>
      <c r="L279" t="s">
        <v>1222</v>
      </c>
      <c r="X279" t="s">
        <v>546</v>
      </c>
      <c r="Y279">
        <v>2</v>
      </c>
      <c r="Z279" t="s">
        <v>1266</v>
      </c>
      <c r="AB279" t="s">
        <v>1100</v>
      </c>
      <c r="AC279">
        <v>3</v>
      </c>
      <c r="AD279" t="s">
        <v>1228</v>
      </c>
    </row>
    <row r="280" spans="1:30" x14ac:dyDescent="0.3">
      <c r="A280" t="s">
        <v>552</v>
      </c>
      <c r="B280" t="s">
        <v>2140</v>
      </c>
      <c r="C280" t="s">
        <v>2141</v>
      </c>
      <c r="D280" t="s">
        <v>2142</v>
      </c>
      <c r="E280" t="s">
        <v>16</v>
      </c>
      <c r="F280" t="s">
        <v>1362</v>
      </c>
      <c r="G280" s="2">
        <v>0.60416666666666663</v>
      </c>
      <c r="H280" t="s">
        <v>1200</v>
      </c>
      <c r="I280" t="s">
        <v>1201</v>
      </c>
      <c r="K280" t="s">
        <v>1250</v>
      </c>
      <c r="X280" t="s">
        <v>546</v>
      </c>
      <c r="Y280">
        <v>3</v>
      </c>
      <c r="Z280" t="s">
        <v>1228</v>
      </c>
      <c r="AB280" t="s">
        <v>1100</v>
      </c>
      <c r="AC280">
        <v>3</v>
      </c>
      <c r="AD280" t="s">
        <v>1228</v>
      </c>
    </row>
    <row r="281" spans="1:30" x14ac:dyDescent="0.3">
      <c r="A281" t="s">
        <v>552</v>
      </c>
      <c r="B281" t="s">
        <v>2143</v>
      </c>
      <c r="C281" t="s">
        <v>2144</v>
      </c>
      <c r="D281" t="s">
        <v>2145</v>
      </c>
      <c r="E281" t="s">
        <v>16</v>
      </c>
      <c r="F281" t="s">
        <v>1367</v>
      </c>
      <c r="G281" s="2">
        <v>0.59722222222222221</v>
      </c>
      <c r="H281" t="s">
        <v>1200</v>
      </c>
      <c r="I281" t="s">
        <v>1201</v>
      </c>
      <c r="K281" t="s">
        <v>1250</v>
      </c>
      <c r="X281" t="s">
        <v>546</v>
      </c>
      <c r="Y281">
        <v>3</v>
      </c>
      <c r="Z281" t="s">
        <v>1266</v>
      </c>
      <c r="AB281" t="s">
        <v>1100</v>
      </c>
      <c r="AC281">
        <v>3</v>
      </c>
      <c r="AD281" t="s">
        <v>1266</v>
      </c>
    </row>
    <row r="282" spans="1:30" x14ac:dyDescent="0.3">
      <c r="A282" t="s">
        <v>552</v>
      </c>
      <c r="B282" t="s">
        <v>2146</v>
      </c>
      <c r="C282" t="s">
        <v>2147</v>
      </c>
      <c r="D282" t="s">
        <v>2148</v>
      </c>
      <c r="E282" t="s">
        <v>16</v>
      </c>
      <c r="F282" t="s">
        <v>1371</v>
      </c>
      <c r="G282" s="2">
        <v>0.59027777777777779</v>
      </c>
      <c r="H282" t="s">
        <v>1200</v>
      </c>
      <c r="I282" t="s">
        <v>1201</v>
      </c>
      <c r="L282" t="s">
        <v>1222</v>
      </c>
      <c r="S282" t="s">
        <v>1224</v>
      </c>
      <c r="T282" t="s">
        <v>1676</v>
      </c>
      <c r="V282" t="s">
        <v>1226</v>
      </c>
      <c r="W282" t="s">
        <v>2149</v>
      </c>
    </row>
    <row r="283" spans="1:30" x14ac:dyDescent="0.3">
      <c r="A283" t="s">
        <v>552</v>
      </c>
      <c r="B283" t="s">
        <v>2150</v>
      </c>
      <c r="C283" t="s">
        <v>2151</v>
      </c>
      <c r="D283" t="s">
        <v>2152</v>
      </c>
      <c r="E283" t="s">
        <v>16</v>
      </c>
      <c r="F283" t="s">
        <v>1199</v>
      </c>
      <c r="G283" s="2">
        <v>0.58333333333333337</v>
      </c>
      <c r="H283" t="s">
        <v>1200</v>
      </c>
      <c r="I283" t="s">
        <v>1201</v>
      </c>
      <c r="L283" t="s">
        <v>1363</v>
      </c>
    </row>
    <row r="284" spans="1:30" x14ac:dyDescent="0.3">
      <c r="A284" t="s">
        <v>552</v>
      </c>
      <c r="B284" t="s">
        <v>2153</v>
      </c>
      <c r="C284" t="s">
        <v>2154</v>
      </c>
      <c r="D284" t="s">
        <v>2155</v>
      </c>
      <c r="E284" t="s">
        <v>16</v>
      </c>
      <c r="F284" t="s">
        <v>1207</v>
      </c>
      <c r="G284" s="2">
        <v>0.57638888888888895</v>
      </c>
      <c r="H284" t="s">
        <v>1200</v>
      </c>
      <c r="I284" t="s">
        <v>1201</v>
      </c>
      <c r="L284" t="s">
        <v>1363</v>
      </c>
    </row>
    <row r="285" spans="1:30" x14ac:dyDescent="0.3">
      <c r="A285" t="s">
        <v>552</v>
      </c>
      <c r="B285" t="s">
        <v>2156</v>
      </c>
      <c r="C285" t="s">
        <v>2157</v>
      </c>
      <c r="D285" t="s">
        <v>2158</v>
      </c>
      <c r="E285" t="s">
        <v>16</v>
      </c>
      <c r="F285" t="s">
        <v>1211</v>
      </c>
      <c r="G285" s="2">
        <v>0.56944444444444442</v>
      </c>
      <c r="H285" t="s">
        <v>1200</v>
      </c>
      <c r="I285" t="s">
        <v>1201</v>
      </c>
      <c r="L285" t="s">
        <v>1363</v>
      </c>
    </row>
    <row r="286" spans="1:30" x14ac:dyDescent="0.3">
      <c r="A286" t="s">
        <v>552</v>
      </c>
      <c r="B286" t="s">
        <v>2159</v>
      </c>
      <c r="C286" t="s">
        <v>2160</v>
      </c>
      <c r="D286" t="s">
        <v>2161</v>
      </c>
      <c r="E286" t="s">
        <v>16</v>
      </c>
      <c r="F286" t="s">
        <v>1215</v>
      </c>
      <c r="G286" s="2">
        <v>0.5625</v>
      </c>
      <c r="H286" t="s">
        <v>1200</v>
      </c>
      <c r="I286" t="s">
        <v>1201</v>
      </c>
      <c r="L286" t="s">
        <v>1363</v>
      </c>
    </row>
    <row r="287" spans="1:30" x14ac:dyDescent="0.3">
      <c r="A287" t="s">
        <v>552</v>
      </c>
      <c r="B287" t="s">
        <v>2162</v>
      </c>
      <c r="C287" t="s">
        <v>2163</v>
      </c>
      <c r="D287" t="s">
        <v>2164</v>
      </c>
      <c r="E287" t="s">
        <v>16</v>
      </c>
      <c r="F287" t="s">
        <v>1221</v>
      </c>
      <c r="G287" s="2">
        <v>0.55555555555555558</v>
      </c>
      <c r="H287" t="s">
        <v>1200</v>
      </c>
      <c r="I287" t="s">
        <v>1201</v>
      </c>
      <c r="L287" t="s">
        <v>1363</v>
      </c>
    </row>
    <row r="288" spans="1:30" x14ac:dyDescent="0.3">
      <c r="A288" t="s">
        <v>552</v>
      </c>
      <c r="B288" t="s">
        <v>2165</v>
      </c>
      <c r="C288" t="s">
        <v>2166</v>
      </c>
      <c r="D288" t="s">
        <v>2167</v>
      </c>
      <c r="E288" t="s">
        <v>16</v>
      </c>
      <c r="F288" t="s">
        <v>1232</v>
      </c>
      <c r="G288" s="2">
        <v>0.54861111111111105</v>
      </c>
      <c r="H288" t="s">
        <v>1200</v>
      </c>
      <c r="I288" t="s">
        <v>1201</v>
      </c>
      <c r="L288" t="s">
        <v>1363</v>
      </c>
    </row>
    <row r="289" spans="1:26" x14ac:dyDescent="0.3">
      <c r="A289" t="s">
        <v>552</v>
      </c>
      <c r="B289" t="s">
        <v>2168</v>
      </c>
      <c r="C289" t="s">
        <v>2169</v>
      </c>
      <c r="D289" t="s">
        <v>2170</v>
      </c>
      <c r="E289" t="s">
        <v>16</v>
      </c>
      <c r="F289" t="s">
        <v>1236</v>
      </c>
      <c r="G289" s="2">
        <v>0.54166666666666663</v>
      </c>
      <c r="H289" t="s">
        <v>1200</v>
      </c>
      <c r="I289" t="s">
        <v>1201</v>
      </c>
      <c r="L289" t="s">
        <v>1363</v>
      </c>
    </row>
    <row r="290" spans="1:26" x14ac:dyDescent="0.3">
      <c r="A290" t="s">
        <v>552</v>
      </c>
      <c r="B290" t="s">
        <v>2171</v>
      </c>
      <c r="C290" t="s">
        <v>2172</v>
      </c>
      <c r="D290" t="s">
        <v>2173</v>
      </c>
      <c r="E290" t="s">
        <v>16</v>
      </c>
      <c r="F290" t="s">
        <v>1240</v>
      </c>
      <c r="G290" s="2">
        <v>0.53472222222222221</v>
      </c>
      <c r="H290" t="s">
        <v>1200</v>
      </c>
      <c r="I290" t="s">
        <v>1201</v>
      </c>
      <c r="L290" t="s">
        <v>1363</v>
      </c>
    </row>
    <row r="291" spans="1:26" x14ac:dyDescent="0.3">
      <c r="A291" t="s">
        <v>552</v>
      </c>
      <c r="B291" t="s">
        <v>2174</v>
      </c>
      <c r="C291" t="s">
        <v>2175</v>
      </c>
      <c r="D291" t="s">
        <v>2176</v>
      </c>
      <c r="E291" t="s">
        <v>16</v>
      </c>
      <c r="F291" t="s">
        <v>1244</v>
      </c>
      <c r="G291" s="2">
        <v>0.52777777777777779</v>
      </c>
      <c r="H291" t="s">
        <v>1200</v>
      </c>
      <c r="I291" t="s">
        <v>1201</v>
      </c>
      <c r="L291" t="s">
        <v>1363</v>
      </c>
    </row>
    <row r="292" spans="1:26" x14ac:dyDescent="0.3">
      <c r="A292" t="s">
        <v>552</v>
      </c>
      <c r="B292" t="s">
        <v>2177</v>
      </c>
      <c r="C292" t="s">
        <v>2178</v>
      </c>
      <c r="D292" t="s">
        <v>2179</v>
      </c>
      <c r="E292" t="s">
        <v>16</v>
      </c>
      <c r="F292" t="s">
        <v>1249</v>
      </c>
      <c r="G292" s="2">
        <v>0.52083333333333337</v>
      </c>
      <c r="H292" t="s">
        <v>1200</v>
      </c>
      <c r="I292" t="s">
        <v>1201</v>
      </c>
      <c r="L292" t="s">
        <v>1363</v>
      </c>
    </row>
    <row r="293" spans="1:26" x14ac:dyDescent="0.3">
      <c r="A293" t="s">
        <v>552</v>
      </c>
      <c r="B293" t="s">
        <v>2180</v>
      </c>
      <c r="C293" t="s">
        <v>2181</v>
      </c>
      <c r="D293" t="s">
        <v>2182</v>
      </c>
      <c r="E293" t="s">
        <v>16</v>
      </c>
      <c r="F293" t="s">
        <v>1406</v>
      </c>
      <c r="G293" s="2">
        <v>0.51388888888888895</v>
      </c>
      <c r="H293" t="s">
        <v>1200</v>
      </c>
      <c r="I293" t="s">
        <v>1201</v>
      </c>
      <c r="L293" t="s">
        <v>1222</v>
      </c>
      <c r="S293" t="s">
        <v>1224</v>
      </c>
      <c r="T293" t="s">
        <v>1703</v>
      </c>
      <c r="V293" t="s">
        <v>1226</v>
      </c>
      <c r="W293" t="s">
        <v>2149</v>
      </c>
    </row>
    <row r="294" spans="1:26" x14ac:dyDescent="0.3">
      <c r="A294" t="s">
        <v>552</v>
      </c>
      <c r="B294" t="s">
        <v>2183</v>
      </c>
      <c r="C294" t="s">
        <v>2184</v>
      </c>
      <c r="D294" t="s">
        <v>2185</v>
      </c>
      <c r="E294" t="s">
        <v>16</v>
      </c>
      <c r="F294" t="s">
        <v>1254</v>
      </c>
      <c r="G294" s="2">
        <v>0.50694444444444442</v>
      </c>
      <c r="H294" t="s">
        <v>1200</v>
      </c>
      <c r="I294" t="s">
        <v>1201</v>
      </c>
      <c r="L294" t="s">
        <v>1202</v>
      </c>
    </row>
    <row r="295" spans="1:26" x14ac:dyDescent="0.3">
      <c r="A295" t="s">
        <v>552</v>
      </c>
      <c r="B295" t="s">
        <v>2186</v>
      </c>
      <c r="C295" t="s">
        <v>2187</v>
      </c>
      <c r="D295" t="s">
        <v>2188</v>
      </c>
      <c r="E295" t="s">
        <v>16</v>
      </c>
      <c r="F295" t="s">
        <v>1259</v>
      </c>
      <c r="G295" s="2">
        <v>0.5</v>
      </c>
      <c r="H295" t="s">
        <v>1200</v>
      </c>
      <c r="I295" t="s">
        <v>1201</v>
      </c>
      <c r="M295" t="s">
        <v>1464</v>
      </c>
      <c r="S295" t="s">
        <v>1224</v>
      </c>
      <c r="T295" t="s">
        <v>1676</v>
      </c>
      <c r="V295" t="s">
        <v>2121</v>
      </c>
      <c r="W295" t="s">
        <v>1227</v>
      </c>
    </row>
    <row r="296" spans="1:26" x14ac:dyDescent="0.3">
      <c r="A296" t="s">
        <v>552</v>
      </c>
      <c r="B296" t="s">
        <v>2189</v>
      </c>
      <c r="C296" t="s">
        <v>2190</v>
      </c>
      <c r="D296" t="s">
        <v>2191</v>
      </c>
      <c r="E296" t="s">
        <v>16</v>
      </c>
      <c r="F296" t="s">
        <v>1265</v>
      </c>
      <c r="G296" s="2">
        <v>0.49305555555555558</v>
      </c>
      <c r="H296" t="s">
        <v>1200</v>
      </c>
      <c r="I296" t="s">
        <v>1201</v>
      </c>
      <c r="M296" t="s">
        <v>1464</v>
      </c>
      <c r="S296" t="s">
        <v>1224</v>
      </c>
      <c r="T296" t="s">
        <v>1703</v>
      </c>
      <c r="V296" t="s">
        <v>2121</v>
      </c>
      <c r="W296" t="s">
        <v>1227</v>
      </c>
    </row>
    <row r="297" spans="1:26" x14ac:dyDescent="0.3">
      <c r="A297" t="s">
        <v>552</v>
      </c>
      <c r="B297" t="s">
        <v>2192</v>
      </c>
      <c r="C297" t="s">
        <v>2193</v>
      </c>
      <c r="D297" t="s">
        <v>2194</v>
      </c>
      <c r="E297" t="s">
        <v>16</v>
      </c>
      <c r="F297" t="s">
        <v>1270</v>
      </c>
      <c r="G297" s="2">
        <v>0.4861111111111111</v>
      </c>
      <c r="H297" t="s">
        <v>1200</v>
      </c>
      <c r="I297" t="s">
        <v>1201</v>
      </c>
      <c r="K297" t="s">
        <v>1250</v>
      </c>
      <c r="S297" t="s">
        <v>1224</v>
      </c>
      <c r="T297" t="s">
        <v>1703</v>
      </c>
      <c r="V297" t="s">
        <v>2121</v>
      </c>
      <c r="W297" t="s">
        <v>1227</v>
      </c>
    </row>
    <row r="298" spans="1:26" x14ac:dyDescent="0.3">
      <c r="A298" t="s">
        <v>552</v>
      </c>
      <c r="B298" t="s">
        <v>2195</v>
      </c>
      <c r="C298" t="s">
        <v>2196</v>
      </c>
      <c r="D298" t="s">
        <v>2197</v>
      </c>
      <c r="E298" t="s">
        <v>16</v>
      </c>
      <c r="F298" t="s">
        <v>1274</v>
      </c>
      <c r="G298" s="2">
        <v>0.47916666666666669</v>
      </c>
      <c r="H298" t="s">
        <v>1200</v>
      </c>
      <c r="I298" t="s">
        <v>1201</v>
      </c>
      <c r="K298" t="s">
        <v>1250</v>
      </c>
      <c r="S298" t="s">
        <v>1224</v>
      </c>
      <c r="T298" t="s">
        <v>1703</v>
      </c>
      <c r="V298" t="s">
        <v>2121</v>
      </c>
      <c r="W298" t="s">
        <v>1227</v>
      </c>
    </row>
    <row r="299" spans="1:26" x14ac:dyDescent="0.3">
      <c r="A299" t="s">
        <v>557</v>
      </c>
      <c r="B299" t="s">
        <v>2198</v>
      </c>
      <c r="C299" t="s">
        <v>2199</v>
      </c>
      <c r="D299" t="s">
        <v>2200</v>
      </c>
      <c r="E299" t="s">
        <v>16</v>
      </c>
      <c r="F299" t="s">
        <v>1317</v>
      </c>
      <c r="G299" s="2">
        <v>0.6875</v>
      </c>
      <c r="H299" t="s">
        <v>1200</v>
      </c>
      <c r="I299" t="s">
        <v>1201</v>
      </c>
      <c r="L299" t="s">
        <v>1363</v>
      </c>
      <c r="X299" t="s">
        <v>525</v>
      </c>
      <c r="Y299">
        <v>2</v>
      </c>
      <c r="Z299" t="s">
        <v>1396</v>
      </c>
    </row>
    <row r="300" spans="1:26" x14ac:dyDescent="0.3">
      <c r="A300" t="s">
        <v>557</v>
      </c>
      <c r="B300" t="s">
        <v>2201</v>
      </c>
      <c r="C300" t="s">
        <v>2202</v>
      </c>
      <c r="D300" t="s">
        <v>2203</v>
      </c>
      <c r="E300" t="s">
        <v>16</v>
      </c>
      <c r="F300" t="s">
        <v>1321</v>
      </c>
      <c r="G300" s="2">
        <v>0.68055555555555547</v>
      </c>
      <c r="H300" t="s">
        <v>1200</v>
      </c>
      <c r="I300" t="s">
        <v>1201</v>
      </c>
      <c r="L300" t="s">
        <v>1363</v>
      </c>
      <c r="X300" t="s">
        <v>525</v>
      </c>
      <c r="Y300">
        <v>2</v>
      </c>
      <c r="Z300" t="s">
        <v>1396</v>
      </c>
    </row>
    <row r="301" spans="1:26" x14ac:dyDescent="0.3">
      <c r="A301" t="s">
        <v>557</v>
      </c>
      <c r="B301" t="s">
        <v>2204</v>
      </c>
      <c r="C301" t="s">
        <v>2205</v>
      </c>
      <c r="D301" t="s">
        <v>2206</v>
      </c>
      <c r="E301" t="s">
        <v>16</v>
      </c>
      <c r="F301" t="s">
        <v>1325</v>
      </c>
      <c r="G301" s="2">
        <v>0.67361111111111116</v>
      </c>
      <c r="H301" t="s">
        <v>1200</v>
      </c>
      <c r="I301" t="s">
        <v>1201</v>
      </c>
      <c r="L301" t="s">
        <v>1363</v>
      </c>
      <c r="X301" t="s">
        <v>525</v>
      </c>
      <c r="Y301">
        <v>2</v>
      </c>
      <c r="Z301" t="s">
        <v>1396</v>
      </c>
    </row>
    <row r="302" spans="1:26" x14ac:dyDescent="0.3">
      <c r="A302" t="s">
        <v>557</v>
      </c>
      <c r="B302" t="s">
        <v>2207</v>
      </c>
      <c r="C302" t="s">
        <v>2208</v>
      </c>
      <c r="D302" t="s">
        <v>2209</v>
      </c>
      <c r="E302" t="s">
        <v>16</v>
      </c>
      <c r="F302" t="s">
        <v>1329</v>
      </c>
      <c r="G302" s="2">
        <v>0.66666666666666663</v>
      </c>
      <c r="H302" t="s">
        <v>1200</v>
      </c>
      <c r="I302" t="s">
        <v>1201</v>
      </c>
      <c r="L302" t="s">
        <v>1363</v>
      </c>
      <c r="X302" t="s">
        <v>525</v>
      </c>
      <c r="Y302">
        <v>2</v>
      </c>
      <c r="Z302" t="s">
        <v>1396</v>
      </c>
    </row>
    <row r="303" spans="1:26" x14ac:dyDescent="0.3">
      <c r="A303" t="s">
        <v>557</v>
      </c>
      <c r="B303" t="s">
        <v>2210</v>
      </c>
      <c r="C303" t="s">
        <v>2211</v>
      </c>
      <c r="D303" t="s">
        <v>2212</v>
      </c>
      <c r="E303" t="s">
        <v>16</v>
      </c>
      <c r="F303" t="s">
        <v>1333</v>
      </c>
      <c r="G303" s="2">
        <v>0.65972222222222221</v>
      </c>
      <c r="H303" t="s">
        <v>1200</v>
      </c>
      <c r="I303" t="s">
        <v>1201</v>
      </c>
      <c r="L303" t="s">
        <v>1363</v>
      </c>
      <c r="X303" t="s">
        <v>525</v>
      </c>
      <c r="Y303">
        <v>2</v>
      </c>
      <c r="Z303" t="s">
        <v>1396</v>
      </c>
    </row>
    <row r="304" spans="1:26" x14ac:dyDescent="0.3">
      <c r="A304" t="s">
        <v>557</v>
      </c>
      <c r="B304" t="s">
        <v>2213</v>
      </c>
      <c r="C304" t="s">
        <v>2214</v>
      </c>
      <c r="D304" t="s">
        <v>2215</v>
      </c>
      <c r="E304" t="s">
        <v>16</v>
      </c>
      <c r="F304" t="s">
        <v>1338</v>
      </c>
      <c r="G304" s="2">
        <v>0.65277777777777779</v>
      </c>
      <c r="H304" t="s">
        <v>1200</v>
      </c>
      <c r="I304" t="s">
        <v>1201</v>
      </c>
      <c r="L304" t="s">
        <v>1363</v>
      </c>
      <c r="X304" t="s">
        <v>525</v>
      </c>
      <c r="Y304">
        <v>2</v>
      </c>
      <c r="Z304" t="s">
        <v>1396</v>
      </c>
    </row>
    <row r="305" spans="1:26" x14ac:dyDescent="0.3">
      <c r="A305" t="s">
        <v>557</v>
      </c>
      <c r="B305" t="s">
        <v>2216</v>
      </c>
      <c r="C305" t="s">
        <v>2217</v>
      </c>
      <c r="D305" t="s">
        <v>2218</v>
      </c>
      <c r="E305" t="s">
        <v>16</v>
      </c>
      <c r="F305" t="s">
        <v>1342</v>
      </c>
      <c r="G305" s="2">
        <v>0.64583333333333337</v>
      </c>
      <c r="H305" t="s">
        <v>1200</v>
      </c>
      <c r="I305" t="s">
        <v>1201</v>
      </c>
      <c r="L305" t="s">
        <v>1202</v>
      </c>
      <c r="X305" t="s">
        <v>525</v>
      </c>
      <c r="Y305">
        <v>2</v>
      </c>
      <c r="Z305" t="s">
        <v>1203</v>
      </c>
    </row>
    <row r="306" spans="1:26" x14ac:dyDescent="0.3">
      <c r="A306" t="s">
        <v>557</v>
      </c>
      <c r="B306" t="s">
        <v>2219</v>
      </c>
      <c r="C306" t="s">
        <v>2220</v>
      </c>
      <c r="D306" t="s">
        <v>2221</v>
      </c>
      <c r="E306" t="s">
        <v>16</v>
      </c>
      <c r="F306" t="s">
        <v>1346</v>
      </c>
      <c r="G306" s="2">
        <v>0.63888888888888895</v>
      </c>
      <c r="H306" t="s">
        <v>1200</v>
      </c>
      <c r="I306" t="s">
        <v>1201</v>
      </c>
      <c r="L306" t="s">
        <v>1202</v>
      </c>
      <c r="X306" t="s">
        <v>525</v>
      </c>
      <c r="Y306">
        <v>2</v>
      </c>
      <c r="Z306" t="s">
        <v>1203</v>
      </c>
    </row>
    <row r="307" spans="1:26" x14ac:dyDescent="0.3">
      <c r="A307" t="s">
        <v>557</v>
      </c>
      <c r="B307" t="s">
        <v>2222</v>
      </c>
      <c r="C307" t="s">
        <v>2223</v>
      </c>
      <c r="D307" t="s">
        <v>2224</v>
      </c>
      <c r="E307" t="s">
        <v>16</v>
      </c>
      <c r="F307" t="s">
        <v>1350</v>
      </c>
      <c r="G307" s="2">
        <v>0.63194444444444442</v>
      </c>
      <c r="H307" t="s">
        <v>1200</v>
      </c>
      <c r="I307" t="s">
        <v>1201</v>
      </c>
      <c r="L307" t="s">
        <v>1202</v>
      </c>
      <c r="X307" t="s">
        <v>525</v>
      </c>
      <c r="Y307">
        <v>2</v>
      </c>
      <c r="Z307" t="s">
        <v>1203</v>
      </c>
    </row>
    <row r="308" spans="1:26" x14ac:dyDescent="0.3">
      <c r="A308" t="s">
        <v>557</v>
      </c>
      <c r="B308" t="s">
        <v>2225</v>
      </c>
      <c r="C308" t="s">
        <v>2226</v>
      </c>
      <c r="D308" t="s">
        <v>2227</v>
      </c>
      <c r="E308" t="s">
        <v>16</v>
      </c>
      <c r="F308" t="s">
        <v>1354</v>
      </c>
      <c r="G308" s="2">
        <v>0.625</v>
      </c>
      <c r="H308" t="s">
        <v>1200</v>
      </c>
      <c r="I308" t="s">
        <v>1201</v>
      </c>
      <c r="L308" t="s">
        <v>1202</v>
      </c>
      <c r="X308" t="s">
        <v>525</v>
      </c>
      <c r="Y308">
        <v>3</v>
      </c>
      <c r="Z308" t="s">
        <v>1203</v>
      </c>
    </row>
    <row r="309" spans="1:26" x14ac:dyDescent="0.3">
      <c r="A309" t="s">
        <v>557</v>
      </c>
      <c r="B309" t="s">
        <v>2228</v>
      </c>
      <c r="C309" t="s">
        <v>2229</v>
      </c>
      <c r="D309" t="s">
        <v>2230</v>
      </c>
      <c r="E309" t="s">
        <v>16</v>
      </c>
      <c r="F309" t="s">
        <v>1558</v>
      </c>
      <c r="G309" s="2">
        <v>0.61805555555555558</v>
      </c>
      <c r="H309" t="s">
        <v>1200</v>
      </c>
      <c r="I309" t="s">
        <v>1201</v>
      </c>
      <c r="L309" t="s">
        <v>1202</v>
      </c>
    </row>
    <row r="310" spans="1:26" x14ac:dyDescent="0.3">
      <c r="A310" t="s">
        <v>557</v>
      </c>
      <c r="B310" t="s">
        <v>2231</v>
      </c>
      <c r="C310" t="s">
        <v>2232</v>
      </c>
      <c r="D310" t="s">
        <v>2233</v>
      </c>
      <c r="E310" t="s">
        <v>16</v>
      </c>
      <c r="F310" t="s">
        <v>1358</v>
      </c>
      <c r="G310" s="2">
        <v>0.61111111111111105</v>
      </c>
      <c r="H310" t="s">
        <v>1200</v>
      </c>
      <c r="I310" t="s">
        <v>1201</v>
      </c>
      <c r="K310" t="s">
        <v>1250</v>
      </c>
    </row>
    <row r="311" spans="1:26" x14ac:dyDescent="0.3">
      <c r="A311" t="s">
        <v>557</v>
      </c>
      <c r="B311" t="s">
        <v>2234</v>
      </c>
      <c r="C311" t="s">
        <v>2235</v>
      </c>
      <c r="D311" t="s">
        <v>2236</v>
      </c>
      <c r="E311" t="s">
        <v>16</v>
      </c>
      <c r="F311" t="s">
        <v>1362</v>
      </c>
      <c r="G311" s="2">
        <v>0.60416666666666663</v>
      </c>
      <c r="H311" t="s">
        <v>1200</v>
      </c>
      <c r="I311" t="s">
        <v>1201</v>
      </c>
      <c r="K311" t="s">
        <v>1250</v>
      </c>
    </row>
    <row r="312" spans="1:26" x14ac:dyDescent="0.3">
      <c r="A312" t="s">
        <v>557</v>
      </c>
      <c r="B312" t="s">
        <v>2237</v>
      </c>
      <c r="C312" t="s">
        <v>2238</v>
      </c>
      <c r="D312" t="s">
        <v>2239</v>
      </c>
      <c r="E312" t="s">
        <v>16</v>
      </c>
      <c r="F312" t="s">
        <v>1367</v>
      </c>
      <c r="G312" s="2">
        <v>0.59722222222222221</v>
      </c>
      <c r="H312" t="s">
        <v>1200</v>
      </c>
      <c r="I312" t="s">
        <v>1201</v>
      </c>
      <c r="K312" t="s">
        <v>1250</v>
      </c>
    </row>
    <row r="313" spans="1:26" x14ac:dyDescent="0.3">
      <c r="A313" t="s">
        <v>557</v>
      </c>
      <c r="B313" t="s">
        <v>2240</v>
      </c>
      <c r="C313" t="s">
        <v>2241</v>
      </c>
      <c r="D313" t="s">
        <v>2242</v>
      </c>
      <c r="E313" t="s">
        <v>16</v>
      </c>
      <c r="F313" t="s">
        <v>1371</v>
      </c>
      <c r="G313" s="2">
        <v>0.59027777777777779</v>
      </c>
      <c r="H313" t="s">
        <v>1200</v>
      </c>
      <c r="I313" t="s">
        <v>1201</v>
      </c>
      <c r="K313" t="s">
        <v>1250</v>
      </c>
    </row>
    <row r="314" spans="1:26" x14ac:dyDescent="0.3">
      <c r="A314" t="s">
        <v>557</v>
      </c>
      <c r="B314" t="s">
        <v>2243</v>
      </c>
      <c r="C314" t="s">
        <v>2244</v>
      </c>
      <c r="D314" t="s">
        <v>2245</v>
      </c>
      <c r="E314" t="s">
        <v>16</v>
      </c>
      <c r="F314" t="s">
        <v>1199</v>
      </c>
      <c r="G314" s="2">
        <v>0.58333333333333337</v>
      </c>
      <c r="H314" t="s">
        <v>1200</v>
      </c>
      <c r="I314" t="s">
        <v>1201</v>
      </c>
      <c r="L314" t="s">
        <v>1222</v>
      </c>
    </row>
    <row r="315" spans="1:26" x14ac:dyDescent="0.3">
      <c r="A315" t="s">
        <v>557</v>
      </c>
      <c r="B315" t="s">
        <v>2246</v>
      </c>
      <c r="C315" t="s">
        <v>2247</v>
      </c>
      <c r="D315" t="s">
        <v>2248</v>
      </c>
      <c r="E315" t="s">
        <v>16</v>
      </c>
      <c r="F315" t="s">
        <v>1207</v>
      </c>
      <c r="G315" s="2">
        <v>0.57638888888888895</v>
      </c>
      <c r="H315" t="s">
        <v>1200</v>
      </c>
      <c r="I315" t="s">
        <v>1201</v>
      </c>
      <c r="M315" t="s">
        <v>1292</v>
      </c>
    </row>
    <row r="316" spans="1:26" x14ac:dyDescent="0.3">
      <c r="A316" t="s">
        <v>557</v>
      </c>
      <c r="B316" t="s">
        <v>2249</v>
      </c>
      <c r="C316" t="s">
        <v>2250</v>
      </c>
      <c r="D316" t="s">
        <v>2251</v>
      </c>
      <c r="E316" t="s">
        <v>16</v>
      </c>
      <c r="F316" t="s">
        <v>1211</v>
      </c>
      <c r="G316" s="2">
        <v>0.56944444444444442</v>
      </c>
      <c r="H316" t="s">
        <v>1200</v>
      </c>
      <c r="I316" t="s">
        <v>1201</v>
      </c>
      <c r="M316" t="s">
        <v>1292</v>
      </c>
    </row>
    <row r="317" spans="1:26" x14ac:dyDescent="0.3">
      <c r="A317" t="s">
        <v>557</v>
      </c>
      <c r="B317" t="s">
        <v>2252</v>
      </c>
      <c r="C317" t="s">
        <v>2253</v>
      </c>
      <c r="D317" t="s">
        <v>2254</v>
      </c>
      <c r="E317" t="s">
        <v>16</v>
      </c>
      <c r="F317" t="s">
        <v>1215</v>
      </c>
      <c r="G317" s="2">
        <v>0.5625</v>
      </c>
      <c r="H317" t="s">
        <v>1200</v>
      </c>
      <c r="I317" t="s">
        <v>1201</v>
      </c>
      <c r="M317" t="s">
        <v>1292</v>
      </c>
    </row>
    <row r="318" spans="1:26" x14ac:dyDescent="0.3">
      <c r="A318" t="s">
        <v>557</v>
      </c>
      <c r="B318" t="s">
        <v>2255</v>
      </c>
      <c r="C318" t="s">
        <v>2256</v>
      </c>
      <c r="D318" t="s">
        <v>2257</v>
      </c>
      <c r="E318" t="s">
        <v>16</v>
      </c>
      <c r="F318" t="s">
        <v>1221</v>
      </c>
      <c r="G318" s="2">
        <v>0.55555555555555558</v>
      </c>
      <c r="H318" t="s">
        <v>1200</v>
      </c>
      <c r="I318" t="s">
        <v>1201</v>
      </c>
      <c r="L318" t="s">
        <v>1222</v>
      </c>
    </row>
    <row r="319" spans="1:26" x14ac:dyDescent="0.3">
      <c r="A319" t="s">
        <v>557</v>
      </c>
      <c r="B319" t="s">
        <v>2258</v>
      </c>
      <c r="C319" t="s">
        <v>2259</v>
      </c>
      <c r="D319" t="s">
        <v>2260</v>
      </c>
      <c r="E319" t="s">
        <v>16</v>
      </c>
      <c r="F319" t="s">
        <v>1232</v>
      </c>
      <c r="G319" s="2">
        <v>0.54861111111111105</v>
      </c>
      <c r="H319" t="s">
        <v>1200</v>
      </c>
      <c r="I319" t="s">
        <v>1201</v>
      </c>
      <c r="K319" t="s">
        <v>1250</v>
      </c>
    </row>
    <row r="320" spans="1:26" x14ac:dyDescent="0.3">
      <c r="A320" t="s">
        <v>557</v>
      </c>
      <c r="B320" s="3" t="s">
        <v>2261</v>
      </c>
      <c r="C320" t="s">
        <v>2262</v>
      </c>
      <c r="D320" t="s">
        <v>2263</v>
      </c>
      <c r="E320" t="s">
        <v>16</v>
      </c>
      <c r="F320" t="s">
        <v>1236</v>
      </c>
      <c r="G320" s="2">
        <v>0.54166666666666663</v>
      </c>
      <c r="H320" t="s">
        <v>1200</v>
      </c>
      <c r="I320" t="s">
        <v>1201</v>
      </c>
      <c r="K320" t="s">
        <v>1250</v>
      </c>
    </row>
    <row r="321" spans="1:30" x14ac:dyDescent="0.3">
      <c r="A321" t="s">
        <v>557</v>
      </c>
      <c r="B321" t="s">
        <v>2264</v>
      </c>
      <c r="C321" t="s">
        <v>2265</v>
      </c>
      <c r="D321" t="s">
        <v>2266</v>
      </c>
      <c r="E321" t="s">
        <v>16</v>
      </c>
      <c r="F321" t="s">
        <v>1240</v>
      </c>
      <c r="G321" s="2">
        <v>0.53472222222222221</v>
      </c>
      <c r="H321" t="s">
        <v>1200</v>
      </c>
      <c r="I321" t="s">
        <v>1201</v>
      </c>
      <c r="K321" t="s">
        <v>1250</v>
      </c>
    </row>
    <row r="322" spans="1:30" x14ac:dyDescent="0.3">
      <c r="A322" t="s">
        <v>557</v>
      </c>
      <c r="B322" t="s">
        <v>2267</v>
      </c>
      <c r="C322" t="s">
        <v>2268</v>
      </c>
      <c r="D322" t="s">
        <v>2269</v>
      </c>
      <c r="E322" t="s">
        <v>16</v>
      </c>
      <c r="F322" t="s">
        <v>1244</v>
      </c>
      <c r="G322" s="2">
        <v>0.52777777777777779</v>
      </c>
      <c r="H322" t="s">
        <v>1200</v>
      </c>
      <c r="I322" t="s">
        <v>1201</v>
      </c>
      <c r="L322" t="s">
        <v>1363</v>
      </c>
    </row>
    <row r="323" spans="1:30" x14ac:dyDescent="0.3">
      <c r="A323" t="s">
        <v>557</v>
      </c>
      <c r="B323" t="s">
        <v>2270</v>
      </c>
      <c r="C323" t="s">
        <v>2271</v>
      </c>
      <c r="D323" t="s">
        <v>2272</v>
      </c>
      <c r="E323" t="s">
        <v>16</v>
      </c>
      <c r="F323" t="s">
        <v>1249</v>
      </c>
      <c r="G323" s="2">
        <v>0.52083333333333337</v>
      </c>
      <c r="H323" t="s">
        <v>1200</v>
      </c>
      <c r="I323" t="s">
        <v>1201</v>
      </c>
      <c r="L323" t="s">
        <v>1363</v>
      </c>
    </row>
    <row r="324" spans="1:30" x14ac:dyDescent="0.3">
      <c r="A324" t="s">
        <v>557</v>
      </c>
      <c r="B324" t="s">
        <v>2273</v>
      </c>
      <c r="C324" t="s">
        <v>2274</v>
      </c>
      <c r="D324" t="s">
        <v>2275</v>
      </c>
      <c r="E324" t="s">
        <v>16</v>
      </c>
      <c r="F324" t="s">
        <v>1406</v>
      </c>
      <c r="G324" s="2">
        <v>0.51388888888888895</v>
      </c>
      <c r="H324" t="s">
        <v>1200</v>
      </c>
      <c r="I324" t="s">
        <v>1201</v>
      </c>
      <c r="L324" t="s">
        <v>1363</v>
      </c>
    </row>
    <row r="325" spans="1:30" x14ac:dyDescent="0.3">
      <c r="A325" t="s">
        <v>557</v>
      </c>
      <c r="B325" t="s">
        <v>2276</v>
      </c>
      <c r="C325" t="s">
        <v>2277</v>
      </c>
      <c r="D325" t="s">
        <v>2278</v>
      </c>
      <c r="E325" t="s">
        <v>16</v>
      </c>
      <c r="F325" t="s">
        <v>1254</v>
      </c>
      <c r="G325" s="2">
        <v>0.50694444444444442</v>
      </c>
      <c r="H325" t="s">
        <v>1200</v>
      </c>
      <c r="I325" t="s">
        <v>1201</v>
      </c>
      <c r="L325" t="s">
        <v>1363</v>
      </c>
    </row>
    <row r="326" spans="1:30" x14ac:dyDescent="0.3">
      <c r="A326" t="s">
        <v>557</v>
      </c>
      <c r="B326" t="s">
        <v>2279</v>
      </c>
      <c r="C326" t="s">
        <v>2280</v>
      </c>
      <c r="D326" t="s">
        <v>2281</v>
      </c>
      <c r="E326" t="s">
        <v>16</v>
      </c>
      <c r="F326" t="s">
        <v>1259</v>
      </c>
      <c r="G326" s="2">
        <v>0.5</v>
      </c>
      <c r="H326" t="s">
        <v>1200</v>
      </c>
      <c r="I326" t="s">
        <v>1201</v>
      </c>
      <c r="L326" t="s">
        <v>1363</v>
      </c>
    </row>
    <row r="327" spans="1:30" x14ac:dyDescent="0.3">
      <c r="A327" t="s">
        <v>557</v>
      </c>
      <c r="B327" t="s">
        <v>2282</v>
      </c>
      <c r="C327" t="s">
        <v>2283</v>
      </c>
      <c r="D327" t="s">
        <v>2284</v>
      </c>
      <c r="E327" t="s">
        <v>16</v>
      </c>
      <c r="F327" t="s">
        <v>1265</v>
      </c>
      <c r="G327" s="2">
        <v>0.49305555555555558</v>
      </c>
      <c r="H327" t="s">
        <v>1200</v>
      </c>
      <c r="I327" t="s">
        <v>1201</v>
      </c>
      <c r="L327" t="s">
        <v>1363</v>
      </c>
    </row>
    <row r="328" spans="1:30" x14ac:dyDescent="0.3">
      <c r="A328" t="s">
        <v>557</v>
      </c>
      <c r="B328" t="s">
        <v>2285</v>
      </c>
      <c r="C328" t="s">
        <v>2286</v>
      </c>
      <c r="D328" t="s">
        <v>2287</v>
      </c>
      <c r="E328" t="s">
        <v>16</v>
      </c>
      <c r="F328" t="s">
        <v>1270</v>
      </c>
      <c r="G328" s="2">
        <v>0.4861111111111111</v>
      </c>
      <c r="H328" t="s">
        <v>1200</v>
      </c>
      <c r="I328" t="s">
        <v>1201</v>
      </c>
      <c r="L328" t="s">
        <v>1363</v>
      </c>
    </row>
    <row r="329" spans="1:30" x14ac:dyDescent="0.3">
      <c r="A329" t="s">
        <v>557</v>
      </c>
      <c r="B329" t="s">
        <v>2288</v>
      </c>
      <c r="C329" t="s">
        <v>2289</v>
      </c>
      <c r="D329" t="s">
        <v>2290</v>
      </c>
      <c r="E329" t="s">
        <v>16</v>
      </c>
      <c r="F329" t="s">
        <v>1274</v>
      </c>
      <c r="G329" s="2">
        <v>0.47916666666666669</v>
      </c>
      <c r="H329" t="s">
        <v>1200</v>
      </c>
      <c r="I329" t="s">
        <v>1201</v>
      </c>
      <c r="L329" t="s">
        <v>1363</v>
      </c>
    </row>
    <row r="330" spans="1:30" x14ac:dyDescent="0.3">
      <c r="A330" t="s">
        <v>557</v>
      </c>
      <c r="B330" t="s">
        <v>2291</v>
      </c>
      <c r="C330" t="s">
        <v>2292</v>
      </c>
      <c r="D330" t="s">
        <v>2293</v>
      </c>
      <c r="E330" t="s">
        <v>16</v>
      </c>
      <c r="F330" t="s">
        <v>1278</v>
      </c>
      <c r="G330" s="2">
        <v>0.47222222222222227</v>
      </c>
      <c r="H330" t="s">
        <v>1200</v>
      </c>
      <c r="I330" t="s">
        <v>1201</v>
      </c>
      <c r="L330" t="s">
        <v>1363</v>
      </c>
    </row>
    <row r="331" spans="1:30" x14ac:dyDescent="0.3">
      <c r="A331" t="s">
        <v>557</v>
      </c>
      <c r="B331" t="s">
        <v>2294</v>
      </c>
      <c r="C331" t="s">
        <v>2295</v>
      </c>
      <c r="D331" t="s">
        <v>2296</v>
      </c>
      <c r="E331" t="s">
        <v>16</v>
      </c>
      <c r="F331" t="s">
        <v>1282</v>
      </c>
      <c r="G331" s="2">
        <v>0.46527777777777773</v>
      </c>
      <c r="H331" t="s">
        <v>1200</v>
      </c>
      <c r="I331" t="s">
        <v>1201</v>
      </c>
      <c r="L331" t="s">
        <v>1202</v>
      </c>
    </row>
    <row r="332" spans="1:30" x14ac:dyDescent="0.3">
      <c r="A332" t="s">
        <v>557</v>
      </c>
      <c r="B332" t="s">
        <v>2297</v>
      </c>
      <c r="C332" t="s">
        <v>2298</v>
      </c>
      <c r="D332" t="s">
        <v>2299</v>
      </c>
      <c r="E332" t="s">
        <v>16</v>
      </c>
      <c r="F332" t="s">
        <v>1287</v>
      </c>
      <c r="G332" s="2">
        <v>0.45833333333333331</v>
      </c>
      <c r="H332" t="s">
        <v>1200</v>
      </c>
      <c r="I332" t="s">
        <v>1201</v>
      </c>
      <c r="L332" t="s">
        <v>1202</v>
      </c>
    </row>
    <row r="333" spans="1:30" x14ac:dyDescent="0.3">
      <c r="A333" t="s">
        <v>557</v>
      </c>
      <c r="B333" t="s">
        <v>2300</v>
      </c>
      <c r="C333" t="s">
        <v>2301</v>
      </c>
      <c r="D333" t="s">
        <v>2302</v>
      </c>
      <c r="E333" t="s">
        <v>16</v>
      </c>
      <c r="F333" t="s">
        <v>1291</v>
      </c>
      <c r="G333" s="2">
        <v>0.4513888888888889</v>
      </c>
      <c r="H333" t="s">
        <v>1200</v>
      </c>
      <c r="I333" t="s">
        <v>1201</v>
      </c>
      <c r="M333" t="s">
        <v>1292</v>
      </c>
    </row>
    <row r="334" spans="1:30" x14ac:dyDescent="0.3">
      <c r="A334" t="s">
        <v>557</v>
      </c>
      <c r="B334" t="s">
        <v>2303</v>
      </c>
      <c r="C334" t="s">
        <v>2304</v>
      </c>
      <c r="D334" t="s">
        <v>2305</v>
      </c>
      <c r="E334" t="s">
        <v>16</v>
      </c>
      <c r="F334" t="s">
        <v>1296</v>
      </c>
      <c r="G334" s="2">
        <v>0.44444444444444442</v>
      </c>
      <c r="H334" t="s">
        <v>1200</v>
      </c>
      <c r="I334" t="s">
        <v>1201</v>
      </c>
      <c r="M334" t="s">
        <v>1292</v>
      </c>
    </row>
    <row r="335" spans="1:30" x14ac:dyDescent="0.3">
      <c r="A335" t="s">
        <v>557</v>
      </c>
      <c r="B335" t="s">
        <v>2306</v>
      </c>
      <c r="C335" t="s">
        <v>2307</v>
      </c>
      <c r="D335" t="s">
        <v>2308</v>
      </c>
      <c r="E335" t="s">
        <v>16</v>
      </c>
      <c r="F335" t="s">
        <v>1300</v>
      </c>
      <c r="G335" s="2">
        <v>0.4375</v>
      </c>
      <c r="H335" t="s">
        <v>1200</v>
      </c>
      <c r="I335" t="s">
        <v>1201</v>
      </c>
      <c r="M335" t="s">
        <v>1292</v>
      </c>
    </row>
    <row r="336" spans="1:30" x14ac:dyDescent="0.3">
      <c r="A336" t="s">
        <v>557</v>
      </c>
      <c r="B336" t="s">
        <v>2309</v>
      </c>
      <c r="C336" t="s">
        <v>2310</v>
      </c>
      <c r="D336" t="s">
        <v>2311</v>
      </c>
      <c r="E336" t="s">
        <v>16</v>
      </c>
      <c r="F336" t="s">
        <v>1443</v>
      </c>
      <c r="G336" s="2">
        <v>0.43055555555555558</v>
      </c>
      <c r="H336" t="s">
        <v>1200</v>
      </c>
      <c r="I336" t="s">
        <v>1201</v>
      </c>
      <c r="K336" t="s">
        <v>1250</v>
      </c>
      <c r="X336" t="s">
        <v>546</v>
      </c>
      <c r="Y336">
        <v>2</v>
      </c>
      <c r="Z336" t="s">
        <v>1266</v>
      </c>
      <c r="AB336" t="s">
        <v>1100</v>
      </c>
      <c r="AC336">
        <v>2</v>
      </c>
      <c r="AD336" t="s">
        <v>1266</v>
      </c>
    </row>
    <row r="337" spans="1:33" x14ac:dyDescent="0.3">
      <c r="A337" t="s">
        <v>557</v>
      </c>
      <c r="B337" t="s">
        <v>2312</v>
      </c>
      <c r="C337" t="s">
        <v>2313</v>
      </c>
      <c r="D337" t="s">
        <v>2314</v>
      </c>
      <c r="E337" t="s">
        <v>16</v>
      </c>
      <c r="F337" t="s">
        <v>1447</v>
      </c>
      <c r="G337" s="2">
        <v>0.4236111111111111</v>
      </c>
      <c r="H337" t="s">
        <v>1200</v>
      </c>
      <c r="I337" t="s">
        <v>1201</v>
      </c>
      <c r="K337" t="s">
        <v>1250</v>
      </c>
      <c r="X337" t="s">
        <v>546</v>
      </c>
      <c r="Y337">
        <v>2</v>
      </c>
      <c r="Z337" t="s">
        <v>1266</v>
      </c>
      <c r="AB337" t="s">
        <v>1100</v>
      </c>
      <c r="AC337">
        <v>3</v>
      </c>
      <c r="AD337" t="s">
        <v>1228</v>
      </c>
    </row>
    <row r="338" spans="1:33" x14ac:dyDescent="0.3">
      <c r="A338" t="s">
        <v>557</v>
      </c>
      <c r="B338" t="s">
        <v>2315</v>
      </c>
      <c r="C338" t="s">
        <v>2316</v>
      </c>
      <c r="D338" t="s">
        <v>2317</v>
      </c>
      <c r="E338" t="s">
        <v>16</v>
      </c>
      <c r="F338" t="s">
        <v>1451</v>
      </c>
      <c r="G338" s="2">
        <v>0.41666666666666669</v>
      </c>
      <c r="H338" t="s">
        <v>1200</v>
      </c>
      <c r="I338" t="s">
        <v>1201</v>
      </c>
      <c r="K338" t="s">
        <v>1250</v>
      </c>
      <c r="X338" t="s">
        <v>498</v>
      </c>
      <c r="Y338">
        <v>2</v>
      </c>
      <c r="Z338" t="s">
        <v>1266</v>
      </c>
      <c r="AB338" t="s">
        <v>546</v>
      </c>
      <c r="AC338">
        <v>3</v>
      </c>
      <c r="AD338" t="s">
        <v>1266</v>
      </c>
      <c r="AE338" t="s">
        <v>1100</v>
      </c>
      <c r="AF338">
        <v>3</v>
      </c>
      <c r="AG338" t="s">
        <v>1266</v>
      </c>
    </row>
    <row r="339" spans="1:33" x14ac:dyDescent="0.3">
      <c r="A339" t="s">
        <v>557</v>
      </c>
      <c r="B339" t="s">
        <v>2318</v>
      </c>
      <c r="C339" t="s">
        <v>2319</v>
      </c>
      <c r="D339" t="s">
        <v>2320</v>
      </c>
      <c r="E339" t="s">
        <v>16</v>
      </c>
      <c r="F339" t="s">
        <v>1455</v>
      </c>
      <c r="G339" s="2">
        <v>0.40972222222222227</v>
      </c>
      <c r="H339" t="s">
        <v>1200</v>
      </c>
      <c r="I339" t="s">
        <v>1201</v>
      </c>
      <c r="L339" t="s">
        <v>1222</v>
      </c>
      <c r="R339" t="s">
        <v>1681</v>
      </c>
      <c r="S339" t="s">
        <v>364</v>
      </c>
      <c r="T339" t="s">
        <v>1676</v>
      </c>
      <c r="U339" t="s">
        <v>1677</v>
      </c>
      <c r="X339" t="s">
        <v>498</v>
      </c>
      <c r="Y339">
        <v>2</v>
      </c>
      <c r="Z339" t="s">
        <v>1704</v>
      </c>
      <c r="AB339" t="s">
        <v>546</v>
      </c>
      <c r="AC339">
        <v>3</v>
      </c>
      <c r="AD339" t="s">
        <v>1228</v>
      </c>
    </row>
    <row r="340" spans="1:33" x14ac:dyDescent="0.3">
      <c r="A340" t="s">
        <v>557</v>
      </c>
      <c r="B340" t="s">
        <v>2321</v>
      </c>
      <c r="C340" t="s">
        <v>2322</v>
      </c>
      <c r="D340" t="s">
        <v>2323</v>
      </c>
      <c r="E340" t="s">
        <v>16</v>
      </c>
      <c r="F340" t="s">
        <v>1459</v>
      </c>
      <c r="G340" s="2">
        <v>0.40277777777777773</v>
      </c>
      <c r="H340" t="s">
        <v>1200</v>
      </c>
      <c r="I340" t="s">
        <v>1201</v>
      </c>
      <c r="K340" t="s">
        <v>1250</v>
      </c>
      <c r="X340" t="s">
        <v>546</v>
      </c>
      <c r="Y340">
        <v>3</v>
      </c>
      <c r="Z340" t="s">
        <v>1266</v>
      </c>
      <c r="AB340" t="s">
        <v>1100</v>
      </c>
      <c r="AC340">
        <v>3</v>
      </c>
      <c r="AD340" t="s">
        <v>1228</v>
      </c>
      <c r="AE340" t="s">
        <v>498</v>
      </c>
      <c r="AF340">
        <v>3</v>
      </c>
      <c r="AG340" t="s">
        <v>1266</v>
      </c>
    </row>
    <row r="341" spans="1:33" x14ac:dyDescent="0.3">
      <c r="A341" t="s">
        <v>561</v>
      </c>
      <c r="B341" t="s">
        <v>2324</v>
      </c>
      <c r="C341" t="s">
        <v>2325</v>
      </c>
      <c r="D341" t="s">
        <v>2326</v>
      </c>
      <c r="E341" t="s">
        <v>16</v>
      </c>
      <c r="F341" t="s">
        <v>1338</v>
      </c>
      <c r="G341" s="2">
        <v>0.65277777777777779</v>
      </c>
      <c r="H341" t="s">
        <v>1200</v>
      </c>
      <c r="I341" t="s">
        <v>1201</v>
      </c>
      <c r="L341" t="s">
        <v>1363</v>
      </c>
    </row>
    <row r="342" spans="1:33" x14ac:dyDescent="0.3">
      <c r="A342" t="s">
        <v>561</v>
      </c>
      <c r="B342" t="s">
        <v>2327</v>
      </c>
      <c r="C342" t="s">
        <v>2328</v>
      </c>
      <c r="D342" t="s">
        <v>2329</v>
      </c>
      <c r="E342" t="s">
        <v>16</v>
      </c>
      <c r="F342" t="s">
        <v>1342</v>
      </c>
      <c r="G342" s="2">
        <v>0.64583333333333337</v>
      </c>
      <c r="H342" t="s">
        <v>1200</v>
      </c>
      <c r="I342" t="s">
        <v>1201</v>
      </c>
      <c r="L342" t="s">
        <v>1363</v>
      </c>
    </row>
    <row r="343" spans="1:33" x14ac:dyDescent="0.3">
      <c r="A343" t="s">
        <v>561</v>
      </c>
      <c r="B343" s="3" t="s">
        <v>2330</v>
      </c>
      <c r="C343" t="s">
        <v>2331</v>
      </c>
      <c r="D343" t="s">
        <v>2332</v>
      </c>
      <c r="E343" t="s">
        <v>16</v>
      </c>
      <c r="F343" t="s">
        <v>1346</v>
      </c>
      <c r="G343" s="2">
        <v>0.63888888888888895</v>
      </c>
      <c r="H343" t="s">
        <v>1200</v>
      </c>
      <c r="I343" t="s">
        <v>1201</v>
      </c>
      <c r="L343" t="s">
        <v>1363</v>
      </c>
    </row>
    <row r="344" spans="1:33" x14ac:dyDescent="0.3">
      <c r="A344" t="s">
        <v>561</v>
      </c>
      <c r="B344" t="s">
        <v>2333</v>
      </c>
      <c r="C344" t="s">
        <v>2334</v>
      </c>
      <c r="D344" t="s">
        <v>2335</v>
      </c>
      <c r="E344" t="s">
        <v>16</v>
      </c>
      <c r="F344" t="s">
        <v>1350</v>
      </c>
      <c r="G344" s="2">
        <v>0.63194444444444442</v>
      </c>
      <c r="H344" t="s">
        <v>1200</v>
      </c>
      <c r="I344" t="s">
        <v>1201</v>
      </c>
      <c r="L344" t="s">
        <v>1363</v>
      </c>
    </row>
    <row r="345" spans="1:33" x14ac:dyDescent="0.3">
      <c r="A345" t="s">
        <v>561</v>
      </c>
      <c r="B345" t="s">
        <v>2336</v>
      </c>
      <c r="C345" t="s">
        <v>2337</v>
      </c>
      <c r="D345" t="s">
        <v>2338</v>
      </c>
      <c r="E345" t="s">
        <v>16</v>
      </c>
      <c r="F345" t="s">
        <v>1354</v>
      </c>
      <c r="G345" s="2">
        <v>0.625</v>
      </c>
      <c r="H345" t="s">
        <v>1200</v>
      </c>
      <c r="I345" t="s">
        <v>1201</v>
      </c>
      <c r="L345" t="s">
        <v>1363</v>
      </c>
    </row>
    <row r="346" spans="1:33" x14ac:dyDescent="0.3">
      <c r="A346" t="s">
        <v>561</v>
      </c>
      <c r="B346" t="s">
        <v>2339</v>
      </c>
      <c r="C346" t="s">
        <v>2340</v>
      </c>
      <c r="D346" t="s">
        <v>2341</v>
      </c>
      <c r="E346" t="s">
        <v>16</v>
      </c>
      <c r="F346" t="s">
        <v>1558</v>
      </c>
      <c r="G346" s="2">
        <v>0.61805555555555558</v>
      </c>
      <c r="H346" t="s">
        <v>1200</v>
      </c>
      <c r="I346" t="s">
        <v>1201</v>
      </c>
      <c r="L346" t="s">
        <v>1363</v>
      </c>
    </row>
    <row r="347" spans="1:33" x14ac:dyDescent="0.3">
      <c r="A347" t="s">
        <v>561</v>
      </c>
      <c r="B347" t="s">
        <v>2342</v>
      </c>
      <c r="C347" t="s">
        <v>2343</v>
      </c>
      <c r="D347" t="s">
        <v>2344</v>
      </c>
      <c r="E347" t="s">
        <v>16</v>
      </c>
      <c r="F347" t="s">
        <v>1358</v>
      </c>
      <c r="G347" s="2">
        <v>0.61111111111111105</v>
      </c>
      <c r="H347" t="s">
        <v>1200</v>
      </c>
      <c r="I347" t="s">
        <v>1201</v>
      </c>
      <c r="L347" t="s">
        <v>1363</v>
      </c>
    </row>
    <row r="348" spans="1:33" x14ac:dyDescent="0.3">
      <c r="A348" t="s">
        <v>565</v>
      </c>
      <c r="B348" t="s">
        <v>2345</v>
      </c>
      <c r="C348" t="s">
        <v>2346</v>
      </c>
      <c r="D348" t="s">
        <v>2347</v>
      </c>
      <c r="E348" t="s">
        <v>16</v>
      </c>
      <c r="F348" t="s">
        <v>1329</v>
      </c>
      <c r="G348" s="2">
        <v>0.66666666666666663</v>
      </c>
      <c r="H348" t="s">
        <v>1200</v>
      </c>
      <c r="I348" t="s">
        <v>1201</v>
      </c>
      <c r="L348" t="s">
        <v>1363</v>
      </c>
    </row>
    <row r="349" spans="1:33" x14ac:dyDescent="0.3">
      <c r="A349" t="s">
        <v>565</v>
      </c>
      <c r="B349" t="s">
        <v>2348</v>
      </c>
      <c r="C349" t="s">
        <v>2349</v>
      </c>
      <c r="D349" t="s">
        <v>2350</v>
      </c>
      <c r="E349" t="s">
        <v>16</v>
      </c>
      <c r="F349" t="s">
        <v>1333</v>
      </c>
      <c r="G349" s="2">
        <v>0.65972222222222221</v>
      </c>
      <c r="H349" t="s">
        <v>1200</v>
      </c>
      <c r="I349" t="s">
        <v>1201</v>
      </c>
      <c r="L349" t="s">
        <v>1202</v>
      </c>
    </row>
    <row r="350" spans="1:33" x14ac:dyDescent="0.3">
      <c r="A350" t="s">
        <v>565</v>
      </c>
      <c r="B350" t="s">
        <v>2351</v>
      </c>
      <c r="C350" t="s">
        <v>2352</v>
      </c>
      <c r="D350" t="s">
        <v>2353</v>
      </c>
      <c r="E350" t="s">
        <v>16</v>
      </c>
      <c r="F350" t="s">
        <v>1338</v>
      </c>
      <c r="G350" s="2">
        <v>0.65277777777777779</v>
      </c>
      <c r="H350" t="s">
        <v>1200</v>
      </c>
      <c r="I350" t="s">
        <v>1201</v>
      </c>
      <c r="M350" t="s">
        <v>1501</v>
      </c>
    </row>
    <row r="351" spans="1:33" x14ac:dyDescent="0.3">
      <c r="A351" t="s">
        <v>565</v>
      </c>
      <c r="B351" t="s">
        <v>2354</v>
      </c>
      <c r="C351" t="s">
        <v>2355</v>
      </c>
      <c r="D351" t="s">
        <v>2356</v>
      </c>
      <c r="E351" t="s">
        <v>16</v>
      </c>
      <c r="F351" t="s">
        <v>1342</v>
      </c>
      <c r="G351" s="2">
        <v>0.64583333333333337</v>
      </c>
      <c r="H351" t="s">
        <v>1200</v>
      </c>
      <c r="I351" t="s">
        <v>1201</v>
      </c>
      <c r="M351" t="s">
        <v>1501</v>
      </c>
    </row>
    <row r="352" spans="1:33" x14ac:dyDescent="0.3">
      <c r="A352" t="s">
        <v>561</v>
      </c>
      <c r="B352" t="s">
        <v>2357</v>
      </c>
      <c r="C352" t="s">
        <v>2358</v>
      </c>
      <c r="D352" t="s">
        <v>2359</v>
      </c>
      <c r="E352" t="s">
        <v>16</v>
      </c>
      <c r="F352" t="s">
        <v>1362</v>
      </c>
      <c r="G352" s="2">
        <v>0.60416666666666663</v>
      </c>
      <c r="H352" t="s">
        <v>1200</v>
      </c>
      <c r="I352" t="s">
        <v>1201</v>
      </c>
      <c r="L352" t="s">
        <v>1363</v>
      </c>
    </row>
    <row r="353" spans="1:33" x14ac:dyDescent="0.3">
      <c r="A353" t="s">
        <v>561</v>
      </c>
      <c r="B353" t="s">
        <v>2360</v>
      </c>
      <c r="C353" t="s">
        <v>2361</v>
      </c>
      <c r="D353" t="s">
        <v>2362</v>
      </c>
      <c r="E353" t="s">
        <v>16</v>
      </c>
      <c r="F353" t="s">
        <v>1367</v>
      </c>
      <c r="G353" s="2">
        <v>0.59722222222222221</v>
      </c>
      <c r="H353" t="s">
        <v>1200</v>
      </c>
      <c r="I353" t="s">
        <v>1201</v>
      </c>
      <c r="L353" t="s">
        <v>1363</v>
      </c>
    </row>
    <row r="354" spans="1:33" x14ac:dyDescent="0.3">
      <c r="A354" t="s">
        <v>561</v>
      </c>
      <c r="B354" t="s">
        <v>2363</v>
      </c>
      <c r="C354" t="s">
        <v>2364</v>
      </c>
      <c r="D354" t="s">
        <v>2365</v>
      </c>
      <c r="E354" t="s">
        <v>16</v>
      </c>
      <c r="F354" t="s">
        <v>1371</v>
      </c>
      <c r="G354" s="2">
        <v>0.59027777777777779</v>
      </c>
      <c r="H354" t="s">
        <v>1200</v>
      </c>
      <c r="I354" t="s">
        <v>1201</v>
      </c>
      <c r="L354" t="s">
        <v>1363</v>
      </c>
    </row>
    <row r="355" spans="1:33" x14ac:dyDescent="0.3">
      <c r="A355" t="s">
        <v>561</v>
      </c>
      <c r="B355" t="s">
        <v>2366</v>
      </c>
      <c r="C355" t="s">
        <v>2367</v>
      </c>
      <c r="D355" t="s">
        <v>2368</v>
      </c>
      <c r="E355" t="s">
        <v>16</v>
      </c>
      <c r="F355" t="s">
        <v>1199</v>
      </c>
      <c r="G355" s="2">
        <v>0.58333333333333337</v>
      </c>
      <c r="H355" t="s">
        <v>1200</v>
      </c>
      <c r="I355" t="s">
        <v>1201</v>
      </c>
      <c r="L355" t="s">
        <v>1363</v>
      </c>
    </row>
    <row r="356" spans="1:33" x14ac:dyDescent="0.3">
      <c r="A356" t="s">
        <v>561</v>
      </c>
      <c r="B356" t="s">
        <v>2369</v>
      </c>
      <c r="C356" t="s">
        <v>2370</v>
      </c>
      <c r="D356" t="s">
        <v>2371</v>
      </c>
      <c r="E356" t="s">
        <v>16</v>
      </c>
      <c r="F356" t="s">
        <v>1207</v>
      </c>
      <c r="G356" s="2">
        <v>0.57638888888888895</v>
      </c>
      <c r="H356" t="s">
        <v>1200</v>
      </c>
      <c r="I356" t="s">
        <v>1201</v>
      </c>
      <c r="L356" t="s">
        <v>1363</v>
      </c>
    </row>
    <row r="357" spans="1:33" x14ac:dyDescent="0.3">
      <c r="A357" t="s">
        <v>561</v>
      </c>
      <c r="B357" t="s">
        <v>2372</v>
      </c>
      <c r="C357" t="s">
        <v>2373</v>
      </c>
      <c r="D357" t="s">
        <v>2374</v>
      </c>
      <c r="E357" t="s">
        <v>16</v>
      </c>
      <c r="F357" t="s">
        <v>1211</v>
      </c>
      <c r="G357" s="2">
        <v>0.56944444444444442</v>
      </c>
      <c r="H357" t="s">
        <v>1200</v>
      </c>
      <c r="I357" t="s">
        <v>1201</v>
      </c>
      <c r="L357" t="s">
        <v>1363</v>
      </c>
    </row>
    <row r="358" spans="1:33" x14ac:dyDescent="0.3">
      <c r="A358" t="s">
        <v>561</v>
      </c>
      <c r="B358" t="s">
        <v>2375</v>
      </c>
      <c r="C358" t="s">
        <v>2376</v>
      </c>
      <c r="D358" t="s">
        <v>2377</v>
      </c>
      <c r="E358" t="s">
        <v>16</v>
      </c>
      <c r="F358" t="s">
        <v>1215</v>
      </c>
      <c r="G358" s="2">
        <v>0.5625</v>
      </c>
      <c r="H358" t="s">
        <v>1200</v>
      </c>
      <c r="I358" t="s">
        <v>1201</v>
      </c>
      <c r="L358" t="s">
        <v>1363</v>
      </c>
    </row>
    <row r="359" spans="1:33" x14ac:dyDescent="0.3">
      <c r="A359" t="s">
        <v>561</v>
      </c>
      <c r="B359" t="s">
        <v>2378</v>
      </c>
      <c r="C359" t="s">
        <v>2379</v>
      </c>
      <c r="D359" t="s">
        <v>2380</v>
      </c>
      <c r="E359" t="s">
        <v>16</v>
      </c>
      <c r="F359" t="s">
        <v>1221</v>
      </c>
      <c r="G359" s="2">
        <v>0.55555555555555558</v>
      </c>
      <c r="H359" t="s">
        <v>1200</v>
      </c>
      <c r="I359" t="s">
        <v>1201</v>
      </c>
      <c r="L359" t="s">
        <v>1363</v>
      </c>
    </row>
    <row r="360" spans="1:33" x14ac:dyDescent="0.3">
      <c r="A360" t="s">
        <v>561</v>
      </c>
      <c r="B360" t="s">
        <v>2381</v>
      </c>
      <c r="C360" t="s">
        <v>2382</v>
      </c>
      <c r="D360" t="s">
        <v>2383</v>
      </c>
      <c r="E360" t="s">
        <v>16</v>
      </c>
      <c r="F360" t="s">
        <v>1232</v>
      </c>
      <c r="G360" s="2">
        <v>0.54861111111111105</v>
      </c>
      <c r="H360" t="s">
        <v>1200</v>
      </c>
      <c r="I360" t="s">
        <v>1201</v>
      </c>
      <c r="L360" t="s">
        <v>1202</v>
      </c>
      <c r="X360" t="s">
        <v>546</v>
      </c>
      <c r="Y360">
        <v>2</v>
      </c>
      <c r="Z360" t="s">
        <v>1203</v>
      </c>
      <c r="AB360" t="s">
        <v>1100</v>
      </c>
      <c r="AC360">
        <v>2</v>
      </c>
      <c r="AD360" t="s">
        <v>1203</v>
      </c>
      <c r="AE360" t="s">
        <v>525</v>
      </c>
      <c r="AF360">
        <v>4</v>
      </c>
      <c r="AG360" t="s">
        <v>1203</v>
      </c>
    </row>
    <row r="361" spans="1:33" x14ac:dyDescent="0.3">
      <c r="A361" t="s">
        <v>561</v>
      </c>
      <c r="B361" t="s">
        <v>2384</v>
      </c>
      <c r="C361" t="s">
        <v>2385</v>
      </c>
      <c r="D361" t="s">
        <v>2386</v>
      </c>
      <c r="E361" t="s">
        <v>16</v>
      </c>
      <c r="F361" t="s">
        <v>1236</v>
      </c>
      <c r="G361" s="2">
        <v>0.54166666666666663</v>
      </c>
      <c r="H361" t="s">
        <v>1200</v>
      </c>
      <c r="I361" t="s">
        <v>1201</v>
      </c>
      <c r="L361" t="s">
        <v>1202</v>
      </c>
      <c r="X361" t="s">
        <v>546</v>
      </c>
      <c r="Y361">
        <v>1</v>
      </c>
      <c r="Z361" t="s">
        <v>1203</v>
      </c>
      <c r="AB361" t="s">
        <v>525</v>
      </c>
      <c r="AC361">
        <v>3</v>
      </c>
      <c r="AD361" t="s">
        <v>1203</v>
      </c>
    </row>
    <row r="362" spans="1:33" x14ac:dyDescent="0.3">
      <c r="A362" t="s">
        <v>561</v>
      </c>
      <c r="B362" t="s">
        <v>2387</v>
      </c>
      <c r="C362" t="s">
        <v>2388</v>
      </c>
      <c r="D362" t="s">
        <v>2389</v>
      </c>
      <c r="E362" t="s">
        <v>16</v>
      </c>
      <c r="F362" t="s">
        <v>1240</v>
      </c>
      <c r="G362" s="2">
        <v>0.53472222222222221</v>
      </c>
      <c r="H362" t="s">
        <v>1200</v>
      </c>
      <c r="I362" t="s">
        <v>1201</v>
      </c>
      <c r="K362" t="s">
        <v>1250</v>
      </c>
      <c r="X362" t="s">
        <v>525</v>
      </c>
      <c r="Y362">
        <v>3</v>
      </c>
      <c r="Z362" t="s">
        <v>2390</v>
      </c>
      <c r="AB362" t="s">
        <v>776</v>
      </c>
      <c r="AC362">
        <v>3</v>
      </c>
      <c r="AD362" t="s">
        <v>2390</v>
      </c>
    </row>
    <row r="363" spans="1:33" x14ac:dyDescent="0.3">
      <c r="A363" t="s">
        <v>561</v>
      </c>
      <c r="B363" t="s">
        <v>2391</v>
      </c>
      <c r="C363" t="s">
        <v>2392</v>
      </c>
      <c r="D363" t="s">
        <v>2393</v>
      </c>
      <c r="E363" t="s">
        <v>16</v>
      </c>
      <c r="F363" t="s">
        <v>1244</v>
      </c>
      <c r="G363" s="2">
        <v>0.52777777777777779</v>
      </c>
      <c r="H363" t="s">
        <v>1200</v>
      </c>
      <c r="I363" t="s">
        <v>1201</v>
      </c>
      <c r="K363" t="s">
        <v>1250</v>
      </c>
      <c r="X363" t="s">
        <v>776</v>
      </c>
      <c r="Y363">
        <v>2</v>
      </c>
      <c r="Z363" t="s">
        <v>1266</v>
      </c>
      <c r="AB363" t="s">
        <v>525</v>
      </c>
      <c r="AC363">
        <v>3</v>
      </c>
      <c r="AD363" t="s">
        <v>1266</v>
      </c>
    </row>
    <row r="364" spans="1:33" x14ac:dyDescent="0.3">
      <c r="A364" t="s">
        <v>561</v>
      </c>
      <c r="B364" t="s">
        <v>2394</v>
      </c>
      <c r="C364" t="s">
        <v>2395</v>
      </c>
      <c r="D364" t="s">
        <v>2396</v>
      </c>
      <c r="E364" t="s">
        <v>16</v>
      </c>
      <c r="F364" t="s">
        <v>1249</v>
      </c>
      <c r="G364" s="2">
        <v>0.52083333333333337</v>
      </c>
      <c r="H364" t="s">
        <v>1200</v>
      </c>
      <c r="I364" t="s">
        <v>1201</v>
      </c>
      <c r="L364" t="s">
        <v>1222</v>
      </c>
      <c r="X364" t="s">
        <v>776</v>
      </c>
      <c r="Y364">
        <v>2</v>
      </c>
      <c r="Z364" t="s">
        <v>1266</v>
      </c>
      <c r="AB364" t="s">
        <v>525</v>
      </c>
      <c r="AC364">
        <v>3</v>
      </c>
      <c r="AD364" t="s">
        <v>1266</v>
      </c>
    </row>
    <row r="365" spans="1:33" x14ac:dyDescent="0.3">
      <c r="A365" t="s">
        <v>561</v>
      </c>
      <c r="B365" t="s">
        <v>2397</v>
      </c>
      <c r="C365" t="s">
        <v>2398</v>
      </c>
      <c r="D365" t="s">
        <v>2399</v>
      </c>
      <c r="E365" t="s">
        <v>16</v>
      </c>
      <c r="F365" t="s">
        <v>1406</v>
      </c>
      <c r="G365" s="2">
        <v>0.51388888888888895</v>
      </c>
      <c r="H365" t="s">
        <v>1200</v>
      </c>
      <c r="I365" t="s">
        <v>1201</v>
      </c>
      <c r="K365" t="s">
        <v>1250</v>
      </c>
      <c r="X365" t="s">
        <v>776</v>
      </c>
      <c r="Y365">
        <v>2</v>
      </c>
      <c r="Z365" t="s">
        <v>1266</v>
      </c>
      <c r="AB365" t="s">
        <v>525</v>
      </c>
      <c r="AC365">
        <v>3</v>
      </c>
      <c r="AD365" t="s">
        <v>1228</v>
      </c>
    </row>
    <row r="366" spans="1:33" x14ac:dyDescent="0.3">
      <c r="A366" t="s">
        <v>561</v>
      </c>
      <c r="B366" t="s">
        <v>2400</v>
      </c>
      <c r="C366" t="s">
        <v>2401</v>
      </c>
      <c r="D366" t="s">
        <v>2402</v>
      </c>
      <c r="E366" t="s">
        <v>16</v>
      </c>
      <c r="F366" t="s">
        <v>1254</v>
      </c>
      <c r="G366" s="2">
        <v>0.50694444444444442</v>
      </c>
      <c r="H366" t="s">
        <v>1200</v>
      </c>
      <c r="I366" t="s">
        <v>1201</v>
      </c>
      <c r="K366" t="s">
        <v>1250</v>
      </c>
      <c r="X366" t="s">
        <v>776</v>
      </c>
      <c r="Y366">
        <v>2</v>
      </c>
      <c r="Z366" t="s">
        <v>2403</v>
      </c>
      <c r="AB366" t="s">
        <v>525</v>
      </c>
      <c r="AC366">
        <v>3</v>
      </c>
      <c r="AD366" t="s">
        <v>1266</v>
      </c>
      <c r="AE366" t="s">
        <v>525</v>
      </c>
      <c r="AF366">
        <v>2</v>
      </c>
      <c r="AG366" t="s">
        <v>1266</v>
      </c>
    </row>
    <row r="367" spans="1:33" x14ac:dyDescent="0.3">
      <c r="A367" t="s">
        <v>565</v>
      </c>
      <c r="B367" t="s">
        <v>2404</v>
      </c>
      <c r="C367" t="s">
        <v>2405</v>
      </c>
      <c r="D367" t="s">
        <v>2406</v>
      </c>
      <c r="E367" t="s">
        <v>16</v>
      </c>
      <c r="F367" t="s">
        <v>1346</v>
      </c>
      <c r="G367" s="2">
        <v>0.63888888888888895</v>
      </c>
      <c r="H367" t="s">
        <v>1200</v>
      </c>
      <c r="I367" t="s">
        <v>1201</v>
      </c>
      <c r="M367" t="s">
        <v>1501</v>
      </c>
    </row>
    <row r="368" spans="1:33" x14ac:dyDescent="0.3">
      <c r="A368" t="s">
        <v>565</v>
      </c>
      <c r="B368" t="s">
        <v>2407</v>
      </c>
      <c r="C368" t="s">
        <v>2408</v>
      </c>
      <c r="D368" t="s">
        <v>2409</v>
      </c>
      <c r="E368" t="s">
        <v>16</v>
      </c>
      <c r="F368" t="s">
        <v>1350</v>
      </c>
      <c r="G368" s="2">
        <v>0.63194444444444442</v>
      </c>
      <c r="H368" t="s">
        <v>1200</v>
      </c>
      <c r="I368" t="s">
        <v>1201</v>
      </c>
      <c r="M368" t="s">
        <v>1501</v>
      </c>
    </row>
    <row r="369" spans="1:33" x14ac:dyDescent="0.3">
      <c r="A369" t="s">
        <v>565</v>
      </c>
      <c r="B369" t="s">
        <v>2410</v>
      </c>
      <c r="C369" t="s">
        <v>2411</v>
      </c>
      <c r="D369" t="s">
        <v>2412</v>
      </c>
      <c r="E369" t="s">
        <v>16</v>
      </c>
      <c r="F369" t="s">
        <v>1354</v>
      </c>
      <c r="G369" s="2">
        <v>0.625</v>
      </c>
      <c r="H369" t="s">
        <v>1200</v>
      </c>
      <c r="I369" t="s">
        <v>1201</v>
      </c>
      <c r="K369" t="s">
        <v>1250</v>
      </c>
    </row>
    <row r="370" spans="1:33" x14ac:dyDescent="0.3">
      <c r="A370" t="s">
        <v>565</v>
      </c>
      <c r="B370" t="s">
        <v>2413</v>
      </c>
      <c r="C370" t="s">
        <v>2414</v>
      </c>
      <c r="D370" t="s">
        <v>2415</v>
      </c>
      <c r="E370" t="s">
        <v>16</v>
      </c>
      <c r="F370" t="s">
        <v>1558</v>
      </c>
      <c r="G370" s="2">
        <v>0.61805555555555558</v>
      </c>
      <c r="H370" t="s">
        <v>1200</v>
      </c>
      <c r="I370" t="s">
        <v>1201</v>
      </c>
      <c r="L370" t="s">
        <v>1202</v>
      </c>
    </row>
    <row r="371" spans="1:33" x14ac:dyDescent="0.3">
      <c r="A371" t="s">
        <v>565</v>
      </c>
      <c r="B371" t="s">
        <v>2416</v>
      </c>
      <c r="C371" t="s">
        <v>2417</v>
      </c>
      <c r="D371" t="s">
        <v>2418</v>
      </c>
      <c r="E371" t="s">
        <v>16</v>
      </c>
      <c r="F371" t="s">
        <v>1358</v>
      </c>
      <c r="G371" s="2">
        <v>0.61111111111111105</v>
      </c>
      <c r="H371" t="s">
        <v>1200</v>
      </c>
      <c r="I371" t="s">
        <v>1201</v>
      </c>
      <c r="L371" t="s">
        <v>1363</v>
      </c>
    </row>
    <row r="372" spans="1:33" x14ac:dyDescent="0.3">
      <c r="A372" t="s">
        <v>565</v>
      </c>
      <c r="B372" t="s">
        <v>2419</v>
      </c>
      <c r="C372" t="s">
        <v>2420</v>
      </c>
      <c r="D372" t="s">
        <v>2421</v>
      </c>
      <c r="E372" t="s">
        <v>16</v>
      </c>
      <c r="F372" t="s">
        <v>1362</v>
      </c>
      <c r="G372" s="2">
        <v>0.60416666666666663</v>
      </c>
      <c r="H372" t="s">
        <v>1200</v>
      </c>
      <c r="I372" t="s">
        <v>1201</v>
      </c>
      <c r="L372" t="s">
        <v>1202</v>
      </c>
    </row>
    <row r="373" spans="1:33" x14ac:dyDescent="0.3">
      <c r="A373" t="s">
        <v>565</v>
      </c>
      <c r="B373" t="s">
        <v>2422</v>
      </c>
      <c r="C373" t="s">
        <v>2423</v>
      </c>
      <c r="D373" t="s">
        <v>2424</v>
      </c>
      <c r="E373" t="s">
        <v>16</v>
      </c>
      <c r="F373" t="s">
        <v>1367</v>
      </c>
      <c r="G373" s="2">
        <v>0.59722222222222221</v>
      </c>
      <c r="H373" t="s">
        <v>1200</v>
      </c>
      <c r="I373" t="s">
        <v>1201</v>
      </c>
      <c r="L373" t="s">
        <v>1202</v>
      </c>
    </row>
    <row r="374" spans="1:33" x14ac:dyDescent="0.3">
      <c r="A374" t="s">
        <v>565</v>
      </c>
      <c r="B374" t="s">
        <v>2425</v>
      </c>
      <c r="C374" t="s">
        <v>2426</v>
      </c>
      <c r="D374" t="s">
        <v>2427</v>
      </c>
      <c r="E374" t="s">
        <v>16</v>
      </c>
      <c r="F374" t="s">
        <v>1371</v>
      </c>
      <c r="G374" s="2">
        <v>0.59027777777777779</v>
      </c>
      <c r="H374" t="s">
        <v>1200</v>
      </c>
      <c r="I374" t="s">
        <v>1201</v>
      </c>
      <c r="L374" t="s">
        <v>1202</v>
      </c>
    </row>
    <row r="375" spans="1:33" x14ac:dyDescent="0.3">
      <c r="A375" t="s">
        <v>565</v>
      </c>
      <c r="B375" t="s">
        <v>2428</v>
      </c>
      <c r="C375" t="s">
        <v>2429</v>
      </c>
      <c r="D375" t="s">
        <v>2430</v>
      </c>
      <c r="E375" t="s">
        <v>16</v>
      </c>
      <c r="F375" t="s">
        <v>1199</v>
      </c>
      <c r="G375" s="2">
        <v>0.58333333333333337</v>
      </c>
      <c r="H375" t="s">
        <v>1200</v>
      </c>
      <c r="I375" t="s">
        <v>1201</v>
      </c>
      <c r="M375" t="s">
        <v>1292</v>
      </c>
      <c r="X375" t="s">
        <v>546</v>
      </c>
      <c r="Y375">
        <v>2</v>
      </c>
      <c r="Z375" t="s">
        <v>1245</v>
      </c>
      <c r="AB375" t="s">
        <v>525</v>
      </c>
      <c r="AC375">
        <v>2</v>
      </c>
      <c r="AD375" t="s">
        <v>1245</v>
      </c>
      <c r="AE375" t="s">
        <v>1100</v>
      </c>
      <c r="AF375">
        <v>3</v>
      </c>
      <c r="AG375" t="s">
        <v>1266</v>
      </c>
    </row>
    <row r="376" spans="1:33" x14ac:dyDescent="0.3">
      <c r="A376" t="s">
        <v>565</v>
      </c>
      <c r="B376" t="s">
        <v>2431</v>
      </c>
      <c r="C376" t="s">
        <v>2432</v>
      </c>
      <c r="D376" t="s">
        <v>2433</v>
      </c>
      <c r="E376" t="s">
        <v>16</v>
      </c>
      <c r="F376" t="s">
        <v>1207</v>
      </c>
      <c r="G376" s="2">
        <v>0.57638888888888895</v>
      </c>
      <c r="H376" t="s">
        <v>1200</v>
      </c>
      <c r="I376" t="s">
        <v>1201</v>
      </c>
      <c r="M376" t="s">
        <v>1292</v>
      </c>
      <c r="X376" t="s">
        <v>498</v>
      </c>
      <c r="Y376">
        <v>1</v>
      </c>
      <c r="Z376" t="s">
        <v>1245</v>
      </c>
      <c r="AB376" t="s">
        <v>546</v>
      </c>
      <c r="AC376">
        <v>2</v>
      </c>
      <c r="AD376" t="s">
        <v>1245</v>
      </c>
      <c r="AE376" t="s">
        <v>1100</v>
      </c>
      <c r="AF376">
        <v>3</v>
      </c>
      <c r="AG376" t="s">
        <v>1245</v>
      </c>
    </row>
    <row r="377" spans="1:33" x14ac:dyDescent="0.3">
      <c r="A377" t="s">
        <v>565</v>
      </c>
      <c r="B377" t="s">
        <v>2434</v>
      </c>
      <c r="C377" t="s">
        <v>2435</v>
      </c>
      <c r="D377" t="s">
        <v>2436</v>
      </c>
      <c r="E377" t="s">
        <v>16</v>
      </c>
      <c r="F377" t="s">
        <v>1211</v>
      </c>
      <c r="G377" s="2">
        <v>0.56944444444444442</v>
      </c>
      <c r="H377" t="s">
        <v>1200</v>
      </c>
      <c r="I377" t="s">
        <v>1201</v>
      </c>
      <c r="M377" t="s">
        <v>1292</v>
      </c>
      <c r="X377" t="s">
        <v>498</v>
      </c>
      <c r="Y377">
        <v>2</v>
      </c>
      <c r="Z377" t="s">
        <v>1245</v>
      </c>
      <c r="AB377" t="s">
        <v>546</v>
      </c>
      <c r="AC377">
        <v>2</v>
      </c>
      <c r="AD377" t="s">
        <v>1245</v>
      </c>
      <c r="AE377" t="s">
        <v>525</v>
      </c>
      <c r="AF377">
        <v>2</v>
      </c>
      <c r="AG377" t="s">
        <v>1245</v>
      </c>
    </row>
    <row r="378" spans="1:33" x14ac:dyDescent="0.3">
      <c r="A378" t="s">
        <v>565</v>
      </c>
      <c r="B378" t="s">
        <v>2437</v>
      </c>
      <c r="C378" t="s">
        <v>2438</v>
      </c>
      <c r="D378" t="s">
        <v>2439</v>
      </c>
      <c r="E378" t="s">
        <v>16</v>
      </c>
      <c r="F378" t="s">
        <v>1215</v>
      </c>
      <c r="G378" s="2">
        <v>0.5625</v>
      </c>
      <c r="H378" t="s">
        <v>1200</v>
      </c>
      <c r="I378" t="s">
        <v>1201</v>
      </c>
      <c r="L378" t="s">
        <v>1222</v>
      </c>
      <c r="Q378" t="s">
        <v>2440</v>
      </c>
      <c r="R378" t="s">
        <v>1223</v>
      </c>
      <c r="S378" t="s">
        <v>364</v>
      </c>
      <c r="T378" t="s">
        <v>1703</v>
      </c>
      <c r="U378" t="s">
        <v>1677</v>
      </c>
      <c r="X378" t="s">
        <v>546</v>
      </c>
      <c r="Y378">
        <v>1</v>
      </c>
      <c r="Z378" t="s">
        <v>1717</v>
      </c>
    </row>
    <row r="379" spans="1:33" x14ac:dyDescent="0.3">
      <c r="A379" t="s">
        <v>569</v>
      </c>
      <c r="B379" t="s">
        <v>2441</v>
      </c>
      <c r="C379" t="s">
        <v>2442</v>
      </c>
      <c r="D379" t="s">
        <v>2443</v>
      </c>
      <c r="E379" t="s">
        <v>16</v>
      </c>
      <c r="F379" t="s">
        <v>1287</v>
      </c>
      <c r="G379" s="2">
        <v>0.45833333333333331</v>
      </c>
      <c r="H379" t="s">
        <v>1200</v>
      </c>
      <c r="I379" t="s">
        <v>1201</v>
      </c>
      <c r="K379" t="s">
        <v>1250</v>
      </c>
      <c r="X379" t="s">
        <v>498</v>
      </c>
      <c r="Y379">
        <v>2</v>
      </c>
      <c r="Z379" t="s">
        <v>1266</v>
      </c>
      <c r="AB379" t="s">
        <v>776</v>
      </c>
      <c r="AC379">
        <v>3</v>
      </c>
      <c r="AD379" t="s">
        <v>1266</v>
      </c>
      <c r="AE379" t="s">
        <v>546</v>
      </c>
      <c r="AF379">
        <v>3</v>
      </c>
      <c r="AG379" t="s">
        <v>1228</v>
      </c>
    </row>
    <row r="380" spans="1:33" x14ac:dyDescent="0.3">
      <c r="A380" t="s">
        <v>569</v>
      </c>
      <c r="B380" t="s">
        <v>2444</v>
      </c>
      <c r="C380" t="s">
        <v>2445</v>
      </c>
      <c r="D380" t="s">
        <v>2446</v>
      </c>
      <c r="E380" t="s">
        <v>16</v>
      </c>
      <c r="F380" t="s">
        <v>1291</v>
      </c>
      <c r="G380" s="2">
        <v>0.4513888888888889</v>
      </c>
      <c r="H380" t="s">
        <v>1200</v>
      </c>
      <c r="I380" t="s">
        <v>1201</v>
      </c>
      <c r="M380" t="s">
        <v>1292</v>
      </c>
      <c r="X380" t="s">
        <v>498</v>
      </c>
      <c r="Y380">
        <v>2</v>
      </c>
      <c r="Z380" t="s">
        <v>1245</v>
      </c>
      <c r="AB380" t="s">
        <v>546</v>
      </c>
      <c r="AC380">
        <v>1</v>
      </c>
      <c r="AD380" t="s">
        <v>1717</v>
      </c>
    </row>
    <row r="381" spans="1:33" x14ac:dyDescent="0.3">
      <c r="A381" t="s">
        <v>569</v>
      </c>
      <c r="B381" t="s">
        <v>2447</v>
      </c>
      <c r="C381" t="s">
        <v>2448</v>
      </c>
      <c r="D381" t="s">
        <v>2449</v>
      </c>
      <c r="E381" t="s">
        <v>16</v>
      </c>
      <c r="F381" t="s">
        <v>1296</v>
      </c>
      <c r="G381" s="2">
        <v>0.44444444444444442</v>
      </c>
      <c r="H381" t="s">
        <v>1200</v>
      </c>
      <c r="I381" t="s">
        <v>1201</v>
      </c>
      <c r="L381" t="s">
        <v>1222</v>
      </c>
      <c r="X381" t="s">
        <v>498</v>
      </c>
      <c r="Y381">
        <v>1</v>
      </c>
      <c r="Z381" t="s">
        <v>1228</v>
      </c>
      <c r="AB381" t="s">
        <v>525</v>
      </c>
      <c r="AC381">
        <v>1</v>
      </c>
      <c r="AD381" t="s">
        <v>1228</v>
      </c>
    </row>
    <row r="382" spans="1:33" x14ac:dyDescent="0.3">
      <c r="A382" t="s">
        <v>569</v>
      </c>
      <c r="B382" t="s">
        <v>2450</v>
      </c>
      <c r="C382" t="s">
        <v>2451</v>
      </c>
      <c r="D382" t="s">
        <v>2452</v>
      </c>
      <c r="E382" t="s">
        <v>16</v>
      </c>
      <c r="F382" t="s">
        <v>1300</v>
      </c>
      <c r="G382" s="2">
        <v>0.4375</v>
      </c>
      <c r="H382" t="s">
        <v>1200</v>
      </c>
      <c r="I382" t="s">
        <v>1201</v>
      </c>
      <c r="K382" t="s">
        <v>1250</v>
      </c>
    </row>
    <row r="383" spans="1:33" x14ac:dyDescent="0.3">
      <c r="A383" t="s">
        <v>569</v>
      </c>
      <c r="B383" t="s">
        <v>2453</v>
      </c>
      <c r="C383" t="s">
        <v>2454</v>
      </c>
      <c r="D383" t="s">
        <v>2455</v>
      </c>
      <c r="E383" t="s">
        <v>16</v>
      </c>
      <c r="F383" t="s">
        <v>1443</v>
      </c>
      <c r="G383" s="2">
        <v>0.43055555555555558</v>
      </c>
      <c r="H383" t="s">
        <v>1200</v>
      </c>
      <c r="I383" t="s">
        <v>1201</v>
      </c>
      <c r="K383" t="s">
        <v>1250</v>
      </c>
    </row>
    <row r="384" spans="1:33" x14ac:dyDescent="0.3">
      <c r="A384" t="s">
        <v>569</v>
      </c>
      <c r="B384" t="s">
        <v>2456</v>
      </c>
      <c r="C384" t="s">
        <v>2457</v>
      </c>
      <c r="D384" t="s">
        <v>2458</v>
      </c>
      <c r="E384" t="s">
        <v>16</v>
      </c>
      <c r="F384" t="s">
        <v>1447</v>
      </c>
      <c r="G384" s="2">
        <v>0.4236111111111111</v>
      </c>
      <c r="H384" t="s">
        <v>1200</v>
      </c>
      <c r="I384" t="s">
        <v>1201</v>
      </c>
      <c r="K384" t="s">
        <v>1250</v>
      </c>
      <c r="X384" t="s">
        <v>525</v>
      </c>
      <c r="Y384">
        <v>3</v>
      </c>
      <c r="Z384" t="s">
        <v>1228</v>
      </c>
      <c r="AB384" t="s">
        <v>498</v>
      </c>
      <c r="AC384">
        <v>4</v>
      </c>
      <c r="AD384" t="s">
        <v>1266</v>
      </c>
    </row>
    <row r="385" spans="1:33" x14ac:dyDescent="0.3">
      <c r="A385" t="s">
        <v>569</v>
      </c>
      <c r="B385" t="s">
        <v>2459</v>
      </c>
      <c r="C385" t="s">
        <v>2460</v>
      </c>
      <c r="D385" t="s">
        <v>2461</v>
      </c>
      <c r="E385" t="s">
        <v>16</v>
      </c>
      <c r="F385" t="s">
        <v>1451</v>
      </c>
      <c r="G385" s="2">
        <v>0.41666666666666669</v>
      </c>
      <c r="H385" t="s">
        <v>1200</v>
      </c>
      <c r="I385" t="s">
        <v>1201</v>
      </c>
      <c r="L385" t="s">
        <v>1363</v>
      </c>
      <c r="X385" t="s">
        <v>525</v>
      </c>
      <c r="Y385">
        <v>2</v>
      </c>
      <c r="Z385" t="s">
        <v>1203</v>
      </c>
      <c r="AB385" t="s">
        <v>546</v>
      </c>
      <c r="AC385">
        <v>2</v>
      </c>
      <c r="AD385" t="s">
        <v>1203</v>
      </c>
      <c r="AE385" t="s">
        <v>1100</v>
      </c>
      <c r="AF385">
        <v>2</v>
      </c>
      <c r="AG385" t="s">
        <v>1203</v>
      </c>
    </row>
    <row r="386" spans="1:33" x14ac:dyDescent="0.3">
      <c r="A386" t="s">
        <v>569</v>
      </c>
      <c r="B386" t="s">
        <v>2462</v>
      </c>
      <c r="C386" t="s">
        <v>2463</v>
      </c>
      <c r="D386" t="s">
        <v>2464</v>
      </c>
      <c r="E386" t="s">
        <v>16</v>
      </c>
      <c r="F386" t="s">
        <v>1455</v>
      </c>
      <c r="G386" s="2">
        <v>0.40972222222222227</v>
      </c>
      <c r="H386" t="s">
        <v>1200</v>
      </c>
      <c r="I386" t="s">
        <v>1201</v>
      </c>
      <c r="L386" t="s">
        <v>1363</v>
      </c>
      <c r="X386" t="s">
        <v>525</v>
      </c>
      <c r="Y386">
        <v>2</v>
      </c>
      <c r="Z386" t="s">
        <v>1396</v>
      </c>
      <c r="AB386" t="s">
        <v>546</v>
      </c>
      <c r="AC386">
        <v>2</v>
      </c>
      <c r="AD386" t="s">
        <v>1396</v>
      </c>
      <c r="AE386" t="s">
        <v>1100</v>
      </c>
      <c r="AF386">
        <v>2</v>
      </c>
      <c r="AG386" t="s">
        <v>1396</v>
      </c>
    </row>
    <row r="387" spans="1:33" x14ac:dyDescent="0.3">
      <c r="A387" t="s">
        <v>569</v>
      </c>
      <c r="B387" t="s">
        <v>2465</v>
      </c>
      <c r="C387" t="s">
        <v>2466</v>
      </c>
      <c r="D387" t="s">
        <v>2467</v>
      </c>
      <c r="E387" t="s">
        <v>16</v>
      </c>
      <c r="F387" t="s">
        <v>1459</v>
      </c>
      <c r="G387" s="2">
        <v>0.40277777777777773</v>
      </c>
      <c r="H387" t="s">
        <v>1200</v>
      </c>
      <c r="I387" t="s">
        <v>1201</v>
      </c>
      <c r="L387" t="s">
        <v>1363</v>
      </c>
      <c r="X387" t="s">
        <v>525</v>
      </c>
      <c r="Y387">
        <v>2</v>
      </c>
      <c r="Z387" t="s">
        <v>1396</v>
      </c>
      <c r="AB387" t="s">
        <v>546</v>
      </c>
      <c r="AC387">
        <v>2</v>
      </c>
      <c r="AD387" t="s">
        <v>1396</v>
      </c>
      <c r="AE387" t="s">
        <v>1100</v>
      </c>
      <c r="AF387">
        <v>2</v>
      </c>
      <c r="AG387" t="s">
        <v>1396</v>
      </c>
    </row>
    <row r="388" spans="1:33" x14ac:dyDescent="0.3">
      <c r="A388" t="s">
        <v>569</v>
      </c>
      <c r="B388" t="s">
        <v>2468</v>
      </c>
      <c r="C388" t="s">
        <v>2469</v>
      </c>
      <c r="D388" t="s">
        <v>2470</v>
      </c>
      <c r="E388" t="s">
        <v>16</v>
      </c>
      <c r="F388" t="s">
        <v>1463</v>
      </c>
      <c r="G388" s="2">
        <v>0.39583333333333331</v>
      </c>
      <c r="H388" t="s">
        <v>1200</v>
      </c>
      <c r="I388" t="s">
        <v>1201</v>
      </c>
      <c r="L388" t="s">
        <v>1363</v>
      </c>
      <c r="X388" t="s">
        <v>525</v>
      </c>
      <c r="Y388">
        <v>2</v>
      </c>
      <c r="Z388" t="s">
        <v>1396</v>
      </c>
      <c r="AB388" t="s">
        <v>546</v>
      </c>
      <c r="AC388">
        <v>2</v>
      </c>
      <c r="AD388" t="s">
        <v>1396</v>
      </c>
      <c r="AE388" t="s">
        <v>1100</v>
      </c>
      <c r="AF388">
        <v>2</v>
      </c>
      <c r="AG388" t="s">
        <v>1396</v>
      </c>
    </row>
    <row r="389" spans="1:33" x14ac:dyDescent="0.3">
      <c r="A389" t="s">
        <v>569</v>
      </c>
      <c r="B389" t="s">
        <v>2471</v>
      </c>
      <c r="C389" t="s">
        <v>2472</v>
      </c>
      <c r="D389" t="s">
        <v>2473</v>
      </c>
      <c r="E389" t="s">
        <v>16</v>
      </c>
      <c r="F389" t="s">
        <v>1469</v>
      </c>
      <c r="G389" s="2">
        <v>0.3888888888888889</v>
      </c>
      <c r="H389" t="s">
        <v>1200</v>
      </c>
      <c r="I389" t="s">
        <v>1201</v>
      </c>
      <c r="L389" t="s">
        <v>1202</v>
      </c>
      <c r="X389" t="s">
        <v>525</v>
      </c>
      <c r="Y389">
        <v>2</v>
      </c>
      <c r="Z389" t="s">
        <v>1203</v>
      </c>
      <c r="AB389" t="s">
        <v>546</v>
      </c>
      <c r="AC389">
        <v>2</v>
      </c>
      <c r="AD389" t="s">
        <v>1203</v>
      </c>
      <c r="AE389" t="s">
        <v>1100</v>
      </c>
      <c r="AF389">
        <v>2</v>
      </c>
      <c r="AG389" t="s">
        <v>1203</v>
      </c>
    </row>
    <row r="390" spans="1:33" x14ac:dyDescent="0.3">
      <c r="A390" t="s">
        <v>569</v>
      </c>
      <c r="B390" t="s">
        <v>2474</v>
      </c>
      <c r="C390" t="s">
        <v>2475</v>
      </c>
      <c r="D390" t="s">
        <v>2476</v>
      </c>
      <c r="E390" t="s">
        <v>16</v>
      </c>
      <c r="F390" t="s">
        <v>1473</v>
      </c>
      <c r="G390" s="2">
        <v>0.38194444444444442</v>
      </c>
      <c r="H390" t="s">
        <v>1200</v>
      </c>
      <c r="I390" t="s">
        <v>1201</v>
      </c>
      <c r="L390" t="s">
        <v>1202</v>
      </c>
      <c r="X390" t="s">
        <v>525</v>
      </c>
      <c r="Y390">
        <v>2</v>
      </c>
      <c r="Z390" t="s">
        <v>1203</v>
      </c>
      <c r="AB390" t="s">
        <v>546</v>
      </c>
      <c r="AC390">
        <v>2</v>
      </c>
      <c r="AD390" t="s">
        <v>1203</v>
      </c>
      <c r="AE390" t="s">
        <v>1100</v>
      </c>
      <c r="AF390">
        <v>2</v>
      </c>
      <c r="AG390" t="s">
        <v>1203</v>
      </c>
    </row>
    <row r="391" spans="1:33" x14ac:dyDescent="0.3">
      <c r="A391" t="s">
        <v>569</v>
      </c>
      <c r="B391" t="s">
        <v>2477</v>
      </c>
      <c r="C391" t="s">
        <v>2478</v>
      </c>
      <c r="D391" t="s">
        <v>2479</v>
      </c>
      <c r="E391" t="s">
        <v>16</v>
      </c>
      <c r="F391" t="s">
        <v>1477</v>
      </c>
      <c r="G391" s="2">
        <v>0.375</v>
      </c>
      <c r="H391" t="s">
        <v>1200</v>
      </c>
      <c r="I391" t="s">
        <v>1201</v>
      </c>
      <c r="L391" t="s">
        <v>1202</v>
      </c>
      <c r="X391" t="s">
        <v>525</v>
      </c>
      <c r="Y391">
        <v>2</v>
      </c>
      <c r="Z391" t="s">
        <v>2047</v>
      </c>
      <c r="AB391" t="s">
        <v>546</v>
      </c>
      <c r="AC391">
        <v>2</v>
      </c>
      <c r="AD391" t="s">
        <v>2047</v>
      </c>
      <c r="AE391" t="s">
        <v>1100</v>
      </c>
      <c r="AF391">
        <v>3</v>
      </c>
      <c r="AG391" t="s">
        <v>1203</v>
      </c>
    </row>
    <row r="392" spans="1:33" x14ac:dyDescent="0.3">
      <c r="A392" t="s">
        <v>569</v>
      </c>
      <c r="B392" t="s">
        <v>2480</v>
      </c>
      <c r="C392" t="s">
        <v>2481</v>
      </c>
      <c r="D392" t="s">
        <v>2482</v>
      </c>
      <c r="E392" t="s">
        <v>16</v>
      </c>
      <c r="F392" t="s">
        <v>1482</v>
      </c>
      <c r="G392" s="2">
        <v>0.36805555555555558</v>
      </c>
      <c r="H392" t="s">
        <v>1200</v>
      </c>
      <c r="I392" t="s">
        <v>1201</v>
      </c>
      <c r="J392" t="s">
        <v>1730</v>
      </c>
      <c r="M392" t="s">
        <v>1640</v>
      </c>
      <c r="X392" t="s">
        <v>525</v>
      </c>
      <c r="Y392">
        <v>2</v>
      </c>
      <c r="Z392" t="s">
        <v>2047</v>
      </c>
      <c r="AB392" t="s">
        <v>546</v>
      </c>
      <c r="AC392">
        <v>3</v>
      </c>
      <c r="AD392" t="s">
        <v>2047</v>
      </c>
      <c r="AE392" t="s">
        <v>1100</v>
      </c>
      <c r="AF392">
        <v>4</v>
      </c>
      <c r="AG392" t="s">
        <v>1266</v>
      </c>
    </row>
    <row r="393" spans="1:33" x14ac:dyDescent="0.3">
      <c r="A393" t="s">
        <v>569</v>
      </c>
      <c r="B393" t="s">
        <v>2483</v>
      </c>
      <c r="C393" t="s">
        <v>2484</v>
      </c>
      <c r="D393" t="s">
        <v>2485</v>
      </c>
      <c r="E393" t="s">
        <v>16</v>
      </c>
      <c r="F393" t="s">
        <v>1486</v>
      </c>
      <c r="G393" s="2">
        <v>0.3611111111111111</v>
      </c>
      <c r="H393" t="s">
        <v>1200</v>
      </c>
      <c r="I393" t="s">
        <v>1201</v>
      </c>
      <c r="K393" t="s">
        <v>1250</v>
      </c>
      <c r="X393" t="s">
        <v>525</v>
      </c>
      <c r="Y393">
        <v>2</v>
      </c>
      <c r="Z393" t="s">
        <v>1266</v>
      </c>
      <c r="AB393" t="s">
        <v>546</v>
      </c>
      <c r="AC393">
        <v>4</v>
      </c>
      <c r="AD393" t="s">
        <v>1266</v>
      </c>
      <c r="AE393" t="s">
        <v>1100</v>
      </c>
      <c r="AF393">
        <v>4</v>
      </c>
      <c r="AG393" t="s">
        <v>1266</v>
      </c>
    </row>
    <row r="394" spans="1:33" x14ac:dyDescent="0.3">
      <c r="A394" t="s">
        <v>573</v>
      </c>
      <c r="B394" t="s">
        <v>2486</v>
      </c>
      <c r="C394" t="s">
        <v>2487</v>
      </c>
      <c r="D394" t="s">
        <v>2488</v>
      </c>
      <c r="E394" t="s">
        <v>16</v>
      </c>
      <c r="F394" t="s">
        <v>1490</v>
      </c>
      <c r="G394" s="2">
        <v>0.35416666666666669</v>
      </c>
      <c r="H394" t="s">
        <v>1200</v>
      </c>
      <c r="I394" t="s">
        <v>1201</v>
      </c>
      <c r="L394" t="s">
        <v>1222</v>
      </c>
    </row>
    <row r="395" spans="1:33" x14ac:dyDescent="0.3">
      <c r="A395" t="s">
        <v>573</v>
      </c>
      <c r="B395" t="s">
        <v>2489</v>
      </c>
      <c r="C395" t="s">
        <v>2490</v>
      </c>
      <c r="D395" t="s">
        <v>2491</v>
      </c>
      <c r="E395" t="s">
        <v>16</v>
      </c>
      <c r="F395" t="s">
        <v>1495</v>
      </c>
      <c r="G395" s="2">
        <v>0.34722222222222227</v>
      </c>
      <c r="H395" t="s">
        <v>1200</v>
      </c>
      <c r="I395" t="s">
        <v>1201</v>
      </c>
      <c r="K395" t="s">
        <v>1250</v>
      </c>
      <c r="L395" t="s">
        <v>1222</v>
      </c>
      <c r="R395" t="s">
        <v>1223</v>
      </c>
      <c r="S395" t="s">
        <v>1224</v>
      </c>
      <c r="T395" t="s">
        <v>1676</v>
      </c>
      <c r="V395" t="s">
        <v>1226</v>
      </c>
      <c r="W395" t="s">
        <v>1677</v>
      </c>
      <c r="X395" t="s">
        <v>525</v>
      </c>
      <c r="Y395">
        <v>2</v>
      </c>
      <c r="Z395" t="s">
        <v>1228</v>
      </c>
      <c r="AB395" t="s">
        <v>498</v>
      </c>
      <c r="AC395">
        <v>4</v>
      </c>
      <c r="AD395" t="s">
        <v>1717</v>
      </c>
    </row>
    <row r="396" spans="1:33" x14ac:dyDescent="0.3">
      <c r="A396" t="s">
        <v>573</v>
      </c>
      <c r="B396" t="s">
        <v>2492</v>
      </c>
      <c r="C396" t="s">
        <v>2493</v>
      </c>
      <c r="D396" t="s">
        <v>2494</v>
      </c>
      <c r="E396" t="s">
        <v>16</v>
      </c>
      <c r="F396" t="s">
        <v>1500</v>
      </c>
      <c r="G396" s="2">
        <v>0.34027777777777773</v>
      </c>
      <c r="H396" t="s">
        <v>1200</v>
      </c>
      <c r="I396" t="s">
        <v>1201</v>
      </c>
      <c r="K396" t="s">
        <v>1250</v>
      </c>
      <c r="X396" t="s">
        <v>776</v>
      </c>
      <c r="Y396">
        <v>3</v>
      </c>
      <c r="Z396" t="s">
        <v>1266</v>
      </c>
      <c r="AB396" t="s">
        <v>498</v>
      </c>
      <c r="AC396">
        <v>4</v>
      </c>
      <c r="AD396" t="s">
        <v>1266</v>
      </c>
      <c r="AE396" t="s">
        <v>498</v>
      </c>
      <c r="AF396">
        <v>5</v>
      </c>
      <c r="AG396" t="s">
        <v>1595</v>
      </c>
    </row>
    <row r="397" spans="1:33" x14ac:dyDescent="0.3">
      <c r="A397" t="s">
        <v>577</v>
      </c>
      <c r="B397" t="s">
        <v>2495</v>
      </c>
      <c r="C397" t="s">
        <v>2496</v>
      </c>
      <c r="D397" t="s">
        <v>2497</v>
      </c>
      <c r="E397" t="s">
        <v>16</v>
      </c>
      <c r="F397" t="s">
        <v>1304</v>
      </c>
      <c r="G397" s="2">
        <v>0.70833333333333337</v>
      </c>
      <c r="H397" t="s">
        <v>1200</v>
      </c>
      <c r="I397" t="s">
        <v>1201</v>
      </c>
      <c r="L397" t="s">
        <v>1363</v>
      </c>
      <c r="X397" t="s">
        <v>776</v>
      </c>
      <c r="Y397">
        <v>2</v>
      </c>
      <c r="Z397" t="s">
        <v>1396</v>
      </c>
      <c r="AB397" t="s">
        <v>498</v>
      </c>
      <c r="AC397">
        <v>3</v>
      </c>
      <c r="AD397" t="s">
        <v>1396</v>
      </c>
    </row>
    <row r="398" spans="1:33" x14ac:dyDescent="0.3">
      <c r="A398" t="s">
        <v>577</v>
      </c>
      <c r="B398" t="s">
        <v>2498</v>
      </c>
      <c r="C398" t="s">
        <v>2499</v>
      </c>
      <c r="D398" t="s">
        <v>2500</v>
      </c>
      <c r="E398" t="s">
        <v>16</v>
      </c>
      <c r="F398" t="s">
        <v>1308</v>
      </c>
      <c r="G398" s="2">
        <v>0.70138888888888884</v>
      </c>
      <c r="H398" t="s">
        <v>1200</v>
      </c>
      <c r="I398" t="s">
        <v>1201</v>
      </c>
      <c r="L398" t="s">
        <v>1202</v>
      </c>
      <c r="X398" t="s">
        <v>498</v>
      </c>
      <c r="Y398">
        <v>2</v>
      </c>
      <c r="Z398" t="s">
        <v>1203</v>
      </c>
      <c r="AB398" t="s">
        <v>776</v>
      </c>
      <c r="AC398">
        <v>2</v>
      </c>
      <c r="AD398" t="s">
        <v>1203</v>
      </c>
    </row>
    <row r="399" spans="1:33" x14ac:dyDescent="0.3">
      <c r="A399" t="s">
        <v>577</v>
      </c>
      <c r="B399" t="s">
        <v>2501</v>
      </c>
      <c r="C399" t="s">
        <v>2502</v>
      </c>
      <c r="D399" t="s">
        <v>2503</v>
      </c>
      <c r="E399" t="s">
        <v>16</v>
      </c>
      <c r="F399" t="s">
        <v>1313</v>
      </c>
      <c r="G399" s="2">
        <v>0.69444444444444453</v>
      </c>
      <c r="H399" t="s">
        <v>1200</v>
      </c>
      <c r="I399" t="s">
        <v>1201</v>
      </c>
      <c r="L399" t="s">
        <v>1202</v>
      </c>
      <c r="X399" t="s">
        <v>776</v>
      </c>
      <c r="Y399">
        <v>1</v>
      </c>
      <c r="Z399" t="s">
        <v>1203</v>
      </c>
      <c r="AB399" t="s">
        <v>498</v>
      </c>
      <c r="AC399">
        <v>2</v>
      </c>
      <c r="AD399" t="s">
        <v>1203</v>
      </c>
      <c r="AE399" t="s">
        <v>525</v>
      </c>
      <c r="AF399">
        <v>3</v>
      </c>
      <c r="AG399" t="s">
        <v>1203</v>
      </c>
    </row>
    <row r="400" spans="1:33" x14ac:dyDescent="0.3">
      <c r="A400" t="s">
        <v>577</v>
      </c>
      <c r="B400" t="s">
        <v>2504</v>
      </c>
      <c r="C400" t="s">
        <v>2505</v>
      </c>
      <c r="D400" t="s">
        <v>2506</v>
      </c>
      <c r="E400" t="s">
        <v>16</v>
      </c>
      <c r="F400" t="s">
        <v>1317</v>
      </c>
      <c r="G400" s="2">
        <v>0.6875</v>
      </c>
      <c r="H400" t="s">
        <v>1200</v>
      </c>
      <c r="I400" t="s">
        <v>1201</v>
      </c>
      <c r="K400" t="s">
        <v>1250</v>
      </c>
      <c r="X400" t="s">
        <v>498</v>
      </c>
      <c r="Y400">
        <v>2</v>
      </c>
      <c r="Z400" t="s">
        <v>1203</v>
      </c>
      <c r="AB400" t="s">
        <v>498</v>
      </c>
      <c r="AC400">
        <v>2</v>
      </c>
      <c r="AD400" t="s">
        <v>1203</v>
      </c>
      <c r="AE400" t="s">
        <v>525</v>
      </c>
      <c r="AF400">
        <v>3</v>
      </c>
      <c r="AG400" t="s">
        <v>1203</v>
      </c>
    </row>
    <row r="401" spans="1:33" x14ac:dyDescent="0.3">
      <c r="A401" t="s">
        <v>577</v>
      </c>
      <c r="B401" t="s">
        <v>2507</v>
      </c>
      <c r="C401" t="s">
        <v>2508</v>
      </c>
      <c r="D401" t="s">
        <v>2509</v>
      </c>
      <c r="E401" t="s">
        <v>16</v>
      </c>
      <c r="F401" t="s">
        <v>1321</v>
      </c>
      <c r="G401" s="2">
        <v>0.68055555555555547</v>
      </c>
      <c r="H401" t="s">
        <v>1200</v>
      </c>
      <c r="I401" t="s">
        <v>1201</v>
      </c>
      <c r="M401" t="s">
        <v>1292</v>
      </c>
      <c r="X401" t="s">
        <v>776</v>
      </c>
      <c r="Y401">
        <v>1</v>
      </c>
      <c r="Z401" t="s">
        <v>1245</v>
      </c>
      <c r="AB401" t="s">
        <v>525</v>
      </c>
      <c r="AC401">
        <v>1</v>
      </c>
      <c r="AD401" t="s">
        <v>1245</v>
      </c>
      <c r="AE401" t="s">
        <v>498</v>
      </c>
      <c r="AF401">
        <v>1</v>
      </c>
      <c r="AG401" t="s">
        <v>1203</v>
      </c>
    </row>
    <row r="402" spans="1:33" x14ac:dyDescent="0.3">
      <c r="A402" t="s">
        <v>577</v>
      </c>
      <c r="B402" t="s">
        <v>2510</v>
      </c>
      <c r="C402" t="s">
        <v>2511</v>
      </c>
      <c r="D402" t="s">
        <v>2512</v>
      </c>
      <c r="E402" t="s">
        <v>16</v>
      </c>
      <c r="F402" t="s">
        <v>1325</v>
      </c>
      <c r="G402" s="2">
        <v>0.67361111111111116</v>
      </c>
      <c r="H402" t="s">
        <v>1200</v>
      </c>
      <c r="I402" t="s">
        <v>1201</v>
      </c>
      <c r="M402" t="s">
        <v>1292</v>
      </c>
      <c r="X402" t="s">
        <v>776</v>
      </c>
      <c r="Y402">
        <v>2</v>
      </c>
      <c r="Z402" t="s">
        <v>1245</v>
      </c>
      <c r="AB402" t="s">
        <v>776</v>
      </c>
      <c r="AC402">
        <v>3</v>
      </c>
      <c r="AD402" t="s">
        <v>1203</v>
      </c>
      <c r="AE402" t="s">
        <v>498</v>
      </c>
      <c r="AF402">
        <v>4</v>
      </c>
      <c r="AG402" t="s">
        <v>1245</v>
      </c>
    </row>
    <row r="403" spans="1:33" x14ac:dyDescent="0.3">
      <c r="A403" t="s">
        <v>577</v>
      </c>
      <c r="B403" t="s">
        <v>2513</v>
      </c>
      <c r="C403" t="s">
        <v>2514</v>
      </c>
      <c r="D403" t="s">
        <v>2515</v>
      </c>
      <c r="E403" t="s">
        <v>16</v>
      </c>
      <c r="F403" t="s">
        <v>1329</v>
      </c>
      <c r="G403" s="2">
        <v>0.66666666666666663</v>
      </c>
      <c r="H403" t="s">
        <v>1200</v>
      </c>
      <c r="I403" t="s">
        <v>1201</v>
      </c>
      <c r="M403" t="s">
        <v>1292</v>
      </c>
      <c r="X403" t="s">
        <v>498</v>
      </c>
      <c r="Y403">
        <v>1</v>
      </c>
      <c r="Z403" t="s">
        <v>1245</v>
      </c>
      <c r="AB403" t="s">
        <v>776</v>
      </c>
      <c r="AC403">
        <v>2</v>
      </c>
      <c r="AD403" t="s">
        <v>2516</v>
      </c>
      <c r="AE403" t="s">
        <v>776</v>
      </c>
      <c r="AF403">
        <v>4</v>
      </c>
      <c r="AG403" t="s">
        <v>2517</v>
      </c>
    </row>
    <row r="404" spans="1:33" x14ac:dyDescent="0.3">
      <c r="A404" t="s">
        <v>577</v>
      </c>
      <c r="B404" t="s">
        <v>2518</v>
      </c>
      <c r="C404" t="s">
        <v>2519</v>
      </c>
      <c r="D404" t="s">
        <v>2520</v>
      </c>
      <c r="E404" t="s">
        <v>16</v>
      </c>
      <c r="F404" t="s">
        <v>1333</v>
      </c>
      <c r="G404" s="2">
        <v>0.65972222222222221</v>
      </c>
      <c r="H404" t="s">
        <v>1200</v>
      </c>
      <c r="I404" t="s">
        <v>1201</v>
      </c>
      <c r="M404" t="s">
        <v>1292</v>
      </c>
      <c r="X404" t="s">
        <v>498</v>
      </c>
      <c r="Y404">
        <v>1</v>
      </c>
      <c r="Z404" t="s">
        <v>1245</v>
      </c>
      <c r="AB404" t="s">
        <v>776</v>
      </c>
      <c r="AC404">
        <v>2</v>
      </c>
      <c r="AD404" t="s">
        <v>2521</v>
      </c>
      <c r="AE404" t="s">
        <v>776</v>
      </c>
      <c r="AF404">
        <v>3</v>
      </c>
      <c r="AG404" t="s">
        <v>1245</v>
      </c>
    </row>
    <row r="405" spans="1:33" x14ac:dyDescent="0.3">
      <c r="A405" t="s">
        <v>577</v>
      </c>
      <c r="B405" t="s">
        <v>2522</v>
      </c>
      <c r="C405" t="s">
        <v>2523</v>
      </c>
      <c r="D405" t="s">
        <v>2524</v>
      </c>
      <c r="E405" t="s">
        <v>16</v>
      </c>
      <c r="F405" t="s">
        <v>1338</v>
      </c>
      <c r="G405" s="2">
        <v>0.65277777777777779</v>
      </c>
      <c r="H405" t="s">
        <v>1200</v>
      </c>
      <c r="I405" t="s">
        <v>1201</v>
      </c>
      <c r="M405" t="s">
        <v>1292</v>
      </c>
      <c r="X405" t="s">
        <v>776</v>
      </c>
      <c r="Y405">
        <v>1</v>
      </c>
      <c r="Z405" t="s">
        <v>1245</v>
      </c>
      <c r="AB405" t="s">
        <v>776</v>
      </c>
      <c r="AC405">
        <v>1</v>
      </c>
      <c r="AD405" t="s">
        <v>1245</v>
      </c>
      <c r="AE405" t="s">
        <v>498</v>
      </c>
      <c r="AF405">
        <v>2</v>
      </c>
      <c r="AG405" t="s">
        <v>1245</v>
      </c>
    </row>
    <row r="406" spans="1:33" x14ac:dyDescent="0.3">
      <c r="A406" t="s">
        <v>577</v>
      </c>
      <c r="B406" t="s">
        <v>2525</v>
      </c>
      <c r="C406" t="s">
        <v>2526</v>
      </c>
      <c r="D406" t="s">
        <v>2527</v>
      </c>
      <c r="E406" t="s">
        <v>16</v>
      </c>
      <c r="F406" t="s">
        <v>1342</v>
      </c>
      <c r="G406" s="2">
        <v>0.64583333333333337</v>
      </c>
      <c r="H406" t="s">
        <v>1200</v>
      </c>
      <c r="I406" t="s">
        <v>1201</v>
      </c>
      <c r="M406" t="s">
        <v>1292</v>
      </c>
      <c r="X406" t="s">
        <v>776</v>
      </c>
      <c r="Y406">
        <v>1</v>
      </c>
      <c r="Z406" t="s">
        <v>1245</v>
      </c>
      <c r="AB406" t="s">
        <v>498</v>
      </c>
      <c r="AC406">
        <v>1</v>
      </c>
      <c r="AD406" t="s">
        <v>1245</v>
      </c>
      <c r="AE406" t="s">
        <v>776</v>
      </c>
      <c r="AF406">
        <v>1</v>
      </c>
      <c r="AG406" t="s">
        <v>1245</v>
      </c>
    </row>
    <row r="407" spans="1:33" x14ac:dyDescent="0.3">
      <c r="A407" t="s">
        <v>577</v>
      </c>
      <c r="B407" t="s">
        <v>2528</v>
      </c>
      <c r="C407" t="s">
        <v>2529</v>
      </c>
      <c r="D407" t="s">
        <v>2530</v>
      </c>
      <c r="E407" t="s">
        <v>16</v>
      </c>
      <c r="F407" t="s">
        <v>1346</v>
      </c>
      <c r="G407" s="2">
        <v>0.63888888888888895</v>
      </c>
      <c r="H407" t="s">
        <v>1200</v>
      </c>
      <c r="I407" t="s">
        <v>1201</v>
      </c>
      <c r="K407" t="s">
        <v>1250</v>
      </c>
      <c r="X407" t="s">
        <v>776</v>
      </c>
      <c r="Y407">
        <v>3</v>
      </c>
      <c r="Z407" t="s">
        <v>1496</v>
      </c>
      <c r="AB407" t="s">
        <v>498</v>
      </c>
      <c r="AC407">
        <v>4</v>
      </c>
      <c r="AD407" t="s">
        <v>1266</v>
      </c>
    </row>
    <row r="408" spans="1:33" x14ac:dyDescent="0.3">
      <c r="A408" t="s">
        <v>577</v>
      </c>
      <c r="B408" t="s">
        <v>2531</v>
      </c>
      <c r="C408" t="s">
        <v>2532</v>
      </c>
      <c r="D408" t="s">
        <v>2533</v>
      </c>
      <c r="E408" t="s">
        <v>16</v>
      </c>
      <c r="F408" t="s">
        <v>1350</v>
      </c>
      <c r="G408" s="2">
        <v>0.63194444444444442</v>
      </c>
      <c r="H408" t="s">
        <v>1200</v>
      </c>
      <c r="I408" t="s">
        <v>1201</v>
      </c>
      <c r="K408" t="s">
        <v>1250</v>
      </c>
      <c r="X408" t="s">
        <v>498</v>
      </c>
      <c r="Y408">
        <v>2</v>
      </c>
      <c r="Z408" t="s">
        <v>1266</v>
      </c>
      <c r="AB408" t="s">
        <v>525</v>
      </c>
      <c r="AC408">
        <v>3</v>
      </c>
      <c r="AD408" t="s">
        <v>1228</v>
      </c>
      <c r="AE408" t="s">
        <v>776</v>
      </c>
      <c r="AF408">
        <v>4</v>
      </c>
      <c r="AG408" t="s">
        <v>1228</v>
      </c>
    </row>
    <row r="409" spans="1:33" x14ac:dyDescent="0.3">
      <c r="A409" t="s">
        <v>577</v>
      </c>
      <c r="B409" t="s">
        <v>2534</v>
      </c>
      <c r="C409" t="s">
        <v>2535</v>
      </c>
      <c r="D409" t="s">
        <v>2536</v>
      </c>
      <c r="E409" t="s">
        <v>16</v>
      </c>
      <c r="F409" t="s">
        <v>1354</v>
      </c>
      <c r="G409" s="2">
        <v>0.625</v>
      </c>
      <c r="H409" t="s">
        <v>1200</v>
      </c>
      <c r="I409" t="s">
        <v>1201</v>
      </c>
      <c r="K409" t="s">
        <v>1250</v>
      </c>
    </row>
    <row r="410" spans="1:33" x14ac:dyDescent="0.3">
      <c r="A410" t="s">
        <v>577</v>
      </c>
      <c r="B410" t="s">
        <v>2537</v>
      </c>
      <c r="C410" t="s">
        <v>2538</v>
      </c>
      <c r="D410" t="s">
        <v>2539</v>
      </c>
      <c r="E410" t="s">
        <v>16</v>
      </c>
      <c r="F410" t="s">
        <v>1558</v>
      </c>
      <c r="G410" s="2">
        <v>0.61805555555555558</v>
      </c>
      <c r="H410" t="s">
        <v>1200</v>
      </c>
      <c r="I410" t="s">
        <v>1201</v>
      </c>
      <c r="K410" t="s">
        <v>1250</v>
      </c>
    </row>
    <row r="411" spans="1:33" x14ac:dyDescent="0.3">
      <c r="A411" t="s">
        <v>577</v>
      </c>
      <c r="B411" t="s">
        <v>2540</v>
      </c>
      <c r="C411" t="s">
        <v>2541</v>
      </c>
      <c r="D411" t="s">
        <v>2542</v>
      </c>
      <c r="E411" t="s">
        <v>16</v>
      </c>
      <c r="F411" t="s">
        <v>1358</v>
      </c>
      <c r="G411" s="2">
        <v>0.61111111111111105</v>
      </c>
      <c r="H411" t="s">
        <v>1200</v>
      </c>
      <c r="I411" t="s">
        <v>1201</v>
      </c>
      <c r="K411" t="s">
        <v>1250</v>
      </c>
      <c r="X411" t="s">
        <v>776</v>
      </c>
      <c r="Y411">
        <v>3</v>
      </c>
      <c r="Z411" t="s">
        <v>1266</v>
      </c>
      <c r="AB411" t="s">
        <v>498</v>
      </c>
      <c r="AC411">
        <v>3</v>
      </c>
      <c r="AD411" t="s">
        <v>1266</v>
      </c>
    </row>
    <row r="412" spans="1:33" x14ac:dyDescent="0.3">
      <c r="A412" t="s">
        <v>577</v>
      </c>
      <c r="B412" t="s">
        <v>2543</v>
      </c>
      <c r="C412" t="s">
        <v>2544</v>
      </c>
      <c r="D412" t="s">
        <v>2545</v>
      </c>
      <c r="E412" t="s">
        <v>16</v>
      </c>
      <c r="F412" t="s">
        <v>1362</v>
      </c>
      <c r="G412" s="2">
        <v>0.60416666666666663</v>
      </c>
      <c r="H412" t="s">
        <v>1200</v>
      </c>
      <c r="I412" t="s">
        <v>1201</v>
      </c>
      <c r="L412" t="s">
        <v>1222</v>
      </c>
      <c r="X412" t="s">
        <v>525</v>
      </c>
      <c r="Y412">
        <v>2</v>
      </c>
      <c r="Z412" t="s">
        <v>1228</v>
      </c>
      <c r="AB412" t="s">
        <v>776</v>
      </c>
      <c r="AC412">
        <v>3</v>
      </c>
      <c r="AD412" t="s">
        <v>2546</v>
      </c>
    </row>
    <row r="413" spans="1:33" x14ac:dyDescent="0.3">
      <c r="A413" t="s">
        <v>577</v>
      </c>
      <c r="B413" t="s">
        <v>2547</v>
      </c>
      <c r="C413" t="s">
        <v>2548</v>
      </c>
      <c r="D413" t="s">
        <v>2549</v>
      </c>
      <c r="E413" t="s">
        <v>16</v>
      </c>
      <c r="F413" t="s">
        <v>1367</v>
      </c>
      <c r="G413" s="2">
        <v>0.59722222222222221</v>
      </c>
      <c r="H413" t="s">
        <v>1200</v>
      </c>
      <c r="I413" t="s">
        <v>1201</v>
      </c>
      <c r="K413" t="s">
        <v>1250</v>
      </c>
      <c r="X413" t="s">
        <v>776</v>
      </c>
      <c r="Y413">
        <v>2</v>
      </c>
      <c r="Z413" t="s">
        <v>1228</v>
      </c>
      <c r="AB413" t="s">
        <v>525</v>
      </c>
      <c r="AC413">
        <v>4</v>
      </c>
      <c r="AD413" t="s">
        <v>1228</v>
      </c>
    </row>
    <row r="414" spans="1:33" x14ac:dyDescent="0.3">
      <c r="A414" t="s">
        <v>577</v>
      </c>
      <c r="B414" t="s">
        <v>2550</v>
      </c>
      <c r="C414" t="s">
        <v>2551</v>
      </c>
      <c r="D414" t="s">
        <v>2552</v>
      </c>
      <c r="E414" t="s">
        <v>16</v>
      </c>
      <c r="F414" t="s">
        <v>1371</v>
      </c>
      <c r="G414" s="2">
        <v>0.59027777777777779</v>
      </c>
      <c r="H414" t="s">
        <v>1200</v>
      </c>
      <c r="I414" t="s">
        <v>1201</v>
      </c>
      <c r="K414" t="s">
        <v>1250</v>
      </c>
      <c r="X414" t="s">
        <v>776</v>
      </c>
      <c r="Y414">
        <v>3</v>
      </c>
      <c r="Z414" t="s">
        <v>1266</v>
      </c>
      <c r="AB414" t="s">
        <v>525</v>
      </c>
      <c r="AC414">
        <v>3</v>
      </c>
      <c r="AD414" t="s">
        <v>1266</v>
      </c>
    </row>
    <row r="415" spans="1:33" x14ac:dyDescent="0.3">
      <c r="A415" t="s">
        <v>577</v>
      </c>
      <c r="B415" t="s">
        <v>2553</v>
      </c>
      <c r="C415" t="s">
        <v>2554</v>
      </c>
      <c r="D415" t="s">
        <v>2555</v>
      </c>
      <c r="E415" t="s">
        <v>16</v>
      </c>
      <c r="F415" t="s">
        <v>1199</v>
      </c>
      <c r="G415" s="2">
        <v>0.58333333333333337</v>
      </c>
      <c r="H415" t="s">
        <v>1200</v>
      </c>
      <c r="I415" t="s">
        <v>1201</v>
      </c>
      <c r="L415" t="s">
        <v>1255</v>
      </c>
      <c r="X415" t="s">
        <v>525</v>
      </c>
      <c r="Y415">
        <v>3</v>
      </c>
      <c r="Z415" t="s">
        <v>1266</v>
      </c>
      <c r="AB415" t="s">
        <v>498</v>
      </c>
      <c r="AC415">
        <v>3</v>
      </c>
      <c r="AD415" t="s">
        <v>1496</v>
      </c>
    </row>
    <row r="416" spans="1:33" x14ac:dyDescent="0.3">
      <c r="A416" t="s">
        <v>577</v>
      </c>
      <c r="B416" t="s">
        <v>2556</v>
      </c>
      <c r="C416" t="s">
        <v>2557</v>
      </c>
      <c r="D416" t="s">
        <v>2558</v>
      </c>
      <c r="E416" t="s">
        <v>16</v>
      </c>
      <c r="F416" t="s">
        <v>1207</v>
      </c>
      <c r="G416" s="2">
        <v>0.57638888888888895</v>
      </c>
      <c r="H416" t="s">
        <v>1200</v>
      </c>
      <c r="I416" t="s">
        <v>1201</v>
      </c>
      <c r="K416" t="s">
        <v>1250</v>
      </c>
      <c r="X416" t="s">
        <v>776</v>
      </c>
      <c r="Y416">
        <v>2</v>
      </c>
      <c r="Z416" t="s">
        <v>2390</v>
      </c>
      <c r="AB416" t="s">
        <v>525</v>
      </c>
      <c r="AC416">
        <v>4</v>
      </c>
      <c r="AD416" t="s">
        <v>1266</v>
      </c>
    </row>
    <row r="417" spans="1:33" x14ac:dyDescent="0.3">
      <c r="A417" t="s">
        <v>577</v>
      </c>
      <c r="B417" t="s">
        <v>2559</v>
      </c>
      <c r="C417" t="s">
        <v>2560</v>
      </c>
      <c r="D417" t="s">
        <v>2561</v>
      </c>
      <c r="E417" t="s">
        <v>16</v>
      </c>
      <c r="F417" t="s">
        <v>1211</v>
      </c>
      <c r="G417" s="2">
        <v>0.56944444444444442</v>
      </c>
      <c r="H417" t="s">
        <v>1200</v>
      </c>
      <c r="I417" t="s">
        <v>1201</v>
      </c>
      <c r="K417" t="s">
        <v>1250</v>
      </c>
      <c r="X417" t="s">
        <v>776</v>
      </c>
      <c r="Y417">
        <v>3</v>
      </c>
      <c r="Z417" t="s">
        <v>1266</v>
      </c>
      <c r="AB417" t="s">
        <v>525</v>
      </c>
      <c r="AC417">
        <v>3</v>
      </c>
      <c r="AD417" t="s">
        <v>1266</v>
      </c>
    </row>
    <row r="418" spans="1:33" x14ac:dyDescent="0.3">
      <c r="A418" t="s">
        <v>577</v>
      </c>
      <c r="B418" t="s">
        <v>2562</v>
      </c>
      <c r="C418" t="s">
        <v>2563</v>
      </c>
      <c r="D418" t="s">
        <v>2564</v>
      </c>
      <c r="E418" t="s">
        <v>16</v>
      </c>
      <c r="F418" t="s">
        <v>1215</v>
      </c>
      <c r="G418" s="2">
        <v>0.5625</v>
      </c>
      <c r="H418" t="s">
        <v>1200</v>
      </c>
      <c r="I418" t="s">
        <v>1201</v>
      </c>
      <c r="K418" t="s">
        <v>1250</v>
      </c>
    </row>
    <row r="419" spans="1:33" x14ac:dyDescent="0.3">
      <c r="A419" t="s">
        <v>577</v>
      </c>
      <c r="B419" t="s">
        <v>2565</v>
      </c>
      <c r="C419" t="s">
        <v>2566</v>
      </c>
      <c r="D419" t="s">
        <v>2567</v>
      </c>
      <c r="E419" t="s">
        <v>16</v>
      </c>
      <c r="F419" t="s">
        <v>1221</v>
      </c>
      <c r="G419" s="2">
        <v>0.55555555555555558</v>
      </c>
      <c r="H419" t="s">
        <v>1200</v>
      </c>
      <c r="I419" t="s">
        <v>1201</v>
      </c>
      <c r="M419" t="s">
        <v>1640</v>
      </c>
      <c r="X419" t="s">
        <v>776</v>
      </c>
      <c r="Y419">
        <v>2</v>
      </c>
      <c r="Z419" t="s">
        <v>2047</v>
      </c>
    </row>
    <row r="420" spans="1:33" x14ac:dyDescent="0.3">
      <c r="A420" t="s">
        <v>577</v>
      </c>
      <c r="B420" t="s">
        <v>2568</v>
      </c>
      <c r="C420" t="s">
        <v>2569</v>
      </c>
      <c r="D420" t="s">
        <v>2570</v>
      </c>
      <c r="E420" t="s">
        <v>16</v>
      </c>
      <c r="F420" t="s">
        <v>1232</v>
      </c>
      <c r="G420" s="2">
        <v>0.54861111111111105</v>
      </c>
      <c r="H420" t="s">
        <v>1200</v>
      </c>
      <c r="I420" t="s">
        <v>1201</v>
      </c>
      <c r="M420" t="s">
        <v>1640</v>
      </c>
      <c r="X420" t="s">
        <v>776</v>
      </c>
      <c r="Y420">
        <v>3</v>
      </c>
      <c r="Z420" t="s">
        <v>2047</v>
      </c>
    </row>
    <row r="421" spans="1:33" x14ac:dyDescent="0.3">
      <c r="A421" t="s">
        <v>577</v>
      </c>
      <c r="B421" t="s">
        <v>2571</v>
      </c>
      <c r="C421" t="s">
        <v>2572</v>
      </c>
      <c r="D421" t="s">
        <v>2573</v>
      </c>
      <c r="E421" t="s">
        <v>16</v>
      </c>
      <c r="F421" t="s">
        <v>1236</v>
      </c>
      <c r="G421" s="2">
        <v>0.54166666666666663</v>
      </c>
      <c r="H421" t="s">
        <v>1200</v>
      </c>
      <c r="I421" t="s">
        <v>1201</v>
      </c>
      <c r="K421" t="s">
        <v>1250</v>
      </c>
      <c r="X421" t="s">
        <v>776</v>
      </c>
      <c r="Y421">
        <v>3</v>
      </c>
      <c r="Z421" t="s">
        <v>1266</v>
      </c>
      <c r="AB421" t="s">
        <v>498</v>
      </c>
      <c r="AC421">
        <v>3</v>
      </c>
      <c r="AD421" t="s">
        <v>1266</v>
      </c>
    </row>
    <row r="422" spans="1:33" x14ac:dyDescent="0.3">
      <c r="A422" t="s">
        <v>577</v>
      </c>
      <c r="B422" t="s">
        <v>2574</v>
      </c>
      <c r="C422" t="s">
        <v>2575</v>
      </c>
      <c r="D422" t="s">
        <v>2576</v>
      </c>
      <c r="E422" t="s">
        <v>16</v>
      </c>
      <c r="F422" t="s">
        <v>1240</v>
      </c>
      <c r="G422" s="2">
        <v>0.53472222222222221</v>
      </c>
      <c r="H422" t="s">
        <v>1200</v>
      </c>
      <c r="I422" t="s">
        <v>1201</v>
      </c>
      <c r="L422" t="s">
        <v>1202</v>
      </c>
      <c r="X422" t="s">
        <v>776</v>
      </c>
      <c r="Y422">
        <v>3</v>
      </c>
      <c r="Z422" t="s">
        <v>1203</v>
      </c>
      <c r="AB422" t="s">
        <v>546</v>
      </c>
      <c r="AC422">
        <v>5</v>
      </c>
      <c r="AD422" t="s">
        <v>1203</v>
      </c>
      <c r="AE422" t="s">
        <v>1100</v>
      </c>
      <c r="AF422">
        <v>5</v>
      </c>
      <c r="AG422" t="s">
        <v>1203</v>
      </c>
    </row>
    <row r="423" spans="1:33" x14ac:dyDescent="0.3">
      <c r="A423" t="s">
        <v>577</v>
      </c>
      <c r="B423" t="s">
        <v>2577</v>
      </c>
      <c r="C423" t="s">
        <v>2578</v>
      </c>
      <c r="D423" t="s">
        <v>2579</v>
      </c>
      <c r="E423" t="s">
        <v>16</v>
      </c>
      <c r="F423" t="s">
        <v>1244</v>
      </c>
      <c r="G423" s="2">
        <v>0.52777777777777779</v>
      </c>
      <c r="H423" t="s">
        <v>1200</v>
      </c>
      <c r="I423" t="s">
        <v>1201</v>
      </c>
      <c r="L423" t="s">
        <v>1202</v>
      </c>
      <c r="X423" t="s">
        <v>776</v>
      </c>
      <c r="Y423">
        <v>3</v>
      </c>
      <c r="Z423" t="s">
        <v>1203</v>
      </c>
      <c r="AB423" t="s">
        <v>546</v>
      </c>
      <c r="AC423">
        <v>5</v>
      </c>
      <c r="AD423" t="s">
        <v>1203</v>
      </c>
      <c r="AE423" t="s">
        <v>1100</v>
      </c>
      <c r="AF423">
        <v>5</v>
      </c>
      <c r="AG423" t="s">
        <v>1203</v>
      </c>
    </row>
    <row r="424" spans="1:33" x14ac:dyDescent="0.3">
      <c r="A424" t="s">
        <v>577</v>
      </c>
      <c r="B424" t="s">
        <v>2580</v>
      </c>
      <c r="C424" t="s">
        <v>2581</v>
      </c>
      <c r="D424" t="s">
        <v>2582</v>
      </c>
      <c r="E424" t="s">
        <v>16</v>
      </c>
      <c r="F424" t="s">
        <v>1249</v>
      </c>
      <c r="G424" s="2">
        <v>0.52083333333333337</v>
      </c>
      <c r="H424" t="s">
        <v>1200</v>
      </c>
      <c r="I424" t="s">
        <v>1201</v>
      </c>
      <c r="L424" t="s">
        <v>1202</v>
      </c>
      <c r="X424" t="s">
        <v>776</v>
      </c>
      <c r="Y424">
        <v>3</v>
      </c>
      <c r="Z424" t="s">
        <v>1203</v>
      </c>
      <c r="AB424" t="s">
        <v>546</v>
      </c>
      <c r="AC424">
        <v>5</v>
      </c>
      <c r="AD424" t="s">
        <v>1203</v>
      </c>
      <c r="AE424" t="s">
        <v>1100</v>
      </c>
      <c r="AF424">
        <v>5</v>
      </c>
      <c r="AG424" t="s">
        <v>1203</v>
      </c>
    </row>
    <row r="425" spans="1:33" x14ac:dyDescent="0.3">
      <c r="A425" t="s">
        <v>577</v>
      </c>
      <c r="B425" t="s">
        <v>2583</v>
      </c>
      <c r="C425" t="s">
        <v>2584</v>
      </c>
      <c r="D425" t="s">
        <v>2585</v>
      </c>
      <c r="E425" t="s">
        <v>16</v>
      </c>
      <c r="F425" t="s">
        <v>1406</v>
      </c>
      <c r="G425" s="2">
        <v>0.51388888888888895</v>
      </c>
      <c r="H425" t="s">
        <v>1200</v>
      </c>
      <c r="I425" t="s">
        <v>1201</v>
      </c>
      <c r="L425" t="s">
        <v>1222</v>
      </c>
      <c r="X425" t="s">
        <v>776</v>
      </c>
      <c r="Y425">
        <v>3</v>
      </c>
      <c r="Z425" t="s">
        <v>1228</v>
      </c>
      <c r="AB425" t="s">
        <v>546</v>
      </c>
      <c r="AC425">
        <v>5</v>
      </c>
      <c r="AD425" t="s">
        <v>1203</v>
      </c>
      <c r="AE425" t="s">
        <v>1100</v>
      </c>
      <c r="AF425">
        <v>5</v>
      </c>
      <c r="AG425" t="s">
        <v>1203</v>
      </c>
    </row>
    <row r="426" spans="1:33" x14ac:dyDescent="0.3">
      <c r="A426" t="s">
        <v>577</v>
      </c>
      <c r="B426" t="s">
        <v>2586</v>
      </c>
      <c r="C426" t="s">
        <v>2587</v>
      </c>
      <c r="D426" t="s">
        <v>2588</v>
      </c>
      <c r="E426" t="s">
        <v>16</v>
      </c>
      <c r="F426" t="s">
        <v>1254</v>
      </c>
      <c r="G426" s="2">
        <v>0.50694444444444442</v>
      </c>
      <c r="H426" t="s">
        <v>1200</v>
      </c>
      <c r="I426" t="s">
        <v>1201</v>
      </c>
      <c r="L426" t="s">
        <v>1222</v>
      </c>
      <c r="X426" t="s">
        <v>776</v>
      </c>
      <c r="Y426">
        <v>4</v>
      </c>
      <c r="Z426" t="s">
        <v>1228</v>
      </c>
      <c r="AB426" t="s">
        <v>546</v>
      </c>
      <c r="AC426">
        <v>5</v>
      </c>
      <c r="AD426" t="s">
        <v>1228</v>
      </c>
      <c r="AE426" t="s">
        <v>1100</v>
      </c>
      <c r="AF426">
        <v>5</v>
      </c>
      <c r="AG426" t="s">
        <v>1203</v>
      </c>
    </row>
    <row r="427" spans="1:33" x14ac:dyDescent="0.3">
      <c r="A427" t="s">
        <v>577</v>
      </c>
      <c r="B427" t="s">
        <v>2589</v>
      </c>
      <c r="C427" t="s">
        <v>2590</v>
      </c>
      <c r="D427" t="s">
        <v>2591</v>
      </c>
      <c r="E427" t="s">
        <v>16</v>
      </c>
      <c r="F427" t="s">
        <v>1259</v>
      </c>
      <c r="G427" s="2">
        <v>0.5</v>
      </c>
      <c r="H427" t="s">
        <v>1200</v>
      </c>
      <c r="I427" t="s">
        <v>1201</v>
      </c>
      <c r="L427" t="s">
        <v>1222</v>
      </c>
      <c r="R427" t="s">
        <v>1223</v>
      </c>
      <c r="S427" t="s">
        <v>364</v>
      </c>
      <c r="T427" t="s">
        <v>1676</v>
      </c>
      <c r="X427" t="s">
        <v>498</v>
      </c>
      <c r="Y427">
        <v>2</v>
      </c>
      <c r="Z427" t="s">
        <v>1717</v>
      </c>
      <c r="AB427" t="s">
        <v>498</v>
      </c>
      <c r="AC427">
        <v>3</v>
      </c>
      <c r="AD427" t="s">
        <v>1228</v>
      </c>
      <c r="AE427" t="s">
        <v>498</v>
      </c>
      <c r="AF427">
        <v>4</v>
      </c>
      <c r="AG427" t="s">
        <v>1717</v>
      </c>
    </row>
    <row r="428" spans="1:33" x14ac:dyDescent="0.3">
      <c r="A428" t="s">
        <v>577</v>
      </c>
      <c r="B428" t="s">
        <v>2592</v>
      </c>
      <c r="C428" t="s">
        <v>2593</v>
      </c>
      <c r="D428" t="s">
        <v>2594</v>
      </c>
      <c r="E428" t="s">
        <v>16</v>
      </c>
      <c r="F428" t="s">
        <v>1265</v>
      </c>
      <c r="G428" s="2">
        <v>0.49305555555555558</v>
      </c>
      <c r="H428" t="s">
        <v>1200</v>
      </c>
      <c r="I428" t="s">
        <v>1201</v>
      </c>
      <c r="K428" t="s">
        <v>1250</v>
      </c>
      <c r="S428" t="s">
        <v>1224</v>
      </c>
      <c r="T428" t="s">
        <v>1703</v>
      </c>
      <c r="U428" t="s">
        <v>1677</v>
      </c>
      <c r="V428" t="s">
        <v>1226</v>
      </c>
      <c r="W428" t="s">
        <v>2595</v>
      </c>
      <c r="X428" t="s">
        <v>498</v>
      </c>
      <c r="Y428">
        <v>2</v>
      </c>
      <c r="Z428" t="s">
        <v>1595</v>
      </c>
      <c r="AB428" t="s">
        <v>498</v>
      </c>
      <c r="AC428">
        <v>3</v>
      </c>
      <c r="AD428" t="s">
        <v>1717</v>
      </c>
      <c r="AE428" t="s">
        <v>498</v>
      </c>
      <c r="AF428">
        <v>3</v>
      </c>
      <c r="AG428" t="s">
        <v>1595</v>
      </c>
    </row>
    <row r="429" spans="1:33" x14ac:dyDescent="0.3">
      <c r="A429" t="s">
        <v>577</v>
      </c>
      <c r="B429" t="s">
        <v>2596</v>
      </c>
      <c r="C429" t="s">
        <v>2597</v>
      </c>
      <c r="D429" t="s">
        <v>2598</v>
      </c>
      <c r="E429" t="s">
        <v>16</v>
      </c>
      <c r="F429" t="s">
        <v>1270</v>
      </c>
      <c r="G429" s="2">
        <v>0.4861111111111111</v>
      </c>
      <c r="H429" t="s">
        <v>1200</v>
      </c>
      <c r="I429" t="s">
        <v>1201</v>
      </c>
      <c r="L429" t="s">
        <v>1222</v>
      </c>
      <c r="R429" t="s">
        <v>1223</v>
      </c>
      <c r="S429" t="s">
        <v>1224</v>
      </c>
      <c r="T429" t="s">
        <v>1703</v>
      </c>
      <c r="U429" t="s">
        <v>1677</v>
      </c>
      <c r="V429" t="s">
        <v>1226</v>
      </c>
      <c r="W429" t="s">
        <v>2595</v>
      </c>
      <c r="X429" t="s">
        <v>498</v>
      </c>
      <c r="Y429">
        <v>2</v>
      </c>
      <c r="Z429" t="s">
        <v>1704</v>
      </c>
      <c r="AB429" t="s">
        <v>498</v>
      </c>
      <c r="AC429">
        <v>2</v>
      </c>
      <c r="AD429" t="s">
        <v>1704</v>
      </c>
      <c r="AE429" t="s">
        <v>498</v>
      </c>
      <c r="AF429">
        <v>2</v>
      </c>
      <c r="AG429" t="s">
        <v>1595</v>
      </c>
    </row>
    <row r="430" spans="1:33" x14ac:dyDescent="0.3">
      <c r="A430" t="s">
        <v>577</v>
      </c>
      <c r="B430" t="s">
        <v>2599</v>
      </c>
      <c r="C430" t="s">
        <v>2600</v>
      </c>
      <c r="D430" t="s">
        <v>2601</v>
      </c>
      <c r="E430" t="s">
        <v>16</v>
      </c>
      <c r="F430" t="s">
        <v>1274</v>
      </c>
      <c r="G430" s="2">
        <v>0.47916666666666669</v>
      </c>
      <c r="H430" t="s">
        <v>1200</v>
      </c>
      <c r="I430" t="s">
        <v>1201</v>
      </c>
      <c r="R430" t="s">
        <v>1681</v>
      </c>
      <c r="S430" t="s">
        <v>364</v>
      </c>
      <c r="T430" t="s">
        <v>1676</v>
      </c>
      <c r="U430" t="s">
        <v>1677</v>
      </c>
      <c r="X430" t="s">
        <v>498</v>
      </c>
      <c r="Y430">
        <v>2</v>
      </c>
      <c r="Z430" t="s">
        <v>1704</v>
      </c>
      <c r="AB430" t="s">
        <v>498</v>
      </c>
      <c r="AC430">
        <v>2</v>
      </c>
      <c r="AD430" t="s">
        <v>1704</v>
      </c>
      <c r="AE430" t="s">
        <v>498</v>
      </c>
      <c r="AF430">
        <v>2</v>
      </c>
      <c r="AG430" t="s">
        <v>2602</v>
      </c>
    </row>
    <row r="431" spans="1:33" x14ac:dyDescent="0.3">
      <c r="A431" t="s">
        <v>577</v>
      </c>
      <c r="B431" t="s">
        <v>2603</v>
      </c>
      <c r="C431" t="s">
        <v>2604</v>
      </c>
      <c r="D431" t="s">
        <v>2605</v>
      </c>
      <c r="E431" t="s">
        <v>16</v>
      </c>
      <c r="F431" t="s">
        <v>1278</v>
      </c>
      <c r="G431" s="2">
        <v>0.47222222222222227</v>
      </c>
      <c r="H431" t="s">
        <v>1200</v>
      </c>
      <c r="I431" t="s">
        <v>1201</v>
      </c>
      <c r="L431" t="s">
        <v>1222</v>
      </c>
      <c r="R431" t="s">
        <v>1223</v>
      </c>
      <c r="S431" t="s">
        <v>364</v>
      </c>
      <c r="T431" t="s">
        <v>1676</v>
      </c>
      <c r="U431" t="s">
        <v>1677</v>
      </c>
      <c r="X431" t="s">
        <v>498</v>
      </c>
      <c r="Y431">
        <v>2</v>
      </c>
      <c r="Z431" t="s">
        <v>1228</v>
      </c>
      <c r="AB431" t="s">
        <v>498</v>
      </c>
      <c r="AC431">
        <v>3</v>
      </c>
      <c r="AD431" t="s">
        <v>1491</v>
      </c>
      <c r="AE431" t="s">
        <v>498</v>
      </c>
      <c r="AF431">
        <v>3</v>
      </c>
      <c r="AG431" t="s">
        <v>1717</v>
      </c>
    </row>
    <row r="432" spans="1:33" x14ac:dyDescent="0.3">
      <c r="A432" t="s">
        <v>577</v>
      </c>
      <c r="B432" t="s">
        <v>2606</v>
      </c>
      <c r="C432" t="s">
        <v>2607</v>
      </c>
      <c r="D432" t="s">
        <v>2608</v>
      </c>
      <c r="E432" t="s">
        <v>16</v>
      </c>
      <c r="F432" t="s">
        <v>1282</v>
      </c>
      <c r="G432" s="2">
        <v>0.46527777777777773</v>
      </c>
      <c r="H432" t="s">
        <v>1200</v>
      </c>
      <c r="I432" t="s">
        <v>1201</v>
      </c>
      <c r="Q432" t="s">
        <v>2609</v>
      </c>
      <c r="R432" t="s">
        <v>1681</v>
      </c>
      <c r="S432" t="s">
        <v>364</v>
      </c>
      <c r="T432" t="s">
        <v>1676</v>
      </c>
      <c r="U432" t="s">
        <v>1677</v>
      </c>
      <c r="X432" t="s">
        <v>498</v>
      </c>
      <c r="Y432">
        <v>2</v>
      </c>
      <c r="Z432" t="s">
        <v>1228</v>
      </c>
      <c r="AB432" t="s">
        <v>498</v>
      </c>
      <c r="AC432">
        <v>3</v>
      </c>
      <c r="AD432" t="s">
        <v>1822</v>
      </c>
      <c r="AE432" t="s">
        <v>498</v>
      </c>
      <c r="AF432">
        <v>3</v>
      </c>
      <c r="AG432" t="s">
        <v>1595</v>
      </c>
    </row>
    <row r="433" spans="1:33" x14ac:dyDescent="0.3">
      <c r="A433" t="s">
        <v>577</v>
      </c>
      <c r="B433" t="s">
        <v>2610</v>
      </c>
      <c r="C433" t="s">
        <v>2611</v>
      </c>
      <c r="D433" t="s">
        <v>2612</v>
      </c>
      <c r="E433" t="s">
        <v>16</v>
      </c>
      <c r="F433" t="s">
        <v>1287</v>
      </c>
      <c r="G433" s="2">
        <v>0.45833333333333331</v>
      </c>
      <c r="H433" t="s">
        <v>1200</v>
      </c>
      <c r="I433" t="s">
        <v>1201</v>
      </c>
      <c r="L433" t="s">
        <v>1222</v>
      </c>
      <c r="Q433" t="s">
        <v>2613</v>
      </c>
      <c r="R433" t="s">
        <v>1536</v>
      </c>
      <c r="S433" t="s">
        <v>364</v>
      </c>
      <c r="T433" t="s">
        <v>1676</v>
      </c>
      <c r="U433" t="s">
        <v>1677</v>
      </c>
      <c r="X433" t="s">
        <v>498</v>
      </c>
      <c r="Y433">
        <v>2</v>
      </c>
      <c r="Z433" t="s">
        <v>1704</v>
      </c>
      <c r="AB433" t="s">
        <v>498</v>
      </c>
      <c r="AC433">
        <v>3</v>
      </c>
      <c r="AD433" t="s">
        <v>1704</v>
      </c>
      <c r="AE433" t="s">
        <v>498</v>
      </c>
      <c r="AF433">
        <v>3</v>
      </c>
      <c r="AG433" t="s">
        <v>1704</v>
      </c>
    </row>
    <row r="434" spans="1:33" x14ac:dyDescent="0.3">
      <c r="A434" t="s">
        <v>577</v>
      </c>
      <c r="B434" t="s">
        <v>2614</v>
      </c>
      <c r="C434" t="s">
        <v>2615</v>
      </c>
      <c r="D434" t="s">
        <v>2616</v>
      </c>
      <c r="E434" t="s">
        <v>16</v>
      </c>
      <c r="F434" t="s">
        <v>1291</v>
      </c>
      <c r="G434" s="2">
        <v>0.4513888888888889</v>
      </c>
      <c r="H434" t="s">
        <v>1200</v>
      </c>
      <c r="I434" t="s">
        <v>1201</v>
      </c>
      <c r="M434" t="s">
        <v>1292</v>
      </c>
      <c r="R434" t="s">
        <v>1223</v>
      </c>
    </row>
    <row r="435" spans="1:33" x14ac:dyDescent="0.3">
      <c r="A435" t="s">
        <v>577</v>
      </c>
      <c r="B435" t="s">
        <v>2617</v>
      </c>
      <c r="C435" t="s">
        <v>2618</v>
      </c>
      <c r="D435" t="s">
        <v>2619</v>
      </c>
      <c r="E435" t="s">
        <v>16</v>
      </c>
      <c r="F435" t="s">
        <v>1296</v>
      </c>
      <c r="G435" s="2">
        <v>0.44444444444444442</v>
      </c>
      <c r="H435" t="s">
        <v>1200</v>
      </c>
      <c r="I435" t="s">
        <v>1201</v>
      </c>
      <c r="M435" t="s">
        <v>1292</v>
      </c>
      <c r="X435" t="s">
        <v>525</v>
      </c>
      <c r="Y435">
        <v>3</v>
      </c>
      <c r="Z435" t="s">
        <v>1245</v>
      </c>
    </row>
    <row r="436" spans="1:33" x14ac:dyDescent="0.3">
      <c r="A436" t="s">
        <v>577</v>
      </c>
      <c r="B436" t="s">
        <v>2620</v>
      </c>
      <c r="C436" t="s">
        <v>2621</v>
      </c>
      <c r="D436" t="s">
        <v>2622</v>
      </c>
      <c r="E436" t="s">
        <v>16</v>
      </c>
      <c r="F436" t="s">
        <v>1300</v>
      </c>
      <c r="G436" s="2">
        <v>0.4375</v>
      </c>
      <c r="H436" t="s">
        <v>1200</v>
      </c>
      <c r="I436" t="s">
        <v>1201</v>
      </c>
      <c r="M436" t="s">
        <v>1292</v>
      </c>
      <c r="X436" t="s">
        <v>525</v>
      </c>
      <c r="Y436">
        <v>3</v>
      </c>
      <c r="Z436" t="s">
        <v>1245</v>
      </c>
      <c r="AB436" t="s">
        <v>546</v>
      </c>
      <c r="AC436">
        <v>3</v>
      </c>
      <c r="AD436" t="s">
        <v>1245</v>
      </c>
    </row>
    <row r="437" spans="1:33" x14ac:dyDescent="0.3">
      <c r="A437" t="s">
        <v>581</v>
      </c>
      <c r="B437" t="s">
        <v>2623</v>
      </c>
      <c r="C437" t="s">
        <v>2624</v>
      </c>
      <c r="D437" t="s">
        <v>2625</v>
      </c>
      <c r="E437" t="s">
        <v>16</v>
      </c>
      <c r="F437" t="s">
        <v>1510</v>
      </c>
      <c r="G437" s="2">
        <v>0.72222222222222221</v>
      </c>
      <c r="H437" t="s">
        <v>1200</v>
      </c>
      <c r="I437" t="s">
        <v>1201</v>
      </c>
      <c r="J437" t="s">
        <v>1730</v>
      </c>
      <c r="L437" t="s">
        <v>1363</v>
      </c>
    </row>
    <row r="438" spans="1:33" x14ac:dyDescent="0.3">
      <c r="A438" t="s">
        <v>581</v>
      </c>
      <c r="B438" t="s">
        <v>2626</v>
      </c>
      <c r="C438" t="s">
        <v>2627</v>
      </c>
      <c r="D438" t="s">
        <v>2628</v>
      </c>
      <c r="E438" t="s">
        <v>16</v>
      </c>
      <c r="F438" t="s">
        <v>1514</v>
      </c>
      <c r="G438" s="2">
        <v>0.71527777777777779</v>
      </c>
      <c r="H438" t="s">
        <v>1200</v>
      </c>
      <c r="I438" t="s">
        <v>1201</v>
      </c>
      <c r="J438" t="s">
        <v>1730</v>
      </c>
      <c r="L438" t="s">
        <v>1202</v>
      </c>
    </row>
    <row r="439" spans="1:33" x14ac:dyDescent="0.3">
      <c r="A439" t="s">
        <v>581</v>
      </c>
      <c r="B439" t="s">
        <v>2629</v>
      </c>
      <c r="C439" t="s">
        <v>2630</v>
      </c>
      <c r="D439" t="s">
        <v>2631</v>
      </c>
      <c r="E439" t="s">
        <v>16</v>
      </c>
      <c r="F439" t="s">
        <v>1304</v>
      </c>
      <c r="G439" s="2">
        <v>0.70833333333333337</v>
      </c>
      <c r="H439" t="s">
        <v>1200</v>
      </c>
      <c r="I439" t="s">
        <v>1201</v>
      </c>
      <c r="J439" t="s">
        <v>1730</v>
      </c>
      <c r="K439" t="s">
        <v>1250</v>
      </c>
    </row>
    <row r="440" spans="1:33" x14ac:dyDescent="0.3">
      <c r="A440" t="s">
        <v>581</v>
      </c>
      <c r="B440" t="s">
        <v>2632</v>
      </c>
      <c r="C440" t="s">
        <v>2633</v>
      </c>
      <c r="D440" t="s">
        <v>2634</v>
      </c>
      <c r="E440" t="s">
        <v>16</v>
      </c>
      <c r="F440" t="s">
        <v>1308</v>
      </c>
      <c r="G440" s="2">
        <v>0.70138888888888884</v>
      </c>
      <c r="H440" t="s">
        <v>1200</v>
      </c>
      <c r="I440" t="s">
        <v>1201</v>
      </c>
      <c r="J440" t="s">
        <v>1730</v>
      </c>
      <c r="L440" t="s">
        <v>1202</v>
      </c>
    </row>
    <row r="441" spans="1:33" x14ac:dyDescent="0.3">
      <c r="A441" t="s">
        <v>581</v>
      </c>
      <c r="B441" t="s">
        <v>2635</v>
      </c>
      <c r="C441" t="s">
        <v>2636</v>
      </c>
      <c r="D441" t="s">
        <v>2637</v>
      </c>
      <c r="E441" t="s">
        <v>16</v>
      </c>
      <c r="F441" t="s">
        <v>1313</v>
      </c>
      <c r="G441" s="2">
        <v>0.69444444444444453</v>
      </c>
      <c r="H441" t="s">
        <v>1200</v>
      </c>
      <c r="I441" t="s">
        <v>1201</v>
      </c>
      <c r="J441" t="s">
        <v>1730</v>
      </c>
      <c r="L441" t="s">
        <v>1202</v>
      </c>
    </row>
    <row r="442" spans="1:33" x14ac:dyDescent="0.3">
      <c r="A442" t="s">
        <v>581</v>
      </c>
      <c r="B442" t="s">
        <v>2638</v>
      </c>
      <c r="C442" t="s">
        <v>2639</v>
      </c>
      <c r="D442" t="s">
        <v>2640</v>
      </c>
      <c r="E442" t="s">
        <v>16</v>
      </c>
      <c r="F442" t="s">
        <v>1317</v>
      </c>
      <c r="G442" s="2">
        <v>0.6875</v>
      </c>
      <c r="H442" t="s">
        <v>1200</v>
      </c>
      <c r="I442" t="s">
        <v>1201</v>
      </c>
      <c r="J442" t="s">
        <v>1730</v>
      </c>
      <c r="L442" t="s">
        <v>1202</v>
      </c>
    </row>
    <row r="443" spans="1:33" x14ac:dyDescent="0.3">
      <c r="A443" t="s">
        <v>581</v>
      </c>
      <c r="B443" t="s">
        <v>2641</v>
      </c>
      <c r="C443" t="s">
        <v>2642</v>
      </c>
      <c r="D443" t="s">
        <v>2643</v>
      </c>
      <c r="E443" t="s">
        <v>16</v>
      </c>
      <c r="F443" t="s">
        <v>1321</v>
      </c>
      <c r="G443" s="2">
        <v>0.68055555555555547</v>
      </c>
      <c r="H443" t="s">
        <v>1200</v>
      </c>
      <c r="I443" t="s">
        <v>1201</v>
      </c>
      <c r="J443" t="s">
        <v>1730</v>
      </c>
      <c r="L443" t="s">
        <v>1202</v>
      </c>
    </row>
    <row r="444" spans="1:33" x14ac:dyDescent="0.3">
      <c r="A444" t="s">
        <v>581</v>
      </c>
      <c r="B444" t="s">
        <v>2644</v>
      </c>
      <c r="C444" t="s">
        <v>2645</v>
      </c>
      <c r="D444" t="s">
        <v>2646</v>
      </c>
      <c r="E444" t="s">
        <v>16</v>
      </c>
      <c r="F444" t="s">
        <v>1325</v>
      </c>
      <c r="G444" s="2">
        <v>0.67361111111111116</v>
      </c>
      <c r="H444" t="s">
        <v>1200</v>
      </c>
      <c r="I444" t="s">
        <v>1201</v>
      </c>
      <c r="J444" t="s">
        <v>1730</v>
      </c>
      <c r="M444" t="s">
        <v>1292</v>
      </c>
    </row>
    <row r="445" spans="1:33" x14ac:dyDescent="0.3">
      <c r="A445" t="s">
        <v>581</v>
      </c>
      <c r="B445" s="3" t="s">
        <v>2647</v>
      </c>
      <c r="C445" t="s">
        <v>2648</v>
      </c>
      <c r="D445" t="s">
        <v>2649</v>
      </c>
      <c r="E445" t="s">
        <v>16</v>
      </c>
      <c r="F445" t="s">
        <v>1329</v>
      </c>
      <c r="G445" s="2">
        <v>0.66666666666666663</v>
      </c>
      <c r="H445" t="s">
        <v>1200</v>
      </c>
      <c r="I445" t="s">
        <v>1201</v>
      </c>
      <c r="K445" t="s">
        <v>1250</v>
      </c>
    </row>
    <row r="446" spans="1:33" x14ac:dyDescent="0.3">
      <c r="A446" t="s">
        <v>581</v>
      </c>
      <c r="B446" t="s">
        <v>2650</v>
      </c>
      <c r="C446" t="s">
        <v>2651</v>
      </c>
      <c r="D446" t="s">
        <v>2652</v>
      </c>
      <c r="E446" t="s">
        <v>16</v>
      </c>
      <c r="F446" t="s">
        <v>1333</v>
      </c>
      <c r="G446" s="2">
        <v>0.65972222222222221</v>
      </c>
      <c r="H446" t="s">
        <v>1200</v>
      </c>
      <c r="I446" t="s">
        <v>1201</v>
      </c>
      <c r="J446" t="s">
        <v>1730</v>
      </c>
      <c r="M446" t="s">
        <v>1464</v>
      </c>
    </row>
    <row r="447" spans="1:33" x14ac:dyDescent="0.3">
      <c r="A447" t="s">
        <v>581</v>
      </c>
      <c r="B447" t="s">
        <v>2653</v>
      </c>
      <c r="C447" t="s">
        <v>2654</v>
      </c>
      <c r="D447" t="s">
        <v>2655</v>
      </c>
      <c r="E447" t="s">
        <v>16</v>
      </c>
      <c r="F447" t="s">
        <v>1338</v>
      </c>
      <c r="G447" s="2">
        <v>0.65277777777777779</v>
      </c>
      <c r="H447" t="s">
        <v>1200</v>
      </c>
      <c r="I447" t="s">
        <v>1201</v>
      </c>
      <c r="J447" t="s">
        <v>1730</v>
      </c>
      <c r="M447" t="s">
        <v>1464</v>
      </c>
    </row>
    <row r="448" spans="1:33" x14ac:dyDescent="0.3">
      <c r="A448" t="s">
        <v>581</v>
      </c>
      <c r="B448" t="s">
        <v>2656</v>
      </c>
      <c r="C448" t="s">
        <v>2657</v>
      </c>
      <c r="D448" t="s">
        <v>2658</v>
      </c>
      <c r="E448" t="s">
        <v>16</v>
      </c>
      <c r="F448" t="s">
        <v>1342</v>
      </c>
      <c r="G448" s="2">
        <v>0.64583333333333337</v>
      </c>
      <c r="H448" t="s">
        <v>1200</v>
      </c>
      <c r="I448" t="s">
        <v>1201</v>
      </c>
      <c r="J448" t="s">
        <v>1730</v>
      </c>
      <c r="M448" t="s">
        <v>1464</v>
      </c>
    </row>
    <row r="449" spans="1:30" x14ac:dyDescent="0.3">
      <c r="A449" t="s">
        <v>581</v>
      </c>
      <c r="B449" t="s">
        <v>2659</v>
      </c>
      <c r="C449" t="s">
        <v>2660</v>
      </c>
      <c r="D449" t="s">
        <v>2661</v>
      </c>
      <c r="E449" t="s">
        <v>16</v>
      </c>
      <c r="F449" t="s">
        <v>1346</v>
      </c>
      <c r="G449" s="2">
        <v>0.63888888888888895</v>
      </c>
      <c r="H449" t="s">
        <v>1200</v>
      </c>
      <c r="I449" t="s">
        <v>1201</v>
      </c>
      <c r="J449" t="s">
        <v>1730</v>
      </c>
      <c r="M449" t="s">
        <v>1292</v>
      </c>
    </row>
    <row r="450" spans="1:30" x14ac:dyDescent="0.3">
      <c r="A450" t="s">
        <v>581</v>
      </c>
      <c r="B450" t="s">
        <v>2662</v>
      </c>
      <c r="C450" t="s">
        <v>2663</v>
      </c>
      <c r="D450" t="s">
        <v>2664</v>
      </c>
      <c r="E450" t="s">
        <v>16</v>
      </c>
      <c r="F450" t="s">
        <v>1350</v>
      </c>
      <c r="G450" s="2">
        <v>0.63194444444444442</v>
      </c>
      <c r="H450" t="s">
        <v>1200</v>
      </c>
      <c r="I450" t="s">
        <v>1201</v>
      </c>
      <c r="J450" t="s">
        <v>1730</v>
      </c>
      <c r="M450" t="s">
        <v>1292</v>
      </c>
    </row>
    <row r="451" spans="1:30" x14ac:dyDescent="0.3">
      <c r="A451" t="s">
        <v>581</v>
      </c>
      <c r="B451" t="s">
        <v>2665</v>
      </c>
      <c r="C451" t="s">
        <v>2666</v>
      </c>
      <c r="D451" t="s">
        <v>2667</v>
      </c>
      <c r="E451" t="s">
        <v>16</v>
      </c>
      <c r="F451" t="s">
        <v>1354</v>
      </c>
      <c r="G451" s="2">
        <v>0.625</v>
      </c>
      <c r="H451" t="s">
        <v>1200</v>
      </c>
      <c r="I451" t="s">
        <v>1201</v>
      </c>
      <c r="J451" t="s">
        <v>1752</v>
      </c>
      <c r="M451" t="s">
        <v>1292</v>
      </c>
    </row>
    <row r="452" spans="1:30" x14ac:dyDescent="0.3">
      <c r="A452" t="s">
        <v>581</v>
      </c>
      <c r="B452" t="s">
        <v>2668</v>
      </c>
      <c r="C452" t="s">
        <v>2669</v>
      </c>
      <c r="D452" t="s">
        <v>2670</v>
      </c>
      <c r="E452" t="s">
        <v>16</v>
      </c>
      <c r="F452" t="s">
        <v>1558</v>
      </c>
      <c r="G452" s="2">
        <v>0.61805555555555558</v>
      </c>
      <c r="H452" t="s">
        <v>1200</v>
      </c>
      <c r="I452" t="s">
        <v>1201</v>
      </c>
      <c r="J452" t="s">
        <v>1752</v>
      </c>
      <c r="L452" t="s">
        <v>1283</v>
      </c>
      <c r="X452" t="s">
        <v>498</v>
      </c>
      <c r="Y452">
        <v>0</v>
      </c>
      <c r="Z452" t="s">
        <v>1228</v>
      </c>
    </row>
    <row r="453" spans="1:30" x14ac:dyDescent="0.3">
      <c r="A453" t="s">
        <v>581</v>
      </c>
      <c r="B453" t="s">
        <v>2671</v>
      </c>
      <c r="C453" t="s">
        <v>2672</v>
      </c>
      <c r="D453" t="s">
        <v>2673</v>
      </c>
      <c r="E453" t="s">
        <v>16</v>
      </c>
      <c r="F453" t="s">
        <v>1358</v>
      </c>
      <c r="G453" s="2">
        <v>0.61111111111111105</v>
      </c>
      <c r="H453" t="s">
        <v>1200</v>
      </c>
      <c r="I453" t="s">
        <v>1201</v>
      </c>
      <c r="J453" t="s">
        <v>1730</v>
      </c>
      <c r="K453" t="s">
        <v>1250</v>
      </c>
      <c r="X453" t="s">
        <v>498</v>
      </c>
      <c r="Y453">
        <v>2</v>
      </c>
      <c r="Z453" t="s">
        <v>1228</v>
      </c>
    </row>
    <row r="454" spans="1:30" x14ac:dyDescent="0.3">
      <c r="A454" t="s">
        <v>581</v>
      </c>
      <c r="B454" t="s">
        <v>2674</v>
      </c>
      <c r="C454" t="s">
        <v>2675</v>
      </c>
      <c r="D454" t="s">
        <v>2676</v>
      </c>
      <c r="E454" t="s">
        <v>16</v>
      </c>
      <c r="F454" t="s">
        <v>1362</v>
      </c>
      <c r="G454" s="2">
        <v>0.60416666666666663</v>
      </c>
      <c r="H454" t="s">
        <v>1200</v>
      </c>
      <c r="I454" t="s">
        <v>1201</v>
      </c>
      <c r="J454" t="s">
        <v>1730</v>
      </c>
      <c r="K454" t="s">
        <v>1250</v>
      </c>
      <c r="X454" t="s">
        <v>525</v>
      </c>
      <c r="Y454">
        <v>2</v>
      </c>
      <c r="Z454" t="s">
        <v>1266</v>
      </c>
      <c r="AB454" t="s">
        <v>546</v>
      </c>
      <c r="AC454">
        <v>3</v>
      </c>
      <c r="AD454" t="s">
        <v>1266</v>
      </c>
    </row>
    <row r="455" spans="1:30" x14ac:dyDescent="0.3">
      <c r="A455" t="s">
        <v>581</v>
      </c>
      <c r="B455" t="s">
        <v>2677</v>
      </c>
      <c r="C455" t="s">
        <v>2678</v>
      </c>
      <c r="D455" t="s">
        <v>2679</v>
      </c>
      <c r="E455" t="s">
        <v>16</v>
      </c>
      <c r="F455" t="s">
        <v>1367</v>
      </c>
      <c r="G455" s="2">
        <v>0.59722222222222221</v>
      </c>
      <c r="H455" t="s">
        <v>1200</v>
      </c>
      <c r="I455" t="s">
        <v>1201</v>
      </c>
      <c r="J455" t="s">
        <v>1730</v>
      </c>
      <c r="M455" t="s">
        <v>1216</v>
      </c>
      <c r="X455" t="s">
        <v>525</v>
      </c>
      <c r="Y455">
        <v>2</v>
      </c>
      <c r="Z455" t="s">
        <v>1245</v>
      </c>
      <c r="AB455" t="s">
        <v>498</v>
      </c>
      <c r="AC455">
        <v>2</v>
      </c>
      <c r="AD455" t="s">
        <v>2047</v>
      </c>
    </row>
    <row r="456" spans="1:30" x14ac:dyDescent="0.3">
      <c r="A456" t="s">
        <v>581</v>
      </c>
      <c r="B456" t="s">
        <v>2680</v>
      </c>
      <c r="C456" t="s">
        <v>2681</v>
      </c>
      <c r="D456" t="s">
        <v>2682</v>
      </c>
      <c r="E456" t="s">
        <v>16</v>
      </c>
      <c r="F456" t="s">
        <v>1371</v>
      </c>
      <c r="G456" s="2">
        <v>0.59027777777777779</v>
      </c>
      <c r="H456" t="s">
        <v>1200</v>
      </c>
      <c r="I456" t="s">
        <v>1201</v>
      </c>
      <c r="J456" t="s">
        <v>1730</v>
      </c>
      <c r="M456" t="s">
        <v>1216</v>
      </c>
      <c r="X456" t="s">
        <v>525</v>
      </c>
      <c r="Y456">
        <v>2</v>
      </c>
      <c r="Z456" t="s">
        <v>1217</v>
      </c>
      <c r="AB456" t="s">
        <v>498</v>
      </c>
      <c r="AC456">
        <v>2</v>
      </c>
      <c r="AD456" t="s">
        <v>1217</v>
      </c>
    </row>
    <row r="457" spans="1:30" x14ac:dyDescent="0.3">
      <c r="A457" t="s">
        <v>581</v>
      </c>
      <c r="B457" t="s">
        <v>2683</v>
      </c>
      <c r="C457" t="s">
        <v>2684</v>
      </c>
      <c r="D457" t="s">
        <v>2685</v>
      </c>
      <c r="E457" t="s">
        <v>16</v>
      </c>
      <c r="F457" t="s">
        <v>1199</v>
      </c>
      <c r="G457" s="2">
        <v>0.58333333333333337</v>
      </c>
      <c r="H457" t="s">
        <v>1200</v>
      </c>
      <c r="I457" t="s">
        <v>1201</v>
      </c>
      <c r="J457" t="s">
        <v>1730</v>
      </c>
      <c r="K457" t="s">
        <v>1250</v>
      </c>
      <c r="X457" t="s">
        <v>498</v>
      </c>
      <c r="Y457">
        <v>2</v>
      </c>
      <c r="Z457" t="s">
        <v>1595</v>
      </c>
      <c r="AB457" t="s">
        <v>525</v>
      </c>
      <c r="AC457">
        <v>4</v>
      </c>
      <c r="AD457" t="s">
        <v>1266</v>
      </c>
    </row>
    <row r="458" spans="1:30" x14ac:dyDescent="0.3">
      <c r="A458" t="s">
        <v>581</v>
      </c>
      <c r="B458" t="s">
        <v>2686</v>
      </c>
      <c r="C458" t="s">
        <v>2687</v>
      </c>
      <c r="D458" t="s">
        <v>2688</v>
      </c>
      <c r="E458" t="s">
        <v>16</v>
      </c>
      <c r="F458" t="s">
        <v>1207</v>
      </c>
      <c r="G458" s="2">
        <v>0.57638888888888895</v>
      </c>
      <c r="H458" t="s">
        <v>1200</v>
      </c>
      <c r="I458" t="s">
        <v>1201</v>
      </c>
      <c r="J458" t="s">
        <v>1730</v>
      </c>
      <c r="K458" t="s">
        <v>1250</v>
      </c>
      <c r="X458" t="s">
        <v>525</v>
      </c>
      <c r="Y458">
        <v>2</v>
      </c>
      <c r="Z458" t="s">
        <v>1266</v>
      </c>
      <c r="AB458" t="s">
        <v>776</v>
      </c>
      <c r="AC458">
        <v>2</v>
      </c>
      <c r="AD458" t="s">
        <v>1228</v>
      </c>
    </row>
    <row r="459" spans="1:30" x14ac:dyDescent="0.3">
      <c r="A459" t="s">
        <v>581</v>
      </c>
      <c r="B459" t="s">
        <v>2689</v>
      </c>
      <c r="C459" t="s">
        <v>2690</v>
      </c>
      <c r="D459" t="s">
        <v>2691</v>
      </c>
      <c r="E459" t="s">
        <v>16</v>
      </c>
      <c r="F459" t="s">
        <v>1211</v>
      </c>
      <c r="G459" s="2">
        <v>0.56944444444444442</v>
      </c>
      <c r="H459" t="s">
        <v>1200</v>
      </c>
      <c r="I459" t="s">
        <v>1201</v>
      </c>
      <c r="J459" t="s">
        <v>1730</v>
      </c>
      <c r="L459" t="s">
        <v>1202</v>
      </c>
      <c r="X459" t="s">
        <v>525</v>
      </c>
      <c r="Y459">
        <v>0</v>
      </c>
      <c r="Z459" t="s">
        <v>1228</v>
      </c>
    </row>
    <row r="460" spans="1:30" x14ac:dyDescent="0.3">
      <c r="A460" t="s">
        <v>585</v>
      </c>
      <c r="B460" t="s">
        <v>2692</v>
      </c>
      <c r="C460" t="s">
        <v>2693</v>
      </c>
      <c r="D460" t="s">
        <v>2694</v>
      </c>
      <c r="E460" t="s">
        <v>16</v>
      </c>
      <c r="F460" t="s">
        <v>1221</v>
      </c>
      <c r="G460" s="2">
        <v>0.55555555555555558</v>
      </c>
      <c r="H460" t="s">
        <v>1200</v>
      </c>
      <c r="I460" t="s">
        <v>1201</v>
      </c>
      <c r="R460" t="s">
        <v>1681</v>
      </c>
      <c r="S460" t="s">
        <v>1224</v>
      </c>
      <c r="T460" t="s">
        <v>1225</v>
      </c>
      <c r="V460" t="s">
        <v>2121</v>
      </c>
      <c r="W460" t="s">
        <v>1677</v>
      </c>
    </row>
    <row r="461" spans="1:30" x14ac:dyDescent="0.3">
      <c r="A461" t="s">
        <v>585</v>
      </c>
      <c r="B461" t="s">
        <v>2695</v>
      </c>
      <c r="C461" t="s">
        <v>2696</v>
      </c>
      <c r="D461" t="s">
        <v>2697</v>
      </c>
      <c r="E461" t="s">
        <v>16</v>
      </c>
      <c r="F461" t="s">
        <v>1232</v>
      </c>
      <c r="G461" s="2">
        <v>0.54861111111111105</v>
      </c>
      <c r="H461" t="s">
        <v>1200</v>
      </c>
      <c r="I461" t="s">
        <v>1201</v>
      </c>
      <c r="L461" t="s">
        <v>1363</v>
      </c>
    </row>
    <row r="462" spans="1:30" x14ac:dyDescent="0.3">
      <c r="A462" t="s">
        <v>585</v>
      </c>
      <c r="B462" t="s">
        <v>2698</v>
      </c>
      <c r="C462" t="s">
        <v>2699</v>
      </c>
      <c r="D462" t="s">
        <v>2700</v>
      </c>
      <c r="E462" t="s">
        <v>16</v>
      </c>
      <c r="F462" t="s">
        <v>1236</v>
      </c>
      <c r="G462" s="2">
        <v>0.54166666666666663</v>
      </c>
      <c r="H462" t="s">
        <v>1200</v>
      </c>
      <c r="I462" t="s">
        <v>1201</v>
      </c>
      <c r="L462" t="s">
        <v>1363</v>
      </c>
    </row>
    <row r="463" spans="1:30" x14ac:dyDescent="0.3">
      <c r="A463" t="s">
        <v>585</v>
      </c>
      <c r="B463" t="s">
        <v>2701</v>
      </c>
      <c r="C463" t="s">
        <v>2702</v>
      </c>
      <c r="D463" t="s">
        <v>2703</v>
      </c>
      <c r="E463" t="s">
        <v>16</v>
      </c>
      <c r="F463" t="s">
        <v>1240</v>
      </c>
      <c r="G463" s="2">
        <v>0.53472222222222221</v>
      </c>
      <c r="H463" t="s">
        <v>1200</v>
      </c>
      <c r="I463" t="s">
        <v>1201</v>
      </c>
      <c r="L463" t="s">
        <v>1363</v>
      </c>
    </row>
    <row r="464" spans="1:30" x14ac:dyDescent="0.3">
      <c r="A464" t="s">
        <v>585</v>
      </c>
      <c r="B464" t="s">
        <v>2704</v>
      </c>
      <c r="C464" t="s">
        <v>2705</v>
      </c>
      <c r="D464" t="s">
        <v>2706</v>
      </c>
      <c r="E464" t="s">
        <v>16</v>
      </c>
      <c r="F464" t="s">
        <v>1244</v>
      </c>
      <c r="G464" s="2">
        <v>0.52777777777777779</v>
      </c>
      <c r="H464" t="s">
        <v>1200</v>
      </c>
      <c r="I464" t="s">
        <v>1201</v>
      </c>
      <c r="L464" t="s">
        <v>1363</v>
      </c>
    </row>
    <row r="465" spans="1:33" x14ac:dyDescent="0.3">
      <c r="A465" t="s">
        <v>585</v>
      </c>
      <c r="B465" t="s">
        <v>2707</v>
      </c>
      <c r="C465" t="s">
        <v>2708</v>
      </c>
      <c r="D465" t="s">
        <v>2709</v>
      </c>
      <c r="E465" t="s">
        <v>16</v>
      </c>
      <c r="F465" t="s">
        <v>1249</v>
      </c>
      <c r="G465" s="2">
        <v>0.52083333333333337</v>
      </c>
      <c r="H465" t="s">
        <v>1200</v>
      </c>
      <c r="I465" t="s">
        <v>1201</v>
      </c>
      <c r="L465" t="s">
        <v>1363</v>
      </c>
    </row>
    <row r="466" spans="1:33" x14ac:dyDescent="0.3">
      <c r="A466" t="s">
        <v>585</v>
      </c>
      <c r="B466" t="s">
        <v>2710</v>
      </c>
      <c r="C466" t="s">
        <v>2711</v>
      </c>
      <c r="D466" t="s">
        <v>2712</v>
      </c>
      <c r="E466" t="s">
        <v>16</v>
      </c>
      <c r="F466" t="s">
        <v>1406</v>
      </c>
      <c r="G466" s="2">
        <v>0.51388888888888895</v>
      </c>
      <c r="H466" t="s">
        <v>1200</v>
      </c>
      <c r="I466" t="s">
        <v>1201</v>
      </c>
      <c r="L466" t="s">
        <v>1363</v>
      </c>
    </row>
    <row r="467" spans="1:33" x14ac:dyDescent="0.3">
      <c r="A467" t="s">
        <v>585</v>
      </c>
      <c r="B467" t="s">
        <v>2713</v>
      </c>
      <c r="C467" t="s">
        <v>2714</v>
      </c>
      <c r="D467" t="s">
        <v>2715</v>
      </c>
      <c r="E467" t="s">
        <v>16</v>
      </c>
      <c r="F467" t="s">
        <v>1254</v>
      </c>
      <c r="G467" s="2">
        <v>0.50694444444444442</v>
      </c>
      <c r="H467" t="s">
        <v>1200</v>
      </c>
      <c r="I467" t="s">
        <v>1201</v>
      </c>
      <c r="L467" t="s">
        <v>1363</v>
      </c>
    </row>
    <row r="468" spans="1:33" x14ac:dyDescent="0.3">
      <c r="A468" t="s">
        <v>585</v>
      </c>
      <c r="B468" t="s">
        <v>2716</v>
      </c>
      <c r="C468" t="s">
        <v>2717</v>
      </c>
      <c r="D468" t="s">
        <v>2718</v>
      </c>
      <c r="E468" t="s">
        <v>16</v>
      </c>
      <c r="F468" t="s">
        <v>1259</v>
      </c>
      <c r="G468" s="2">
        <v>0.5</v>
      </c>
      <c r="H468" t="s">
        <v>1200</v>
      </c>
      <c r="I468" t="s">
        <v>1201</v>
      </c>
      <c r="K468" t="s">
        <v>1250</v>
      </c>
    </row>
    <row r="469" spans="1:33" x14ac:dyDescent="0.3">
      <c r="A469" t="s">
        <v>585</v>
      </c>
      <c r="B469" t="s">
        <v>2719</v>
      </c>
      <c r="C469" t="s">
        <v>2720</v>
      </c>
      <c r="D469" t="s">
        <v>2721</v>
      </c>
      <c r="E469" t="s">
        <v>16</v>
      </c>
      <c r="F469" t="s">
        <v>1265</v>
      </c>
      <c r="G469" s="2">
        <v>0.49305555555555558</v>
      </c>
      <c r="H469" t="s">
        <v>1200</v>
      </c>
      <c r="I469" t="s">
        <v>1201</v>
      </c>
      <c r="K469" t="s">
        <v>1250</v>
      </c>
    </row>
    <row r="470" spans="1:33" x14ac:dyDescent="0.3">
      <c r="A470" t="s">
        <v>585</v>
      </c>
      <c r="B470" t="s">
        <v>2722</v>
      </c>
      <c r="C470" t="s">
        <v>2723</v>
      </c>
      <c r="D470" t="s">
        <v>2724</v>
      </c>
      <c r="E470" t="s">
        <v>16</v>
      </c>
      <c r="F470" t="s">
        <v>1270</v>
      </c>
      <c r="G470" s="2">
        <v>0.4861111111111111</v>
      </c>
      <c r="H470" t="s">
        <v>1200</v>
      </c>
      <c r="I470" t="s">
        <v>1201</v>
      </c>
      <c r="M470" t="s">
        <v>1292</v>
      </c>
    </row>
    <row r="471" spans="1:33" x14ac:dyDescent="0.3">
      <c r="A471" t="s">
        <v>585</v>
      </c>
      <c r="B471" t="s">
        <v>2725</v>
      </c>
      <c r="C471" t="s">
        <v>2726</v>
      </c>
      <c r="D471" t="s">
        <v>2727</v>
      </c>
      <c r="E471" t="s">
        <v>16</v>
      </c>
      <c r="F471" t="s">
        <v>1274</v>
      </c>
      <c r="G471" s="2">
        <v>0.47916666666666669</v>
      </c>
      <c r="H471" t="s">
        <v>1200</v>
      </c>
      <c r="I471" t="s">
        <v>1201</v>
      </c>
      <c r="M471" t="s">
        <v>1292</v>
      </c>
    </row>
    <row r="472" spans="1:33" x14ac:dyDescent="0.3">
      <c r="A472" t="s">
        <v>585</v>
      </c>
      <c r="B472" t="s">
        <v>2728</v>
      </c>
      <c r="C472" t="s">
        <v>2729</v>
      </c>
      <c r="D472" t="s">
        <v>2730</v>
      </c>
      <c r="E472" t="s">
        <v>16</v>
      </c>
      <c r="F472" t="s">
        <v>1278</v>
      </c>
      <c r="G472" s="2">
        <v>0.47222222222222227</v>
      </c>
      <c r="H472" t="s">
        <v>1200</v>
      </c>
      <c r="I472" t="s">
        <v>1201</v>
      </c>
      <c r="L472" t="s">
        <v>1202</v>
      </c>
      <c r="X472" t="s">
        <v>546</v>
      </c>
      <c r="Y472">
        <v>3</v>
      </c>
      <c r="Z472" t="s">
        <v>1203</v>
      </c>
      <c r="AB472" t="s">
        <v>1100</v>
      </c>
      <c r="AC472">
        <v>3</v>
      </c>
      <c r="AD472" t="s">
        <v>1203</v>
      </c>
    </row>
    <row r="473" spans="1:33" x14ac:dyDescent="0.3">
      <c r="A473" t="s">
        <v>585</v>
      </c>
      <c r="B473" t="s">
        <v>2731</v>
      </c>
      <c r="C473" t="s">
        <v>2732</v>
      </c>
      <c r="D473" t="s">
        <v>2733</v>
      </c>
      <c r="E473" t="s">
        <v>16</v>
      </c>
      <c r="F473" t="s">
        <v>1282</v>
      </c>
      <c r="G473" s="2">
        <v>0.46527777777777773</v>
      </c>
      <c r="H473" t="s">
        <v>1200</v>
      </c>
      <c r="I473" t="s">
        <v>1201</v>
      </c>
      <c r="L473" t="s">
        <v>1202</v>
      </c>
      <c r="X473" t="s">
        <v>546</v>
      </c>
      <c r="Y473">
        <v>3</v>
      </c>
      <c r="Z473" t="s">
        <v>1203</v>
      </c>
      <c r="AB473" t="s">
        <v>1100</v>
      </c>
      <c r="AC473">
        <v>3</v>
      </c>
      <c r="AD473" t="s">
        <v>1203</v>
      </c>
    </row>
    <row r="474" spans="1:33" x14ac:dyDescent="0.3">
      <c r="A474" t="s">
        <v>585</v>
      </c>
      <c r="B474" s="3" t="s">
        <v>2734</v>
      </c>
      <c r="C474" t="s">
        <v>2735</v>
      </c>
      <c r="D474" t="s">
        <v>2736</v>
      </c>
      <c r="E474" t="s">
        <v>16</v>
      </c>
      <c r="F474" t="s">
        <v>1287</v>
      </c>
      <c r="G474" s="2">
        <v>0.45833333333333331</v>
      </c>
      <c r="H474" t="s">
        <v>1200</v>
      </c>
      <c r="I474" t="s">
        <v>1201</v>
      </c>
      <c r="L474" t="s">
        <v>1202</v>
      </c>
      <c r="X474" t="s">
        <v>546</v>
      </c>
      <c r="Y474">
        <v>3</v>
      </c>
      <c r="Z474" t="s">
        <v>1203</v>
      </c>
      <c r="AB474" t="s">
        <v>1100</v>
      </c>
      <c r="AC474">
        <v>3</v>
      </c>
      <c r="AD474" t="s">
        <v>1203</v>
      </c>
    </row>
    <row r="475" spans="1:33" x14ac:dyDescent="0.3">
      <c r="A475" t="s">
        <v>585</v>
      </c>
      <c r="B475" t="s">
        <v>2737</v>
      </c>
      <c r="C475" t="s">
        <v>2738</v>
      </c>
      <c r="D475" t="s">
        <v>2739</v>
      </c>
      <c r="E475" t="s">
        <v>16</v>
      </c>
      <c r="F475" t="s">
        <v>1291</v>
      </c>
      <c r="G475" s="2">
        <v>0.4513888888888889</v>
      </c>
      <c r="H475" t="s">
        <v>1200</v>
      </c>
      <c r="I475" t="s">
        <v>1201</v>
      </c>
      <c r="L475" t="s">
        <v>1202</v>
      </c>
      <c r="X475" t="s">
        <v>546</v>
      </c>
      <c r="Y475">
        <v>3</v>
      </c>
      <c r="Z475" t="s">
        <v>1203</v>
      </c>
      <c r="AB475" t="s">
        <v>1100</v>
      </c>
      <c r="AC475">
        <v>3</v>
      </c>
      <c r="AD475" t="s">
        <v>1203</v>
      </c>
    </row>
    <row r="476" spans="1:33" x14ac:dyDescent="0.3">
      <c r="A476" t="s">
        <v>585</v>
      </c>
      <c r="B476" t="s">
        <v>2740</v>
      </c>
      <c r="C476" t="s">
        <v>2741</v>
      </c>
      <c r="D476" t="s">
        <v>2742</v>
      </c>
      <c r="E476" t="s">
        <v>16</v>
      </c>
      <c r="F476" t="s">
        <v>1296</v>
      </c>
      <c r="G476" s="2">
        <v>0.44444444444444442</v>
      </c>
      <c r="H476" t="s">
        <v>1200</v>
      </c>
      <c r="I476" t="s">
        <v>1201</v>
      </c>
      <c r="L476" t="s">
        <v>1202</v>
      </c>
      <c r="X476" t="s">
        <v>546</v>
      </c>
      <c r="Y476">
        <v>3</v>
      </c>
      <c r="Z476" t="s">
        <v>1203</v>
      </c>
      <c r="AB476" t="s">
        <v>1100</v>
      </c>
      <c r="AC476">
        <v>3</v>
      </c>
      <c r="AD476" t="s">
        <v>1203</v>
      </c>
    </row>
    <row r="477" spans="1:33" x14ac:dyDescent="0.3">
      <c r="A477" t="s">
        <v>585</v>
      </c>
      <c r="B477" t="s">
        <v>2743</v>
      </c>
      <c r="C477" t="s">
        <v>2744</v>
      </c>
      <c r="D477" t="s">
        <v>2745</v>
      </c>
      <c r="E477" t="s">
        <v>16</v>
      </c>
      <c r="F477" t="s">
        <v>1300</v>
      </c>
      <c r="G477" s="2">
        <v>0.4375</v>
      </c>
      <c r="H477" t="s">
        <v>1200</v>
      </c>
      <c r="I477" t="s">
        <v>1201</v>
      </c>
      <c r="L477" t="s">
        <v>1202</v>
      </c>
      <c r="X477" t="s">
        <v>546</v>
      </c>
      <c r="Y477">
        <v>3</v>
      </c>
      <c r="Z477" t="s">
        <v>1203</v>
      </c>
      <c r="AB477" t="s">
        <v>1100</v>
      </c>
      <c r="AC477">
        <v>3</v>
      </c>
      <c r="AD477" t="s">
        <v>1203</v>
      </c>
    </row>
    <row r="478" spans="1:33" x14ac:dyDescent="0.3">
      <c r="A478" t="s">
        <v>585</v>
      </c>
      <c r="B478" t="s">
        <v>2746</v>
      </c>
      <c r="C478" t="s">
        <v>2747</v>
      </c>
      <c r="D478" t="s">
        <v>2748</v>
      </c>
      <c r="E478" t="s">
        <v>16</v>
      </c>
      <c r="F478" t="s">
        <v>1443</v>
      </c>
      <c r="G478" s="2">
        <v>0.43055555555555558</v>
      </c>
      <c r="H478" t="s">
        <v>1200</v>
      </c>
      <c r="I478" t="s">
        <v>1201</v>
      </c>
      <c r="L478" t="s">
        <v>1202</v>
      </c>
      <c r="X478" t="s">
        <v>525</v>
      </c>
      <c r="Y478">
        <v>4</v>
      </c>
      <c r="Z478" t="s">
        <v>1203</v>
      </c>
    </row>
    <row r="479" spans="1:33" x14ac:dyDescent="0.3">
      <c r="A479" t="s">
        <v>585</v>
      </c>
      <c r="B479" t="s">
        <v>2749</v>
      </c>
      <c r="C479" t="s">
        <v>2750</v>
      </c>
      <c r="D479" t="s">
        <v>2751</v>
      </c>
      <c r="E479" t="s">
        <v>16</v>
      </c>
      <c r="F479" t="s">
        <v>1447</v>
      </c>
      <c r="G479" s="2">
        <v>0.4236111111111111</v>
      </c>
      <c r="H479" t="s">
        <v>1200</v>
      </c>
      <c r="I479" t="s">
        <v>1201</v>
      </c>
      <c r="L479" t="s">
        <v>1202</v>
      </c>
      <c r="X479" t="s">
        <v>525</v>
      </c>
      <c r="Y479">
        <v>3</v>
      </c>
      <c r="Z479" t="s">
        <v>1203</v>
      </c>
    </row>
    <row r="480" spans="1:33" x14ac:dyDescent="0.3">
      <c r="A480" t="s">
        <v>585</v>
      </c>
      <c r="B480" t="s">
        <v>2752</v>
      </c>
      <c r="C480" t="s">
        <v>2753</v>
      </c>
      <c r="D480" t="s">
        <v>2754</v>
      </c>
      <c r="E480" t="s">
        <v>16</v>
      </c>
      <c r="F480" t="s">
        <v>1451</v>
      </c>
      <c r="G480" s="2">
        <v>0.41666666666666669</v>
      </c>
      <c r="H480" t="s">
        <v>1200</v>
      </c>
      <c r="I480" t="s">
        <v>1201</v>
      </c>
      <c r="L480" t="s">
        <v>1202</v>
      </c>
      <c r="X480" t="s">
        <v>525</v>
      </c>
      <c r="Y480">
        <v>2</v>
      </c>
      <c r="Z480" t="s">
        <v>1245</v>
      </c>
      <c r="AB480" t="s">
        <v>1100</v>
      </c>
      <c r="AC480">
        <v>3</v>
      </c>
      <c r="AD480" t="s">
        <v>1203</v>
      </c>
      <c r="AE480" t="s">
        <v>546</v>
      </c>
      <c r="AF480">
        <v>3</v>
      </c>
      <c r="AG480" t="s">
        <v>1203</v>
      </c>
    </row>
    <row r="481" spans="1:33" x14ac:dyDescent="0.3">
      <c r="A481" t="s">
        <v>585</v>
      </c>
      <c r="B481" t="s">
        <v>2755</v>
      </c>
      <c r="C481" t="s">
        <v>2756</v>
      </c>
      <c r="D481" t="s">
        <v>2757</v>
      </c>
      <c r="E481" t="s">
        <v>16</v>
      </c>
      <c r="F481" t="s">
        <v>1455</v>
      </c>
      <c r="G481" s="2">
        <v>0.40972222222222227</v>
      </c>
      <c r="H481" t="s">
        <v>1200</v>
      </c>
      <c r="I481" t="s">
        <v>1201</v>
      </c>
      <c r="L481" t="s">
        <v>1202</v>
      </c>
    </row>
    <row r="482" spans="1:33" x14ac:dyDescent="0.3">
      <c r="A482" t="s">
        <v>585</v>
      </c>
      <c r="B482" t="s">
        <v>2758</v>
      </c>
      <c r="C482" t="s">
        <v>2759</v>
      </c>
      <c r="D482" t="s">
        <v>2760</v>
      </c>
      <c r="E482" t="s">
        <v>16</v>
      </c>
      <c r="F482" t="s">
        <v>1459</v>
      </c>
      <c r="G482" s="2">
        <v>0.40277777777777773</v>
      </c>
      <c r="H482" t="s">
        <v>1200</v>
      </c>
      <c r="I482" t="s">
        <v>1201</v>
      </c>
      <c r="L482" t="s">
        <v>1202</v>
      </c>
      <c r="X482" t="s">
        <v>525</v>
      </c>
      <c r="Y482">
        <v>2</v>
      </c>
      <c r="Z482" t="s">
        <v>1245</v>
      </c>
      <c r="AB482" t="s">
        <v>1100</v>
      </c>
      <c r="AC482">
        <v>3</v>
      </c>
      <c r="AD482" t="s">
        <v>1245</v>
      </c>
      <c r="AE482" t="s">
        <v>546</v>
      </c>
      <c r="AF482">
        <v>3</v>
      </c>
      <c r="AG482" t="s">
        <v>1245</v>
      </c>
    </row>
    <row r="483" spans="1:33" x14ac:dyDescent="0.3">
      <c r="A483" t="s">
        <v>585</v>
      </c>
      <c r="B483" t="s">
        <v>2761</v>
      </c>
      <c r="C483" t="s">
        <v>2762</v>
      </c>
      <c r="D483" t="s">
        <v>2763</v>
      </c>
      <c r="E483" t="s">
        <v>16</v>
      </c>
      <c r="F483" t="s">
        <v>1463</v>
      </c>
      <c r="G483" s="2">
        <v>0.39583333333333331</v>
      </c>
      <c r="H483" t="s">
        <v>1200</v>
      </c>
      <c r="I483" t="s">
        <v>1201</v>
      </c>
      <c r="L483" t="s">
        <v>1222</v>
      </c>
      <c r="X483" t="s">
        <v>525</v>
      </c>
      <c r="Y483">
        <v>3</v>
      </c>
      <c r="Z483" t="s">
        <v>1245</v>
      </c>
      <c r="AB483" t="s">
        <v>1100</v>
      </c>
      <c r="AC483">
        <v>3</v>
      </c>
      <c r="AD483" t="s">
        <v>1245</v>
      </c>
      <c r="AE483" t="s">
        <v>546</v>
      </c>
      <c r="AF483">
        <v>3</v>
      </c>
      <c r="AG483" t="s">
        <v>1245</v>
      </c>
    </row>
    <row r="484" spans="1:33" x14ac:dyDescent="0.3">
      <c r="A484" t="s">
        <v>585</v>
      </c>
      <c r="B484" t="s">
        <v>2764</v>
      </c>
      <c r="C484" t="s">
        <v>2765</v>
      </c>
      <c r="D484" t="s">
        <v>2766</v>
      </c>
      <c r="E484" t="s">
        <v>16</v>
      </c>
      <c r="F484" t="s">
        <v>1469</v>
      </c>
      <c r="G484" s="2">
        <v>0.3888888888888889</v>
      </c>
      <c r="H484" t="s">
        <v>1200</v>
      </c>
      <c r="I484" t="s">
        <v>1201</v>
      </c>
      <c r="L484" t="s">
        <v>1222</v>
      </c>
      <c r="S484" t="s">
        <v>1224</v>
      </c>
      <c r="T484" t="s">
        <v>1676</v>
      </c>
      <c r="V484" t="s">
        <v>2767</v>
      </c>
      <c r="W484" t="s">
        <v>2149</v>
      </c>
      <c r="X484" t="s">
        <v>525</v>
      </c>
      <c r="Y484">
        <v>2</v>
      </c>
      <c r="Z484" t="s">
        <v>1217</v>
      </c>
      <c r="AB484" t="s">
        <v>546</v>
      </c>
      <c r="AC484">
        <v>3</v>
      </c>
      <c r="AD484" t="s">
        <v>1245</v>
      </c>
      <c r="AE484" t="s">
        <v>1100</v>
      </c>
      <c r="AF484">
        <v>3</v>
      </c>
      <c r="AG484" t="s">
        <v>1245</v>
      </c>
    </row>
    <row r="485" spans="1:33" x14ac:dyDescent="0.3">
      <c r="A485" t="s">
        <v>585</v>
      </c>
      <c r="B485" t="s">
        <v>2768</v>
      </c>
      <c r="C485" t="s">
        <v>2769</v>
      </c>
      <c r="D485" t="s">
        <v>2770</v>
      </c>
      <c r="E485" t="s">
        <v>16</v>
      </c>
      <c r="F485" t="s">
        <v>1473</v>
      </c>
      <c r="G485" s="2">
        <v>0.38194444444444442</v>
      </c>
      <c r="H485" t="s">
        <v>1200</v>
      </c>
      <c r="I485" t="s">
        <v>1201</v>
      </c>
      <c r="L485" t="s">
        <v>1222</v>
      </c>
      <c r="R485" t="s">
        <v>1223</v>
      </c>
      <c r="S485" t="s">
        <v>1224</v>
      </c>
      <c r="T485" t="s">
        <v>1676</v>
      </c>
      <c r="V485" t="s">
        <v>1226</v>
      </c>
      <c r="W485" t="s">
        <v>1227</v>
      </c>
    </row>
    <row r="486" spans="1:33" x14ac:dyDescent="0.3">
      <c r="A486" t="s">
        <v>585</v>
      </c>
      <c r="B486" t="s">
        <v>2771</v>
      </c>
      <c r="C486" t="s">
        <v>2772</v>
      </c>
      <c r="D486" t="s">
        <v>2773</v>
      </c>
      <c r="E486" t="s">
        <v>16</v>
      </c>
      <c r="F486" t="s">
        <v>1477</v>
      </c>
      <c r="G486" s="2">
        <v>0.375</v>
      </c>
      <c r="H486" t="s">
        <v>1200</v>
      </c>
      <c r="I486" t="s">
        <v>1201</v>
      </c>
      <c r="L486" t="s">
        <v>1222</v>
      </c>
      <c r="R486" t="s">
        <v>1223</v>
      </c>
      <c r="S486" t="s">
        <v>1224</v>
      </c>
      <c r="T486" t="s">
        <v>1676</v>
      </c>
      <c r="V486" t="s">
        <v>1226</v>
      </c>
      <c r="W486" t="s">
        <v>1227</v>
      </c>
    </row>
    <row r="487" spans="1:33" x14ac:dyDescent="0.3">
      <c r="A487" t="s">
        <v>585</v>
      </c>
      <c r="B487" t="s">
        <v>2774</v>
      </c>
      <c r="C487" t="s">
        <v>2775</v>
      </c>
      <c r="D487" t="s">
        <v>2776</v>
      </c>
      <c r="E487" t="s">
        <v>16</v>
      </c>
      <c r="F487" t="s">
        <v>1482</v>
      </c>
      <c r="G487" s="2">
        <v>0.36805555555555558</v>
      </c>
      <c r="H487" t="s">
        <v>1200</v>
      </c>
      <c r="I487" t="s">
        <v>1201</v>
      </c>
      <c r="M487" t="s">
        <v>1292</v>
      </c>
      <c r="R487" t="s">
        <v>1223</v>
      </c>
      <c r="S487" t="s">
        <v>1224</v>
      </c>
      <c r="T487" t="s">
        <v>1676</v>
      </c>
      <c r="V487" t="s">
        <v>1226</v>
      </c>
      <c r="W487" t="s">
        <v>1227</v>
      </c>
    </row>
    <row r="488" spans="1:33" x14ac:dyDescent="0.3">
      <c r="A488" t="s">
        <v>585</v>
      </c>
      <c r="B488" t="s">
        <v>2777</v>
      </c>
      <c r="C488" t="s">
        <v>2778</v>
      </c>
      <c r="D488" t="s">
        <v>2779</v>
      </c>
      <c r="E488" t="s">
        <v>16</v>
      </c>
      <c r="F488" t="s">
        <v>1486</v>
      </c>
      <c r="G488" s="2">
        <v>0.3611111111111111</v>
      </c>
      <c r="H488" t="s">
        <v>1200</v>
      </c>
      <c r="I488" t="s">
        <v>1201</v>
      </c>
      <c r="M488" t="s">
        <v>1292</v>
      </c>
    </row>
    <row r="489" spans="1:33" x14ac:dyDescent="0.3">
      <c r="A489" t="s">
        <v>585</v>
      </c>
      <c r="B489" t="s">
        <v>2780</v>
      </c>
      <c r="C489" t="s">
        <v>2781</v>
      </c>
      <c r="D489" t="s">
        <v>2782</v>
      </c>
      <c r="E489" t="s">
        <v>16</v>
      </c>
      <c r="F489" t="s">
        <v>1490</v>
      </c>
      <c r="G489" s="2">
        <v>0.35416666666666669</v>
      </c>
      <c r="H489" t="s">
        <v>1200</v>
      </c>
      <c r="I489" t="s">
        <v>1201</v>
      </c>
      <c r="M489" t="s">
        <v>1292</v>
      </c>
    </row>
    <row r="490" spans="1:33" x14ac:dyDescent="0.3">
      <c r="A490" t="s">
        <v>589</v>
      </c>
      <c r="B490" t="s">
        <v>2783</v>
      </c>
      <c r="C490" t="s">
        <v>2784</v>
      </c>
      <c r="D490" t="s">
        <v>2785</v>
      </c>
      <c r="E490" t="s">
        <v>16</v>
      </c>
      <c r="F490" t="s">
        <v>1304</v>
      </c>
      <c r="G490" s="2">
        <v>0.70833333333333337</v>
      </c>
      <c r="H490" t="s">
        <v>1200</v>
      </c>
      <c r="I490" t="s">
        <v>1201</v>
      </c>
      <c r="L490" t="s">
        <v>1363</v>
      </c>
    </row>
    <row r="491" spans="1:33" x14ac:dyDescent="0.3">
      <c r="A491" t="s">
        <v>589</v>
      </c>
      <c r="B491" t="s">
        <v>2786</v>
      </c>
      <c r="C491" t="s">
        <v>2787</v>
      </c>
      <c r="D491" t="s">
        <v>2788</v>
      </c>
      <c r="E491" t="s">
        <v>16</v>
      </c>
      <c r="F491" t="s">
        <v>1308</v>
      </c>
      <c r="G491" s="2">
        <v>0.70138888888888884</v>
      </c>
      <c r="H491" t="s">
        <v>1200</v>
      </c>
      <c r="I491" t="s">
        <v>1201</v>
      </c>
      <c r="L491" t="s">
        <v>1202</v>
      </c>
    </row>
    <row r="492" spans="1:33" x14ac:dyDescent="0.3">
      <c r="A492" t="s">
        <v>589</v>
      </c>
      <c r="B492" t="s">
        <v>2789</v>
      </c>
      <c r="C492" t="s">
        <v>2790</v>
      </c>
      <c r="D492" t="s">
        <v>2791</v>
      </c>
      <c r="E492" t="s">
        <v>16</v>
      </c>
      <c r="F492" t="s">
        <v>1313</v>
      </c>
      <c r="G492" s="2">
        <v>0.69444444444444453</v>
      </c>
      <c r="H492" t="s">
        <v>1200</v>
      </c>
      <c r="I492" t="s">
        <v>1201</v>
      </c>
      <c r="L492" t="s">
        <v>1202</v>
      </c>
    </row>
    <row r="493" spans="1:33" x14ac:dyDescent="0.3">
      <c r="A493" t="s">
        <v>589</v>
      </c>
      <c r="B493" t="s">
        <v>2792</v>
      </c>
      <c r="C493" t="s">
        <v>2793</v>
      </c>
      <c r="D493" t="s">
        <v>2794</v>
      </c>
      <c r="E493" t="s">
        <v>16</v>
      </c>
      <c r="F493" t="s">
        <v>1317</v>
      </c>
      <c r="G493" s="2">
        <v>0.6875</v>
      </c>
      <c r="H493" t="s">
        <v>1200</v>
      </c>
      <c r="I493" t="s">
        <v>1201</v>
      </c>
      <c r="M493" t="s">
        <v>1216</v>
      </c>
    </row>
    <row r="494" spans="1:33" x14ac:dyDescent="0.3">
      <c r="A494" t="s">
        <v>589</v>
      </c>
      <c r="B494" t="s">
        <v>2795</v>
      </c>
      <c r="C494" t="s">
        <v>2796</v>
      </c>
      <c r="D494" t="s">
        <v>2797</v>
      </c>
      <c r="E494" t="s">
        <v>16</v>
      </c>
      <c r="F494" t="s">
        <v>1321</v>
      </c>
      <c r="G494" s="2">
        <v>0.68055555555555547</v>
      </c>
      <c r="H494" t="s">
        <v>1200</v>
      </c>
      <c r="I494" t="s">
        <v>1201</v>
      </c>
      <c r="K494" t="s">
        <v>1250</v>
      </c>
    </row>
    <row r="495" spans="1:33" x14ac:dyDescent="0.3">
      <c r="A495" t="s">
        <v>589</v>
      </c>
      <c r="B495" t="s">
        <v>2798</v>
      </c>
      <c r="C495" t="s">
        <v>2799</v>
      </c>
      <c r="D495" t="s">
        <v>2800</v>
      </c>
      <c r="E495" t="s">
        <v>16</v>
      </c>
      <c r="F495" t="s">
        <v>1325</v>
      </c>
      <c r="G495" s="2">
        <v>0.67361111111111116</v>
      </c>
      <c r="H495" t="s">
        <v>1200</v>
      </c>
      <c r="I495" t="s">
        <v>1201</v>
      </c>
      <c r="M495" t="s">
        <v>1640</v>
      </c>
    </row>
    <row r="496" spans="1:33" x14ac:dyDescent="0.3">
      <c r="A496" t="s">
        <v>589</v>
      </c>
      <c r="B496" t="s">
        <v>2801</v>
      </c>
      <c r="C496" t="s">
        <v>2802</v>
      </c>
      <c r="D496" t="s">
        <v>2803</v>
      </c>
      <c r="E496" t="s">
        <v>16</v>
      </c>
      <c r="F496" t="s">
        <v>1329</v>
      </c>
      <c r="G496" s="2">
        <v>0.66666666666666663</v>
      </c>
      <c r="H496" t="s">
        <v>1200</v>
      </c>
      <c r="I496" t="s">
        <v>1201</v>
      </c>
      <c r="M496" t="s">
        <v>1292</v>
      </c>
    </row>
    <row r="497" spans="1:13" x14ac:dyDescent="0.3">
      <c r="A497" t="s">
        <v>589</v>
      </c>
      <c r="B497" t="s">
        <v>2804</v>
      </c>
      <c r="C497" t="s">
        <v>2805</v>
      </c>
      <c r="D497" t="s">
        <v>2806</v>
      </c>
      <c r="E497" t="s">
        <v>16</v>
      </c>
      <c r="F497" t="s">
        <v>1333</v>
      </c>
      <c r="G497" s="2">
        <v>0.65972222222222221</v>
      </c>
      <c r="H497" t="s">
        <v>1200</v>
      </c>
      <c r="I497" t="s">
        <v>1201</v>
      </c>
      <c r="K497" t="s">
        <v>1250</v>
      </c>
    </row>
    <row r="498" spans="1:13" x14ac:dyDescent="0.3">
      <c r="A498" t="s">
        <v>589</v>
      </c>
      <c r="B498" t="s">
        <v>2807</v>
      </c>
      <c r="C498" t="s">
        <v>2808</v>
      </c>
      <c r="D498" t="s">
        <v>2809</v>
      </c>
      <c r="E498" t="s">
        <v>16</v>
      </c>
      <c r="F498" t="s">
        <v>1338</v>
      </c>
      <c r="G498" s="2">
        <v>0.65277777777777779</v>
      </c>
      <c r="H498" t="s">
        <v>1200</v>
      </c>
      <c r="I498" t="s">
        <v>1201</v>
      </c>
      <c r="M498" t="s">
        <v>2810</v>
      </c>
    </row>
    <row r="499" spans="1:13" x14ac:dyDescent="0.3">
      <c r="A499" t="s">
        <v>589</v>
      </c>
      <c r="B499" s="3" t="s">
        <v>2811</v>
      </c>
      <c r="C499" t="s">
        <v>2812</v>
      </c>
      <c r="D499" t="s">
        <v>2813</v>
      </c>
      <c r="E499" t="s">
        <v>16</v>
      </c>
      <c r="F499" t="s">
        <v>1342</v>
      </c>
      <c r="G499" s="2">
        <v>0.64583333333333337</v>
      </c>
      <c r="H499" t="s">
        <v>1200</v>
      </c>
      <c r="I499" t="s">
        <v>1201</v>
      </c>
      <c r="K499" t="s">
        <v>1250</v>
      </c>
    </row>
    <row r="500" spans="1:13" x14ac:dyDescent="0.3">
      <c r="A500" t="s">
        <v>589</v>
      </c>
      <c r="B500" t="s">
        <v>2814</v>
      </c>
      <c r="C500" t="s">
        <v>2815</v>
      </c>
      <c r="D500" t="s">
        <v>2816</v>
      </c>
      <c r="E500" t="s">
        <v>16</v>
      </c>
      <c r="F500" t="s">
        <v>1346</v>
      </c>
      <c r="G500" s="2">
        <v>0.63888888888888895</v>
      </c>
      <c r="H500" t="s">
        <v>1200</v>
      </c>
      <c r="I500" t="s">
        <v>1201</v>
      </c>
      <c r="K500" t="s">
        <v>1250</v>
      </c>
    </row>
    <row r="501" spans="1:13" x14ac:dyDescent="0.3">
      <c r="A501" t="s">
        <v>589</v>
      </c>
      <c r="B501" t="s">
        <v>2817</v>
      </c>
      <c r="C501" t="s">
        <v>2818</v>
      </c>
      <c r="D501" t="s">
        <v>2819</v>
      </c>
      <c r="E501" t="s">
        <v>16</v>
      </c>
      <c r="F501" t="s">
        <v>1350</v>
      </c>
      <c r="G501" s="2">
        <v>0.63194444444444442</v>
      </c>
      <c r="H501" t="s">
        <v>1200</v>
      </c>
      <c r="I501" t="s">
        <v>1201</v>
      </c>
      <c r="L501" t="s">
        <v>1202</v>
      </c>
    </row>
    <row r="502" spans="1:13" x14ac:dyDescent="0.3">
      <c r="A502" t="s">
        <v>589</v>
      </c>
      <c r="B502" t="s">
        <v>2820</v>
      </c>
      <c r="C502" t="s">
        <v>2821</v>
      </c>
      <c r="D502" t="s">
        <v>2822</v>
      </c>
      <c r="E502" t="s">
        <v>16</v>
      </c>
      <c r="F502" t="s">
        <v>1354</v>
      </c>
      <c r="G502" s="2">
        <v>0.625</v>
      </c>
      <c r="H502" t="s">
        <v>1200</v>
      </c>
      <c r="I502" t="s">
        <v>1201</v>
      </c>
      <c r="L502" t="s">
        <v>1202</v>
      </c>
    </row>
    <row r="503" spans="1:13" x14ac:dyDescent="0.3">
      <c r="A503" t="s">
        <v>589</v>
      </c>
      <c r="B503" t="s">
        <v>2823</v>
      </c>
      <c r="C503" t="s">
        <v>2824</v>
      </c>
      <c r="D503" t="s">
        <v>2825</v>
      </c>
      <c r="E503" t="s">
        <v>16</v>
      </c>
      <c r="F503" t="s">
        <v>1354</v>
      </c>
      <c r="G503" s="2">
        <v>0.625</v>
      </c>
      <c r="H503" t="s">
        <v>1200</v>
      </c>
      <c r="I503" t="s">
        <v>1201</v>
      </c>
      <c r="L503" t="s">
        <v>1202</v>
      </c>
    </row>
    <row r="504" spans="1:13" x14ac:dyDescent="0.3">
      <c r="A504" t="s">
        <v>589</v>
      </c>
      <c r="B504" t="s">
        <v>2826</v>
      </c>
      <c r="C504" t="s">
        <v>2827</v>
      </c>
      <c r="D504" t="s">
        <v>2828</v>
      </c>
      <c r="E504" t="s">
        <v>16</v>
      </c>
      <c r="F504" t="s">
        <v>1558</v>
      </c>
      <c r="G504" s="2">
        <v>0.61805555555555558</v>
      </c>
      <c r="H504" t="s">
        <v>1200</v>
      </c>
      <c r="I504" t="s">
        <v>1201</v>
      </c>
      <c r="L504" t="s">
        <v>1202</v>
      </c>
    </row>
    <row r="505" spans="1:13" x14ac:dyDescent="0.3">
      <c r="A505" t="s">
        <v>589</v>
      </c>
      <c r="B505" t="s">
        <v>2829</v>
      </c>
      <c r="C505" t="s">
        <v>2830</v>
      </c>
      <c r="D505" t="s">
        <v>2831</v>
      </c>
      <c r="E505" t="s">
        <v>16</v>
      </c>
      <c r="F505" t="s">
        <v>1358</v>
      </c>
      <c r="G505" s="2">
        <v>0.61111111111111105</v>
      </c>
      <c r="H505" t="s">
        <v>1200</v>
      </c>
      <c r="I505" t="s">
        <v>1201</v>
      </c>
      <c r="L505" t="s">
        <v>1202</v>
      </c>
    </row>
    <row r="506" spans="1:13" x14ac:dyDescent="0.3">
      <c r="A506" t="s">
        <v>589</v>
      </c>
      <c r="B506" t="s">
        <v>2832</v>
      </c>
      <c r="C506" t="s">
        <v>2833</v>
      </c>
      <c r="D506" t="s">
        <v>2834</v>
      </c>
      <c r="E506" t="s">
        <v>16</v>
      </c>
      <c r="F506" t="s">
        <v>1362</v>
      </c>
      <c r="G506" s="2">
        <v>0.60416666666666663</v>
      </c>
      <c r="H506" t="s">
        <v>1200</v>
      </c>
      <c r="I506" t="s">
        <v>1201</v>
      </c>
      <c r="M506" t="s">
        <v>1292</v>
      </c>
    </row>
    <row r="507" spans="1:13" x14ac:dyDescent="0.3">
      <c r="A507" t="s">
        <v>589</v>
      </c>
      <c r="B507" t="s">
        <v>2835</v>
      </c>
      <c r="C507" t="s">
        <v>2836</v>
      </c>
      <c r="D507" t="s">
        <v>2837</v>
      </c>
      <c r="E507" t="s">
        <v>16</v>
      </c>
      <c r="F507" t="s">
        <v>1367</v>
      </c>
      <c r="G507" s="2">
        <v>0.59722222222222221</v>
      </c>
      <c r="H507" t="s">
        <v>1200</v>
      </c>
      <c r="I507" t="s">
        <v>1201</v>
      </c>
      <c r="M507" t="s">
        <v>1292</v>
      </c>
    </row>
    <row r="508" spans="1:13" x14ac:dyDescent="0.3">
      <c r="A508" t="s">
        <v>589</v>
      </c>
      <c r="B508" t="s">
        <v>2838</v>
      </c>
      <c r="C508" t="s">
        <v>2839</v>
      </c>
      <c r="D508" t="s">
        <v>2840</v>
      </c>
      <c r="E508" t="s">
        <v>16</v>
      </c>
      <c r="F508" t="s">
        <v>1371</v>
      </c>
      <c r="G508" s="2">
        <v>0.59027777777777779</v>
      </c>
      <c r="H508" t="s">
        <v>1200</v>
      </c>
      <c r="I508" t="s">
        <v>1201</v>
      </c>
      <c r="M508" t="s">
        <v>1292</v>
      </c>
    </row>
    <row r="509" spans="1:13" x14ac:dyDescent="0.3">
      <c r="A509" t="s">
        <v>589</v>
      </c>
      <c r="B509" t="s">
        <v>2841</v>
      </c>
      <c r="C509" t="s">
        <v>2842</v>
      </c>
      <c r="D509" t="s">
        <v>2843</v>
      </c>
      <c r="E509" t="s">
        <v>16</v>
      </c>
      <c r="F509" t="s">
        <v>1199</v>
      </c>
      <c r="G509" s="2">
        <v>0.58333333333333337</v>
      </c>
      <c r="H509" t="s">
        <v>1200</v>
      </c>
      <c r="I509" t="s">
        <v>1201</v>
      </c>
      <c r="K509" t="s">
        <v>1250</v>
      </c>
    </row>
    <row r="510" spans="1:13" x14ac:dyDescent="0.3">
      <c r="A510" t="s">
        <v>589</v>
      </c>
      <c r="B510" t="s">
        <v>2844</v>
      </c>
      <c r="C510" t="s">
        <v>2845</v>
      </c>
      <c r="D510" t="s">
        <v>2846</v>
      </c>
      <c r="E510" t="s">
        <v>16</v>
      </c>
      <c r="F510" t="s">
        <v>1207</v>
      </c>
      <c r="G510" s="2">
        <v>0.57638888888888895</v>
      </c>
      <c r="H510" t="s">
        <v>1200</v>
      </c>
      <c r="I510" t="s">
        <v>1201</v>
      </c>
      <c r="K510" t="s">
        <v>1250</v>
      </c>
    </row>
    <row r="511" spans="1:13" x14ac:dyDescent="0.3">
      <c r="A511" t="s">
        <v>589</v>
      </c>
      <c r="B511" t="s">
        <v>2847</v>
      </c>
      <c r="C511" t="s">
        <v>2848</v>
      </c>
      <c r="D511" t="s">
        <v>2849</v>
      </c>
      <c r="E511" t="s">
        <v>16</v>
      </c>
      <c r="F511" t="s">
        <v>1211</v>
      </c>
      <c r="G511" s="2">
        <v>0.56944444444444442</v>
      </c>
      <c r="H511" t="s">
        <v>1200</v>
      </c>
      <c r="I511" t="s">
        <v>1201</v>
      </c>
      <c r="M511" t="s">
        <v>1292</v>
      </c>
    </row>
    <row r="512" spans="1:13" x14ac:dyDescent="0.3">
      <c r="A512" t="s">
        <v>589</v>
      </c>
      <c r="B512" t="s">
        <v>2850</v>
      </c>
      <c r="C512" t="s">
        <v>2851</v>
      </c>
      <c r="D512" t="s">
        <v>2852</v>
      </c>
      <c r="E512" t="s">
        <v>16</v>
      </c>
      <c r="F512" t="s">
        <v>1215</v>
      </c>
      <c r="G512" s="2">
        <v>0.5625</v>
      </c>
      <c r="H512" t="s">
        <v>1200</v>
      </c>
      <c r="I512" t="s">
        <v>1201</v>
      </c>
      <c r="K512" t="s">
        <v>1250</v>
      </c>
    </row>
    <row r="513" spans="1:33" x14ac:dyDescent="0.3">
      <c r="A513" t="s">
        <v>589</v>
      </c>
      <c r="B513" t="s">
        <v>2853</v>
      </c>
      <c r="C513" t="s">
        <v>2854</v>
      </c>
      <c r="D513" t="s">
        <v>2855</v>
      </c>
      <c r="E513" t="s">
        <v>16</v>
      </c>
      <c r="F513" t="s">
        <v>1221</v>
      </c>
      <c r="G513" s="2">
        <v>0.55555555555555558</v>
      </c>
      <c r="H513" t="s">
        <v>1200</v>
      </c>
      <c r="I513" t="s">
        <v>1201</v>
      </c>
      <c r="K513" t="s">
        <v>1250</v>
      </c>
    </row>
    <row r="514" spans="1:33" x14ac:dyDescent="0.3">
      <c r="A514" t="s">
        <v>589</v>
      </c>
      <c r="B514" t="s">
        <v>2856</v>
      </c>
      <c r="C514" t="s">
        <v>2857</v>
      </c>
      <c r="D514" t="s">
        <v>2858</v>
      </c>
      <c r="E514" t="s">
        <v>16</v>
      </c>
      <c r="F514" t="s">
        <v>1232</v>
      </c>
      <c r="G514" s="2">
        <v>0.54861111111111105</v>
      </c>
      <c r="H514" t="s">
        <v>1200</v>
      </c>
      <c r="I514" t="s">
        <v>1201</v>
      </c>
      <c r="K514" t="s">
        <v>1250</v>
      </c>
    </row>
    <row r="515" spans="1:33" x14ac:dyDescent="0.3">
      <c r="A515" t="s">
        <v>589</v>
      </c>
      <c r="B515" t="s">
        <v>2859</v>
      </c>
      <c r="C515" t="s">
        <v>2860</v>
      </c>
      <c r="D515" t="s">
        <v>2861</v>
      </c>
      <c r="E515" t="s">
        <v>16</v>
      </c>
      <c r="F515" t="s">
        <v>1236</v>
      </c>
      <c r="G515" s="2">
        <v>0.54166666666666663</v>
      </c>
      <c r="H515" t="s">
        <v>1200</v>
      </c>
      <c r="I515" t="s">
        <v>1201</v>
      </c>
      <c r="K515" t="s">
        <v>1250</v>
      </c>
    </row>
    <row r="516" spans="1:33" x14ac:dyDescent="0.3">
      <c r="A516" t="s">
        <v>589</v>
      </c>
      <c r="B516" t="s">
        <v>2862</v>
      </c>
      <c r="C516" t="s">
        <v>2863</v>
      </c>
      <c r="D516" t="s">
        <v>2864</v>
      </c>
      <c r="E516" t="s">
        <v>16</v>
      </c>
      <c r="F516" t="s">
        <v>1240</v>
      </c>
      <c r="G516" s="2">
        <v>0.53472222222222221</v>
      </c>
      <c r="H516" t="s">
        <v>1200</v>
      </c>
      <c r="I516" t="s">
        <v>1201</v>
      </c>
      <c r="K516" t="s">
        <v>1250</v>
      </c>
    </row>
    <row r="517" spans="1:33" x14ac:dyDescent="0.3">
      <c r="A517" t="s">
        <v>589</v>
      </c>
      <c r="B517" t="s">
        <v>2865</v>
      </c>
      <c r="C517" t="s">
        <v>2866</v>
      </c>
      <c r="D517" t="s">
        <v>2867</v>
      </c>
      <c r="E517" t="s">
        <v>16</v>
      </c>
      <c r="F517" t="s">
        <v>1244</v>
      </c>
      <c r="G517" s="2">
        <v>0.52777777777777779</v>
      </c>
      <c r="H517" t="s">
        <v>1200</v>
      </c>
      <c r="I517" t="s">
        <v>1201</v>
      </c>
      <c r="L517" t="s">
        <v>1222</v>
      </c>
    </row>
    <row r="518" spans="1:33" x14ac:dyDescent="0.3">
      <c r="A518" t="s">
        <v>589</v>
      </c>
      <c r="B518" t="s">
        <v>2868</v>
      </c>
      <c r="C518" t="s">
        <v>2869</v>
      </c>
      <c r="D518" t="s">
        <v>2870</v>
      </c>
      <c r="E518" t="s">
        <v>16</v>
      </c>
      <c r="F518" t="s">
        <v>1249</v>
      </c>
      <c r="G518" s="2">
        <v>0.52083333333333337</v>
      </c>
      <c r="H518" t="s">
        <v>1200</v>
      </c>
      <c r="I518" t="s">
        <v>1201</v>
      </c>
      <c r="L518" t="s">
        <v>1202</v>
      </c>
    </row>
    <row r="519" spans="1:33" x14ac:dyDescent="0.3">
      <c r="A519" t="s">
        <v>589</v>
      </c>
      <c r="B519" t="s">
        <v>2871</v>
      </c>
      <c r="C519" t="s">
        <v>2872</v>
      </c>
      <c r="D519" t="s">
        <v>2873</v>
      </c>
      <c r="E519" t="s">
        <v>16</v>
      </c>
      <c r="F519" t="s">
        <v>1406</v>
      </c>
      <c r="G519" s="2">
        <v>0.51388888888888895</v>
      </c>
      <c r="H519" t="s">
        <v>1200</v>
      </c>
      <c r="I519" t="s">
        <v>1201</v>
      </c>
      <c r="L519" t="s">
        <v>1202</v>
      </c>
      <c r="X519" t="s">
        <v>776</v>
      </c>
      <c r="Y519">
        <v>2</v>
      </c>
      <c r="Z519" t="s">
        <v>1203</v>
      </c>
      <c r="AB519" t="s">
        <v>525</v>
      </c>
      <c r="AC519">
        <v>2</v>
      </c>
      <c r="AD519" t="s">
        <v>1203</v>
      </c>
      <c r="AE519" t="s">
        <v>776</v>
      </c>
      <c r="AF519">
        <v>2</v>
      </c>
      <c r="AG519" t="s">
        <v>1203</v>
      </c>
    </row>
    <row r="520" spans="1:33" x14ac:dyDescent="0.3">
      <c r="A520" t="s">
        <v>589</v>
      </c>
      <c r="B520" t="s">
        <v>2874</v>
      </c>
      <c r="C520" t="s">
        <v>2875</v>
      </c>
      <c r="D520" t="s">
        <v>2876</v>
      </c>
      <c r="E520" t="s">
        <v>16</v>
      </c>
      <c r="F520" t="s">
        <v>1254</v>
      </c>
      <c r="G520" s="2">
        <v>0.50694444444444442</v>
      </c>
      <c r="H520" t="s">
        <v>1200</v>
      </c>
      <c r="I520" t="s">
        <v>1201</v>
      </c>
      <c r="L520" t="s">
        <v>1255</v>
      </c>
      <c r="R520" t="s">
        <v>1223</v>
      </c>
      <c r="X520" t="s">
        <v>776</v>
      </c>
      <c r="Y520">
        <v>2</v>
      </c>
      <c r="Z520" t="s">
        <v>1203</v>
      </c>
      <c r="AB520" t="s">
        <v>525</v>
      </c>
      <c r="AC520">
        <v>2</v>
      </c>
      <c r="AD520" t="s">
        <v>1203</v>
      </c>
      <c r="AE520" t="s">
        <v>776</v>
      </c>
      <c r="AF520">
        <v>2</v>
      </c>
      <c r="AG520" t="s">
        <v>1203</v>
      </c>
    </row>
    <row r="521" spans="1:33" x14ac:dyDescent="0.3">
      <c r="A521" t="s">
        <v>589</v>
      </c>
      <c r="B521" t="s">
        <v>2877</v>
      </c>
      <c r="C521" t="s">
        <v>2878</v>
      </c>
      <c r="D521" t="s">
        <v>2879</v>
      </c>
      <c r="E521" t="s">
        <v>16</v>
      </c>
      <c r="F521" t="s">
        <v>1259</v>
      </c>
      <c r="G521" s="2">
        <v>0.5</v>
      </c>
      <c r="H521" t="s">
        <v>1200</v>
      </c>
      <c r="I521" t="s">
        <v>1201</v>
      </c>
      <c r="L521" t="s">
        <v>1222</v>
      </c>
      <c r="R521" t="s">
        <v>1223</v>
      </c>
      <c r="X521" t="s">
        <v>776</v>
      </c>
      <c r="Y521">
        <v>2</v>
      </c>
      <c r="Z521" t="s">
        <v>1203</v>
      </c>
      <c r="AB521" t="s">
        <v>525</v>
      </c>
      <c r="AC521">
        <v>2</v>
      </c>
      <c r="AD521" t="s">
        <v>1203</v>
      </c>
      <c r="AE521" t="s">
        <v>776</v>
      </c>
      <c r="AF521">
        <v>2</v>
      </c>
      <c r="AG521" t="s">
        <v>1203</v>
      </c>
    </row>
    <row r="522" spans="1:33" x14ac:dyDescent="0.3">
      <c r="A522" t="s">
        <v>589</v>
      </c>
      <c r="B522" t="s">
        <v>2880</v>
      </c>
      <c r="C522" t="s">
        <v>2881</v>
      </c>
      <c r="D522" t="s">
        <v>2882</v>
      </c>
      <c r="E522" t="s">
        <v>16</v>
      </c>
      <c r="F522" t="s">
        <v>1265</v>
      </c>
      <c r="G522" s="2">
        <v>0.49305555555555558</v>
      </c>
      <c r="H522" t="s">
        <v>1200</v>
      </c>
      <c r="I522" t="s">
        <v>1201</v>
      </c>
      <c r="L522" t="s">
        <v>1222</v>
      </c>
      <c r="R522" t="s">
        <v>1223</v>
      </c>
      <c r="S522" t="s">
        <v>1224</v>
      </c>
      <c r="T522" t="s">
        <v>1676</v>
      </c>
      <c r="V522" t="s">
        <v>2767</v>
      </c>
      <c r="W522" t="s">
        <v>2149</v>
      </c>
      <c r="X522" t="s">
        <v>776</v>
      </c>
      <c r="Y522">
        <v>2</v>
      </c>
      <c r="Z522" t="s">
        <v>1228</v>
      </c>
      <c r="AB522" t="s">
        <v>776</v>
      </c>
      <c r="AC522">
        <v>2</v>
      </c>
      <c r="AD522" t="s">
        <v>1228</v>
      </c>
      <c r="AE522" t="s">
        <v>546</v>
      </c>
      <c r="AF522">
        <v>2</v>
      </c>
      <c r="AG522" t="s">
        <v>1228</v>
      </c>
    </row>
    <row r="523" spans="1:33" x14ac:dyDescent="0.3">
      <c r="A523" t="s">
        <v>589</v>
      </c>
      <c r="B523" t="s">
        <v>2883</v>
      </c>
      <c r="C523" t="s">
        <v>2884</v>
      </c>
      <c r="D523" t="s">
        <v>2885</v>
      </c>
      <c r="E523" t="s">
        <v>16</v>
      </c>
      <c r="F523" t="s">
        <v>1270</v>
      </c>
      <c r="G523" s="2">
        <v>0.4861111111111111</v>
      </c>
      <c r="H523" t="s">
        <v>1200</v>
      </c>
      <c r="I523" t="s">
        <v>1201</v>
      </c>
      <c r="L523" t="s">
        <v>1222</v>
      </c>
      <c r="R523" t="s">
        <v>1223</v>
      </c>
      <c r="S523" t="s">
        <v>1224</v>
      </c>
      <c r="T523" t="s">
        <v>1676</v>
      </c>
      <c r="V523" t="s">
        <v>2767</v>
      </c>
      <c r="W523" t="s">
        <v>2149</v>
      </c>
      <c r="X523" t="s">
        <v>776</v>
      </c>
      <c r="Y523">
        <v>2</v>
      </c>
      <c r="Z523" t="s">
        <v>1228</v>
      </c>
      <c r="AB523" t="s">
        <v>776</v>
      </c>
      <c r="AC523">
        <v>3</v>
      </c>
      <c r="AD523" t="s">
        <v>1228</v>
      </c>
      <c r="AE523" t="s">
        <v>546</v>
      </c>
      <c r="AF523">
        <v>3</v>
      </c>
      <c r="AG523" t="s">
        <v>1228</v>
      </c>
    </row>
    <row r="524" spans="1:33" x14ac:dyDescent="0.3">
      <c r="A524" t="s">
        <v>589</v>
      </c>
      <c r="B524" t="s">
        <v>2886</v>
      </c>
      <c r="C524" t="s">
        <v>2887</v>
      </c>
      <c r="D524" t="s">
        <v>2888</v>
      </c>
      <c r="E524" t="s">
        <v>16</v>
      </c>
      <c r="F524" t="s">
        <v>1274</v>
      </c>
      <c r="G524" s="2">
        <v>0.47916666666666669</v>
      </c>
      <c r="H524" t="s">
        <v>1200</v>
      </c>
      <c r="I524" t="s">
        <v>1201</v>
      </c>
      <c r="L524" t="s">
        <v>1202</v>
      </c>
      <c r="X524" t="s">
        <v>776</v>
      </c>
      <c r="Y524">
        <v>3</v>
      </c>
      <c r="Z524" t="s">
        <v>1203</v>
      </c>
      <c r="AB524" t="s">
        <v>776</v>
      </c>
      <c r="AC524">
        <v>3</v>
      </c>
      <c r="AD524" t="s">
        <v>1203</v>
      </c>
      <c r="AE524" t="s">
        <v>546</v>
      </c>
      <c r="AF524">
        <v>3</v>
      </c>
      <c r="AG524" t="s">
        <v>1203</v>
      </c>
    </row>
    <row r="525" spans="1:33" x14ac:dyDescent="0.3">
      <c r="A525" t="s">
        <v>589</v>
      </c>
      <c r="B525" t="s">
        <v>2889</v>
      </c>
      <c r="C525" t="s">
        <v>2890</v>
      </c>
      <c r="D525" t="s">
        <v>2891</v>
      </c>
      <c r="E525" t="s">
        <v>16</v>
      </c>
      <c r="F525" t="s">
        <v>1278</v>
      </c>
      <c r="G525" s="2">
        <v>0.47222222222222227</v>
      </c>
      <c r="H525" t="s">
        <v>1200</v>
      </c>
      <c r="I525" t="s">
        <v>1201</v>
      </c>
      <c r="M525" t="s">
        <v>1292</v>
      </c>
    </row>
    <row r="526" spans="1:33" x14ac:dyDescent="0.3">
      <c r="A526" t="s">
        <v>589</v>
      </c>
      <c r="B526" t="s">
        <v>2892</v>
      </c>
      <c r="C526" t="s">
        <v>2893</v>
      </c>
      <c r="D526" t="s">
        <v>2894</v>
      </c>
      <c r="E526" t="s">
        <v>16</v>
      </c>
      <c r="F526" t="s">
        <v>1282</v>
      </c>
      <c r="G526" s="2">
        <v>0.46527777777777773</v>
      </c>
      <c r="H526" t="s">
        <v>1200</v>
      </c>
      <c r="I526" t="s">
        <v>1201</v>
      </c>
      <c r="M526" t="s">
        <v>1292</v>
      </c>
    </row>
    <row r="527" spans="1:33" x14ac:dyDescent="0.3">
      <c r="A527" t="s">
        <v>589</v>
      </c>
      <c r="B527" t="s">
        <v>2895</v>
      </c>
      <c r="C527" t="s">
        <v>2896</v>
      </c>
      <c r="D527" t="s">
        <v>2897</v>
      </c>
      <c r="E527" t="s">
        <v>16</v>
      </c>
      <c r="F527" t="s">
        <v>1287</v>
      </c>
      <c r="G527" s="2">
        <v>0.45833333333333331</v>
      </c>
      <c r="H527" t="s">
        <v>1200</v>
      </c>
      <c r="I527" t="s">
        <v>1201</v>
      </c>
      <c r="L527" t="s">
        <v>1363</v>
      </c>
    </row>
    <row r="528" spans="1:33" x14ac:dyDescent="0.3">
      <c r="A528" t="s">
        <v>589</v>
      </c>
      <c r="B528" t="s">
        <v>2898</v>
      </c>
      <c r="C528" t="s">
        <v>2899</v>
      </c>
      <c r="D528" t="s">
        <v>2900</v>
      </c>
      <c r="E528" t="s">
        <v>16</v>
      </c>
      <c r="F528" t="s">
        <v>1291</v>
      </c>
      <c r="G528" s="2">
        <v>0.4513888888888889</v>
      </c>
      <c r="H528" t="s">
        <v>1200</v>
      </c>
      <c r="I528" t="s">
        <v>1201</v>
      </c>
      <c r="L528" t="s">
        <v>1363</v>
      </c>
    </row>
    <row r="529" spans="1:33" x14ac:dyDescent="0.3">
      <c r="A529" t="s">
        <v>589</v>
      </c>
      <c r="B529" t="s">
        <v>2901</v>
      </c>
      <c r="C529" t="s">
        <v>2902</v>
      </c>
      <c r="D529" t="s">
        <v>2903</v>
      </c>
      <c r="E529" t="s">
        <v>16</v>
      </c>
      <c r="F529" t="s">
        <v>1296</v>
      </c>
      <c r="G529" s="2">
        <v>0.44444444444444442</v>
      </c>
      <c r="H529" t="s">
        <v>1200</v>
      </c>
      <c r="I529" t="s">
        <v>1201</v>
      </c>
      <c r="L529" t="s">
        <v>1363</v>
      </c>
    </row>
    <row r="530" spans="1:33" x14ac:dyDescent="0.3">
      <c r="A530" t="s">
        <v>589</v>
      </c>
      <c r="B530" t="s">
        <v>2904</v>
      </c>
      <c r="C530" t="s">
        <v>2905</v>
      </c>
      <c r="D530" t="s">
        <v>2906</v>
      </c>
      <c r="E530" t="s">
        <v>16</v>
      </c>
      <c r="F530" t="s">
        <v>1300</v>
      </c>
      <c r="G530" s="2">
        <v>0.4375</v>
      </c>
      <c r="H530" t="s">
        <v>1200</v>
      </c>
      <c r="I530" t="s">
        <v>1201</v>
      </c>
      <c r="L530" t="s">
        <v>1363</v>
      </c>
    </row>
    <row r="531" spans="1:33" x14ac:dyDescent="0.3">
      <c r="A531" t="s">
        <v>589</v>
      </c>
      <c r="B531" t="s">
        <v>2907</v>
      </c>
      <c r="C531" t="s">
        <v>2908</v>
      </c>
      <c r="D531" t="s">
        <v>2909</v>
      </c>
      <c r="E531" t="s">
        <v>16</v>
      </c>
      <c r="F531" t="s">
        <v>1443</v>
      </c>
      <c r="G531" s="2">
        <v>0.43055555555555558</v>
      </c>
      <c r="H531" t="s">
        <v>1200</v>
      </c>
      <c r="I531" t="s">
        <v>1201</v>
      </c>
      <c r="L531" t="s">
        <v>1363</v>
      </c>
    </row>
    <row r="532" spans="1:33" x14ac:dyDescent="0.3">
      <c r="A532" t="s">
        <v>589</v>
      </c>
      <c r="B532" t="s">
        <v>2910</v>
      </c>
      <c r="C532" t="s">
        <v>2911</v>
      </c>
      <c r="D532" t="s">
        <v>2912</v>
      </c>
      <c r="E532" t="s">
        <v>16</v>
      </c>
      <c r="F532" t="s">
        <v>1447</v>
      </c>
      <c r="G532" s="2">
        <v>0.4236111111111111</v>
      </c>
      <c r="H532" t="s">
        <v>1200</v>
      </c>
      <c r="I532" t="s">
        <v>1201</v>
      </c>
      <c r="L532" t="s">
        <v>1363</v>
      </c>
    </row>
    <row r="533" spans="1:33" x14ac:dyDescent="0.3">
      <c r="A533" t="s">
        <v>589</v>
      </c>
      <c r="B533" t="s">
        <v>2913</v>
      </c>
      <c r="C533" t="s">
        <v>2914</v>
      </c>
      <c r="D533" t="s">
        <v>2915</v>
      </c>
      <c r="E533" t="s">
        <v>16</v>
      </c>
      <c r="F533" t="s">
        <v>1451</v>
      </c>
      <c r="G533" s="2">
        <v>0.41666666666666669</v>
      </c>
      <c r="H533" t="s">
        <v>1200</v>
      </c>
      <c r="I533" t="s">
        <v>1201</v>
      </c>
      <c r="L533" t="s">
        <v>1202</v>
      </c>
    </row>
    <row r="534" spans="1:33" x14ac:dyDescent="0.3">
      <c r="A534" t="s">
        <v>589</v>
      </c>
      <c r="B534" t="s">
        <v>2916</v>
      </c>
      <c r="C534" t="s">
        <v>2917</v>
      </c>
      <c r="D534" t="s">
        <v>2918</v>
      </c>
      <c r="E534" t="s">
        <v>16</v>
      </c>
      <c r="F534" t="s">
        <v>1455</v>
      </c>
      <c r="G534" s="2">
        <v>0.40972222222222227</v>
      </c>
      <c r="H534" t="s">
        <v>1200</v>
      </c>
      <c r="I534" t="s">
        <v>1201</v>
      </c>
      <c r="L534" t="s">
        <v>1202</v>
      </c>
      <c r="X534" t="s">
        <v>1100</v>
      </c>
      <c r="Y534">
        <v>2</v>
      </c>
      <c r="Z534" t="s">
        <v>1203</v>
      </c>
    </row>
    <row r="535" spans="1:33" x14ac:dyDescent="0.3">
      <c r="A535" t="s">
        <v>589</v>
      </c>
      <c r="B535" t="s">
        <v>2919</v>
      </c>
      <c r="C535" t="s">
        <v>2920</v>
      </c>
      <c r="D535" t="s">
        <v>2921</v>
      </c>
      <c r="E535" t="s">
        <v>16</v>
      </c>
      <c r="F535" t="s">
        <v>1459</v>
      </c>
      <c r="G535" s="2">
        <v>0.40277777777777773</v>
      </c>
      <c r="H535" t="s">
        <v>1200</v>
      </c>
      <c r="I535" t="s">
        <v>1201</v>
      </c>
      <c r="L535" t="s">
        <v>1202</v>
      </c>
      <c r="X535" t="s">
        <v>546</v>
      </c>
      <c r="Y535">
        <v>2</v>
      </c>
      <c r="Z535" t="s">
        <v>1203</v>
      </c>
      <c r="AB535" t="s">
        <v>1100</v>
      </c>
      <c r="AC535">
        <v>2</v>
      </c>
      <c r="AD535" t="s">
        <v>1203</v>
      </c>
    </row>
    <row r="536" spans="1:33" x14ac:dyDescent="0.3">
      <c r="A536" t="s">
        <v>589</v>
      </c>
      <c r="B536" t="s">
        <v>2922</v>
      </c>
      <c r="C536" t="s">
        <v>2923</v>
      </c>
      <c r="D536" t="s">
        <v>2924</v>
      </c>
      <c r="E536" t="s">
        <v>16</v>
      </c>
      <c r="F536" t="s">
        <v>1463</v>
      </c>
      <c r="G536" s="2">
        <v>0.39583333333333331</v>
      </c>
      <c r="H536" t="s">
        <v>1200</v>
      </c>
      <c r="I536" t="s">
        <v>1201</v>
      </c>
      <c r="K536" t="s">
        <v>1250</v>
      </c>
    </row>
    <row r="537" spans="1:33" x14ac:dyDescent="0.3">
      <c r="A537" t="s">
        <v>589</v>
      </c>
      <c r="B537" t="s">
        <v>2925</v>
      </c>
      <c r="C537" t="s">
        <v>2926</v>
      </c>
      <c r="D537" t="s">
        <v>2927</v>
      </c>
      <c r="E537" t="s">
        <v>16</v>
      </c>
      <c r="F537" t="s">
        <v>1469</v>
      </c>
      <c r="G537" s="2">
        <v>0.3888888888888889</v>
      </c>
      <c r="H537" t="s">
        <v>1200</v>
      </c>
      <c r="I537" t="s">
        <v>1201</v>
      </c>
      <c r="K537" t="s">
        <v>1250</v>
      </c>
    </row>
    <row r="538" spans="1:33" x14ac:dyDescent="0.3">
      <c r="A538" t="s">
        <v>589</v>
      </c>
      <c r="B538" t="s">
        <v>2928</v>
      </c>
      <c r="C538" t="s">
        <v>2929</v>
      </c>
      <c r="D538" t="s">
        <v>2930</v>
      </c>
      <c r="E538" t="s">
        <v>16</v>
      </c>
      <c r="F538" t="s">
        <v>1473</v>
      </c>
      <c r="G538" s="2">
        <v>0.38194444444444442</v>
      </c>
      <c r="H538" t="s">
        <v>1200</v>
      </c>
      <c r="I538" t="s">
        <v>1201</v>
      </c>
      <c r="K538" t="s">
        <v>1250</v>
      </c>
    </row>
    <row r="539" spans="1:33" x14ac:dyDescent="0.3">
      <c r="A539" t="s">
        <v>589</v>
      </c>
      <c r="B539" t="s">
        <v>2931</v>
      </c>
      <c r="C539" t="s">
        <v>2932</v>
      </c>
      <c r="D539" t="s">
        <v>2933</v>
      </c>
      <c r="E539" t="s">
        <v>16</v>
      </c>
      <c r="F539" t="s">
        <v>1477</v>
      </c>
      <c r="G539" s="2">
        <v>0.375</v>
      </c>
      <c r="H539" t="s">
        <v>1200</v>
      </c>
      <c r="I539" t="s">
        <v>1201</v>
      </c>
      <c r="K539" t="s">
        <v>1250</v>
      </c>
    </row>
    <row r="540" spans="1:33" x14ac:dyDescent="0.3">
      <c r="A540" t="s">
        <v>592</v>
      </c>
      <c r="B540" t="s">
        <v>2934</v>
      </c>
      <c r="C540" t="s">
        <v>2935</v>
      </c>
      <c r="D540" t="s">
        <v>2936</v>
      </c>
      <c r="E540" t="s">
        <v>16</v>
      </c>
      <c r="F540" t="s">
        <v>1232</v>
      </c>
      <c r="G540" s="2">
        <v>0.54861111111111105</v>
      </c>
      <c r="H540" t="s">
        <v>1200</v>
      </c>
      <c r="I540" t="s">
        <v>1201</v>
      </c>
      <c r="K540" t="s">
        <v>1250</v>
      </c>
      <c r="X540" t="s">
        <v>498</v>
      </c>
      <c r="Y540">
        <v>4</v>
      </c>
      <c r="Z540" t="s">
        <v>1228</v>
      </c>
      <c r="AB540" t="s">
        <v>776</v>
      </c>
      <c r="AC540">
        <v>3</v>
      </c>
      <c r="AD540" t="s">
        <v>1228</v>
      </c>
      <c r="AE540" t="s">
        <v>546</v>
      </c>
      <c r="AF540">
        <v>3</v>
      </c>
      <c r="AG540" t="s">
        <v>1266</v>
      </c>
    </row>
    <row r="541" spans="1:33" x14ac:dyDescent="0.3">
      <c r="A541" t="s">
        <v>592</v>
      </c>
      <c r="B541" t="s">
        <v>2937</v>
      </c>
      <c r="C541" t="s">
        <v>2938</v>
      </c>
      <c r="D541" t="s">
        <v>2939</v>
      </c>
      <c r="E541" t="s">
        <v>16</v>
      </c>
      <c r="F541" t="s">
        <v>1236</v>
      </c>
      <c r="G541" s="2">
        <v>0.54166666666666663</v>
      </c>
      <c r="H541" t="s">
        <v>1200</v>
      </c>
      <c r="I541" t="s">
        <v>1201</v>
      </c>
      <c r="M541" t="s">
        <v>1292</v>
      </c>
      <c r="S541" t="s">
        <v>1224</v>
      </c>
      <c r="T541" t="s">
        <v>1703</v>
      </c>
      <c r="V541" t="s">
        <v>2767</v>
      </c>
      <c r="W541" t="s">
        <v>2595</v>
      </c>
      <c r="X541" t="s">
        <v>498</v>
      </c>
      <c r="Y541">
        <v>2</v>
      </c>
      <c r="Z541" t="s">
        <v>1228</v>
      </c>
      <c r="AB541" t="s">
        <v>498</v>
      </c>
      <c r="AC541">
        <v>2</v>
      </c>
      <c r="AD541" t="s">
        <v>1228</v>
      </c>
      <c r="AE541" t="s">
        <v>776</v>
      </c>
      <c r="AF541">
        <v>4</v>
      </c>
      <c r="AG541" t="s">
        <v>1266</v>
      </c>
    </row>
    <row r="542" spans="1:33" x14ac:dyDescent="0.3">
      <c r="A542" t="s">
        <v>592</v>
      </c>
      <c r="B542" t="s">
        <v>2940</v>
      </c>
      <c r="C542" t="s">
        <v>2941</v>
      </c>
      <c r="D542" t="s">
        <v>2942</v>
      </c>
      <c r="E542" t="s">
        <v>16</v>
      </c>
      <c r="F542" t="s">
        <v>1240</v>
      </c>
      <c r="G542" s="2">
        <v>0.53472222222222221</v>
      </c>
      <c r="H542" t="s">
        <v>1200</v>
      </c>
      <c r="I542" t="s">
        <v>1201</v>
      </c>
      <c r="L542" t="s">
        <v>1202</v>
      </c>
      <c r="X542" t="s">
        <v>498</v>
      </c>
      <c r="Y542">
        <v>2</v>
      </c>
      <c r="Z542" t="s">
        <v>1203</v>
      </c>
      <c r="AB542" t="s">
        <v>776</v>
      </c>
      <c r="AC542">
        <v>2</v>
      </c>
      <c r="AD542" t="s">
        <v>1203</v>
      </c>
      <c r="AE542" t="s">
        <v>498</v>
      </c>
      <c r="AF542">
        <v>2</v>
      </c>
      <c r="AG542" t="s">
        <v>1203</v>
      </c>
    </row>
    <row r="543" spans="1:33" x14ac:dyDescent="0.3">
      <c r="A543" t="s">
        <v>592</v>
      </c>
      <c r="B543" t="s">
        <v>2943</v>
      </c>
      <c r="C543" t="s">
        <v>2944</v>
      </c>
      <c r="D543" t="s">
        <v>2945</v>
      </c>
      <c r="E543" t="s">
        <v>16</v>
      </c>
      <c r="F543" t="s">
        <v>1244</v>
      </c>
      <c r="G543" s="2">
        <v>0.52777777777777779</v>
      </c>
      <c r="H543" t="s">
        <v>1200</v>
      </c>
      <c r="I543" t="s">
        <v>1201</v>
      </c>
      <c r="L543" t="s">
        <v>1202</v>
      </c>
      <c r="X543" t="s">
        <v>498</v>
      </c>
      <c r="Y543">
        <v>2</v>
      </c>
      <c r="Z543" t="s">
        <v>1203</v>
      </c>
      <c r="AB543" t="s">
        <v>776</v>
      </c>
      <c r="AC543">
        <v>2</v>
      </c>
      <c r="AD543" t="s">
        <v>1203</v>
      </c>
      <c r="AE543" t="s">
        <v>498</v>
      </c>
      <c r="AF543">
        <v>2</v>
      </c>
      <c r="AG543" t="s">
        <v>1203</v>
      </c>
    </row>
    <row r="544" spans="1:33" x14ac:dyDescent="0.3">
      <c r="A544" t="s">
        <v>592</v>
      </c>
      <c r="B544" t="s">
        <v>2946</v>
      </c>
      <c r="C544" t="s">
        <v>2947</v>
      </c>
      <c r="D544" t="s">
        <v>2948</v>
      </c>
      <c r="E544" t="s">
        <v>16</v>
      </c>
      <c r="F544" t="s">
        <v>1249</v>
      </c>
      <c r="G544" s="2">
        <v>0.52083333333333337</v>
      </c>
      <c r="H544" t="s">
        <v>1200</v>
      </c>
      <c r="I544" t="s">
        <v>1201</v>
      </c>
      <c r="L544" t="s">
        <v>1202</v>
      </c>
      <c r="X544" t="s">
        <v>498</v>
      </c>
      <c r="Y544">
        <v>2</v>
      </c>
      <c r="Z544" t="s">
        <v>1203</v>
      </c>
      <c r="AB544" t="s">
        <v>776</v>
      </c>
      <c r="AC544">
        <v>2</v>
      </c>
      <c r="AD544" t="s">
        <v>1203</v>
      </c>
      <c r="AE544" t="s">
        <v>498</v>
      </c>
      <c r="AF544">
        <v>2</v>
      </c>
      <c r="AG544" t="s">
        <v>1203</v>
      </c>
    </row>
    <row r="545" spans="1:33" x14ac:dyDescent="0.3">
      <c r="A545" t="s">
        <v>592</v>
      </c>
      <c r="B545" t="s">
        <v>2949</v>
      </c>
      <c r="C545" t="s">
        <v>2950</v>
      </c>
      <c r="D545" t="s">
        <v>2951</v>
      </c>
      <c r="E545" t="s">
        <v>16</v>
      </c>
      <c r="F545" t="s">
        <v>1406</v>
      </c>
      <c r="G545" s="2">
        <v>0.51388888888888895</v>
      </c>
      <c r="H545" t="s">
        <v>1200</v>
      </c>
      <c r="I545" t="s">
        <v>1201</v>
      </c>
      <c r="L545" t="s">
        <v>1202</v>
      </c>
      <c r="X545" t="s">
        <v>498</v>
      </c>
      <c r="Y545">
        <v>2</v>
      </c>
      <c r="Z545" t="s">
        <v>1203</v>
      </c>
      <c r="AB545" t="s">
        <v>776</v>
      </c>
      <c r="AC545">
        <v>2</v>
      </c>
      <c r="AD545" t="s">
        <v>1203</v>
      </c>
      <c r="AE545" t="s">
        <v>498</v>
      </c>
      <c r="AF545">
        <v>2</v>
      </c>
      <c r="AG545" t="s">
        <v>1203</v>
      </c>
    </row>
    <row r="546" spans="1:33" x14ac:dyDescent="0.3">
      <c r="A546" t="s">
        <v>592</v>
      </c>
      <c r="B546" t="s">
        <v>2952</v>
      </c>
      <c r="C546" t="s">
        <v>2953</v>
      </c>
      <c r="D546" t="s">
        <v>2954</v>
      </c>
      <c r="E546" t="s">
        <v>16</v>
      </c>
      <c r="F546" t="s">
        <v>1254</v>
      </c>
      <c r="G546" s="2">
        <v>0.50694444444444442</v>
      </c>
      <c r="H546" t="s">
        <v>1200</v>
      </c>
      <c r="I546" t="s">
        <v>1201</v>
      </c>
      <c r="L546" t="s">
        <v>1202</v>
      </c>
      <c r="X546" t="s">
        <v>498</v>
      </c>
      <c r="Y546">
        <v>2</v>
      </c>
      <c r="Z546" t="s">
        <v>1203</v>
      </c>
      <c r="AB546" t="s">
        <v>776</v>
      </c>
      <c r="AC546">
        <v>2</v>
      </c>
      <c r="AD546" t="s">
        <v>1203</v>
      </c>
      <c r="AE546" t="s">
        <v>498</v>
      </c>
      <c r="AF546">
        <v>2</v>
      </c>
      <c r="AG546" t="s">
        <v>1203</v>
      </c>
    </row>
    <row r="547" spans="1:33" x14ac:dyDescent="0.3">
      <c r="A547" t="s">
        <v>592</v>
      </c>
      <c r="B547" t="s">
        <v>2955</v>
      </c>
      <c r="C547" t="s">
        <v>2956</v>
      </c>
      <c r="D547" t="s">
        <v>2957</v>
      </c>
      <c r="E547" t="s">
        <v>16</v>
      </c>
      <c r="F547" t="s">
        <v>1259</v>
      </c>
      <c r="G547" s="2">
        <v>0.5</v>
      </c>
      <c r="H547" t="s">
        <v>1200</v>
      </c>
      <c r="I547" t="s">
        <v>1201</v>
      </c>
      <c r="L547" t="s">
        <v>1202</v>
      </c>
      <c r="X547" t="s">
        <v>498</v>
      </c>
      <c r="Y547">
        <v>2</v>
      </c>
      <c r="Z547" t="s">
        <v>1203</v>
      </c>
      <c r="AB547" t="s">
        <v>776</v>
      </c>
      <c r="AC547">
        <v>2</v>
      </c>
      <c r="AD547" t="s">
        <v>1203</v>
      </c>
      <c r="AE547" t="s">
        <v>498</v>
      </c>
      <c r="AF547">
        <v>2</v>
      </c>
      <c r="AG547" t="s">
        <v>1203</v>
      </c>
    </row>
    <row r="548" spans="1:33" x14ac:dyDescent="0.3">
      <c r="A548" t="s">
        <v>592</v>
      </c>
      <c r="B548" t="s">
        <v>2958</v>
      </c>
      <c r="C548" t="s">
        <v>2959</v>
      </c>
      <c r="D548" t="s">
        <v>2960</v>
      </c>
      <c r="E548" t="s">
        <v>16</v>
      </c>
      <c r="F548" t="s">
        <v>1265</v>
      </c>
      <c r="G548" s="2">
        <v>0.49305555555555558</v>
      </c>
      <c r="H548" t="s">
        <v>1200</v>
      </c>
      <c r="I548" t="s">
        <v>1201</v>
      </c>
      <c r="M548" t="s">
        <v>1640</v>
      </c>
      <c r="X548" t="s">
        <v>498</v>
      </c>
      <c r="Y548">
        <v>3</v>
      </c>
      <c r="Z548" t="s">
        <v>1203</v>
      </c>
      <c r="AB548" t="s">
        <v>776</v>
      </c>
      <c r="AC548">
        <v>3</v>
      </c>
      <c r="AD548" t="s">
        <v>1228</v>
      </c>
      <c r="AE548" t="s">
        <v>498</v>
      </c>
      <c r="AF548">
        <v>3</v>
      </c>
      <c r="AG548" t="s">
        <v>1203</v>
      </c>
    </row>
    <row r="549" spans="1:33" x14ac:dyDescent="0.3">
      <c r="A549" t="s">
        <v>592</v>
      </c>
      <c r="B549" t="s">
        <v>2961</v>
      </c>
      <c r="C549" t="s">
        <v>2962</v>
      </c>
      <c r="D549" t="s">
        <v>2963</v>
      </c>
      <c r="E549" t="s">
        <v>16</v>
      </c>
      <c r="F549" t="s">
        <v>1270</v>
      </c>
      <c r="G549" s="2">
        <v>0.4861111111111111</v>
      </c>
      <c r="H549" t="s">
        <v>1200</v>
      </c>
      <c r="I549" t="s">
        <v>1201</v>
      </c>
      <c r="M549" t="s">
        <v>1640</v>
      </c>
    </row>
    <row r="550" spans="1:33" x14ac:dyDescent="0.3">
      <c r="A550" t="s">
        <v>592</v>
      </c>
      <c r="B550" t="s">
        <v>2964</v>
      </c>
      <c r="C550" t="s">
        <v>2965</v>
      </c>
      <c r="D550" t="s">
        <v>2966</v>
      </c>
      <c r="E550" t="s">
        <v>16</v>
      </c>
      <c r="F550" t="s">
        <v>1274</v>
      </c>
      <c r="G550" s="2">
        <v>0.47916666666666669</v>
      </c>
      <c r="H550" t="s">
        <v>1200</v>
      </c>
      <c r="I550" t="s">
        <v>1201</v>
      </c>
      <c r="Q550" t="s">
        <v>2609</v>
      </c>
      <c r="X550" t="s">
        <v>498</v>
      </c>
      <c r="AB550" t="s">
        <v>776</v>
      </c>
      <c r="AC550">
        <v>2</v>
      </c>
      <c r="AD550" t="s">
        <v>1228</v>
      </c>
    </row>
    <row r="551" spans="1:33" x14ac:dyDescent="0.3">
      <c r="A551" t="s">
        <v>592</v>
      </c>
      <c r="B551" t="s">
        <v>2967</v>
      </c>
      <c r="C551" t="s">
        <v>2968</v>
      </c>
      <c r="D551" t="s">
        <v>2969</v>
      </c>
      <c r="E551" t="s">
        <v>16</v>
      </c>
      <c r="F551" t="s">
        <v>1278</v>
      </c>
      <c r="G551" s="2">
        <v>0.47222222222222227</v>
      </c>
      <c r="H551" t="s">
        <v>1200</v>
      </c>
      <c r="I551" t="s">
        <v>1201</v>
      </c>
      <c r="L551" t="s">
        <v>1222</v>
      </c>
      <c r="X551" t="s">
        <v>498</v>
      </c>
      <c r="Y551">
        <v>2</v>
      </c>
      <c r="Z551" t="s">
        <v>1228</v>
      </c>
      <c r="AB551" t="s">
        <v>776</v>
      </c>
      <c r="AC551">
        <v>2</v>
      </c>
      <c r="AD551" t="s">
        <v>1228</v>
      </c>
    </row>
    <row r="552" spans="1:33" x14ac:dyDescent="0.3">
      <c r="A552" t="s">
        <v>592</v>
      </c>
      <c r="B552" t="s">
        <v>2970</v>
      </c>
      <c r="C552" t="s">
        <v>2971</v>
      </c>
      <c r="D552" t="s">
        <v>2972</v>
      </c>
      <c r="E552" t="s">
        <v>16</v>
      </c>
      <c r="F552" t="s">
        <v>1282</v>
      </c>
      <c r="G552" s="2">
        <v>0.46527777777777773</v>
      </c>
      <c r="H552" t="s">
        <v>1200</v>
      </c>
      <c r="I552" t="s">
        <v>1201</v>
      </c>
      <c r="L552" t="s">
        <v>1363</v>
      </c>
      <c r="X552" t="s">
        <v>498</v>
      </c>
      <c r="Y552">
        <v>2</v>
      </c>
      <c r="Z552" t="s">
        <v>1203</v>
      </c>
      <c r="AB552" t="s">
        <v>776</v>
      </c>
      <c r="AC552">
        <v>3</v>
      </c>
      <c r="AD552" t="s">
        <v>1203</v>
      </c>
    </row>
    <row r="553" spans="1:33" x14ac:dyDescent="0.3">
      <c r="A553" t="s">
        <v>592</v>
      </c>
      <c r="B553" t="s">
        <v>2973</v>
      </c>
      <c r="C553" t="s">
        <v>2974</v>
      </c>
      <c r="D553" t="s">
        <v>2975</v>
      </c>
      <c r="E553" t="s">
        <v>16</v>
      </c>
      <c r="F553" t="s">
        <v>1287</v>
      </c>
      <c r="G553" s="2">
        <v>0.45833333333333331</v>
      </c>
      <c r="H553" t="s">
        <v>1200</v>
      </c>
      <c r="I553" t="s">
        <v>1201</v>
      </c>
      <c r="L553" t="s">
        <v>1202</v>
      </c>
      <c r="X553" t="s">
        <v>498</v>
      </c>
      <c r="Y553">
        <v>2</v>
      </c>
      <c r="Z553" t="s">
        <v>1396</v>
      </c>
      <c r="AB553" t="s">
        <v>776</v>
      </c>
      <c r="AC553">
        <v>2</v>
      </c>
      <c r="AD553" t="s">
        <v>1396</v>
      </c>
      <c r="AE553" t="s">
        <v>546</v>
      </c>
      <c r="AF553">
        <v>2</v>
      </c>
      <c r="AG553" t="s">
        <v>1396</v>
      </c>
    </row>
    <row r="554" spans="1:33" x14ac:dyDescent="0.3">
      <c r="A554" t="s">
        <v>592</v>
      </c>
      <c r="B554" t="s">
        <v>2976</v>
      </c>
      <c r="C554" t="s">
        <v>2977</v>
      </c>
      <c r="D554" t="s">
        <v>2978</v>
      </c>
      <c r="E554" t="s">
        <v>16</v>
      </c>
      <c r="F554" t="s">
        <v>1291</v>
      </c>
      <c r="G554" s="2">
        <v>0.4513888888888889</v>
      </c>
      <c r="H554" t="s">
        <v>1200</v>
      </c>
      <c r="I554" t="s">
        <v>1201</v>
      </c>
      <c r="L554" t="s">
        <v>1202</v>
      </c>
      <c r="X554" t="s">
        <v>498</v>
      </c>
      <c r="Y554">
        <v>2</v>
      </c>
      <c r="Z554" t="s">
        <v>1396</v>
      </c>
      <c r="AB554" t="s">
        <v>776</v>
      </c>
      <c r="AC554">
        <v>2</v>
      </c>
      <c r="AD554" t="s">
        <v>1203</v>
      </c>
      <c r="AE554" t="s">
        <v>546</v>
      </c>
      <c r="AF554">
        <v>3</v>
      </c>
      <c r="AG554" t="s">
        <v>1396</v>
      </c>
    </row>
    <row r="555" spans="1:33" x14ac:dyDescent="0.3">
      <c r="A555" t="s">
        <v>592</v>
      </c>
      <c r="B555" t="s">
        <v>2979</v>
      </c>
      <c r="C555" t="s">
        <v>2980</v>
      </c>
      <c r="D555" t="s">
        <v>2981</v>
      </c>
      <c r="E555" t="s">
        <v>16</v>
      </c>
      <c r="F555" t="s">
        <v>1296</v>
      </c>
      <c r="G555" s="2">
        <v>0.44444444444444442</v>
      </c>
      <c r="H555" t="s">
        <v>1200</v>
      </c>
      <c r="I555" t="s">
        <v>1201</v>
      </c>
      <c r="L555" t="s">
        <v>1222</v>
      </c>
      <c r="X555" t="s">
        <v>498</v>
      </c>
      <c r="Y555">
        <v>2</v>
      </c>
      <c r="Z555" t="s">
        <v>2609</v>
      </c>
      <c r="AB555" t="s">
        <v>776</v>
      </c>
      <c r="AC555">
        <v>2</v>
      </c>
      <c r="AD555" t="s">
        <v>1228</v>
      </c>
      <c r="AE555" t="s">
        <v>546</v>
      </c>
      <c r="AF555">
        <v>2</v>
      </c>
      <c r="AG555" t="s">
        <v>1228</v>
      </c>
    </row>
    <row r="556" spans="1:33" x14ac:dyDescent="0.3">
      <c r="A556" t="s">
        <v>592</v>
      </c>
      <c r="B556" t="s">
        <v>2982</v>
      </c>
      <c r="C556" t="s">
        <v>2983</v>
      </c>
      <c r="D556" t="s">
        <v>2984</v>
      </c>
      <c r="E556" t="s">
        <v>16</v>
      </c>
      <c r="F556" t="s">
        <v>1300</v>
      </c>
      <c r="G556" s="2">
        <v>0.4375</v>
      </c>
      <c r="H556" t="s">
        <v>1200</v>
      </c>
      <c r="I556" t="s">
        <v>1201</v>
      </c>
      <c r="L556" t="s">
        <v>1202</v>
      </c>
      <c r="X556" t="s">
        <v>498</v>
      </c>
      <c r="Y556">
        <v>2</v>
      </c>
      <c r="Z556" t="s">
        <v>1203</v>
      </c>
      <c r="AB556" t="s">
        <v>776</v>
      </c>
      <c r="AC556">
        <v>2</v>
      </c>
      <c r="AD556" t="s">
        <v>1203</v>
      </c>
      <c r="AE556" t="s">
        <v>546</v>
      </c>
      <c r="AF556">
        <v>2</v>
      </c>
      <c r="AG556" t="s">
        <v>1203</v>
      </c>
    </row>
    <row r="557" spans="1:33" x14ac:dyDescent="0.3">
      <c r="A557" t="s">
        <v>592</v>
      </c>
      <c r="B557" s="3" t="s">
        <v>2985</v>
      </c>
      <c r="C557" t="s">
        <v>2986</v>
      </c>
      <c r="D557" t="s">
        <v>2987</v>
      </c>
      <c r="E557" t="s">
        <v>16</v>
      </c>
      <c r="F557" t="s">
        <v>1443</v>
      </c>
      <c r="G557" s="2">
        <v>0.43055555555555558</v>
      </c>
      <c r="H557" t="s">
        <v>1200</v>
      </c>
      <c r="I557" t="s">
        <v>1201</v>
      </c>
      <c r="L557" t="s">
        <v>1363</v>
      </c>
      <c r="X557" t="s">
        <v>498</v>
      </c>
      <c r="Y557">
        <v>2</v>
      </c>
      <c r="Z557" t="s">
        <v>1203</v>
      </c>
      <c r="AB557" t="s">
        <v>776</v>
      </c>
      <c r="AC557">
        <v>2</v>
      </c>
      <c r="AD557" t="s">
        <v>1245</v>
      </c>
      <c r="AE557" t="s">
        <v>546</v>
      </c>
      <c r="AF557">
        <v>2</v>
      </c>
      <c r="AG557" t="s">
        <v>1203</v>
      </c>
    </row>
    <row r="558" spans="1:33" x14ac:dyDescent="0.3">
      <c r="A558" t="s">
        <v>592</v>
      </c>
      <c r="B558" t="s">
        <v>2988</v>
      </c>
      <c r="C558" t="s">
        <v>2989</v>
      </c>
      <c r="D558" t="s">
        <v>2990</v>
      </c>
      <c r="E558" t="s">
        <v>16</v>
      </c>
      <c r="F558" t="s">
        <v>1447</v>
      </c>
      <c r="G558" s="2">
        <v>0.4236111111111111</v>
      </c>
      <c r="H558" t="s">
        <v>1200</v>
      </c>
      <c r="I558" t="s">
        <v>1201</v>
      </c>
      <c r="L558" t="s">
        <v>1363</v>
      </c>
      <c r="X558" t="s">
        <v>498</v>
      </c>
      <c r="Z558" t="s">
        <v>1496</v>
      </c>
      <c r="AB558" t="s">
        <v>776</v>
      </c>
      <c r="AC558">
        <v>2</v>
      </c>
      <c r="AD558" t="s">
        <v>1245</v>
      </c>
      <c r="AE558" t="s">
        <v>546</v>
      </c>
      <c r="AF558">
        <v>2</v>
      </c>
      <c r="AG558" t="s">
        <v>1203</v>
      </c>
    </row>
    <row r="559" spans="1:33" x14ac:dyDescent="0.3">
      <c r="A559" t="s">
        <v>592</v>
      </c>
      <c r="B559" t="s">
        <v>2991</v>
      </c>
      <c r="C559" t="s">
        <v>2992</v>
      </c>
      <c r="D559" t="s">
        <v>2993</v>
      </c>
      <c r="E559" t="s">
        <v>16</v>
      </c>
      <c r="F559" t="s">
        <v>1451</v>
      </c>
      <c r="G559" s="2">
        <v>0.41666666666666669</v>
      </c>
      <c r="H559" t="s">
        <v>1200</v>
      </c>
      <c r="I559" t="s">
        <v>1201</v>
      </c>
      <c r="L559" t="s">
        <v>1363</v>
      </c>
      <c r="X559" t="s">
        <v>498</v>
      </c>
      <c r="Y559">
        <v>2</v>
      </c>
      <c r="Z559" t="s">
        <v>1203</v>
      </c>
      <c r="AB559" t="s">
        <v>776</v>
      </c>
      <c r="AC559">
        <v>2</v>
      </c>
      <c r="AD559" t="s">
        <v>1203</v>
      </c>
      <c r="AE559" t="s">
        <v>546</v>
      </c>
      <c r="AF559">
        <v>2</v>
      </c>
      <c r="AG559" t="s">
        <v>1396</v>
      </c>
    </row>
    <row r="560" spans="1:33" x14ac:dyDescent="0.3">
      <c r="A560" t="s">
        <v>592</v>
      </c>
      <c r="B560" t="s">
        <v>2994</v>
      </c>
      <c r="C560" t="s">
        <v>2995</v>
      </c>
      <c r="D560" t="s">
        <v>2996</v>
      </c>
      <c r="E560" t="s">
        <v>16</v>
      </c>
      <c r="F560" t="s">
        <v>1455</v>
      </c>
      <c r="G560" s="2">
        <v>0.40972222222222227</v>
      </c>
      <c r="H560" t="s">
        <v>1200</v>
      </c>
      <c r="I560" t="s">
        <v>1201</v>
      </c>
      <c r="L560" t="s">
        <v>1363</v>
      </c>
      <c r="X560" t="s">
        <v>498</v>
      </c>
      <c r="Y560">
        <v>2</v>
      </c>
      <c r="Z560" t="s">
        <v>1245</v>
      </c>
      <c r="AB560" t="s">
        <v>776</v>
      </c>
      <c r="AC560">
        <v>2</v>
      </c>
      <c r="AD560" t="s">
        <v>1203</v>
      </c>
      <c r="AE560" t="s">
        <v>546</v>
      </c>
      <c r="AF560">
        <v>2</v>
      </c>
      <c r="AG560" t="s">
        <v>1203</v>
      </c>
    </row>
    <row r="561" spans="1:33" x14ac:dyDescent="0.3">
      <c r="A561" t="s">
        <v>592</v>
      </c>
      <c r="B561" t="s">
        <v>2997</v>
      </c>
      <c r="C561" t="s">
        <v>2998</v>
      </c>
      <c r="D561" t="s">
        <v>2999</v>
      </c>
      <c r="E561" t="s">
        <v>16</v>
      </c>
      <c r="F561" t="s">
        <v>1459</v>
      </c>
      <c r="G561" s="2">
        <v>0.40277777777777773</v>
      </c>
      <c r="H561" t="s">
        <v>1200</v>
      </c>
      <c r="I561" t="s">
        <v>1201</v>
      </c>
      <c r="L561" t="s">
        <v>1363</v>
      </c>
      <c r="X561" t="s">
        <v>498</v>
      </c>
      <c r="Y561">
        <v>2</v>
      </c>
      <c r="Z561" t="s">
        <v>1245</v>
      </c>
      <c r="AB561" t="s">
        <v>776</v>
      </c>
      <c r="AC561">
        <v>2</v>
      </c>
      <c r="AD561" t="s">
        <v>2521</v>
      </c>
      <c r="AE561" t="s">
        <v>546</v>
      </c>
      <c r="AF561">
        <v>2</v>
      </c>
      <c r="AG561" t="s">
        <v>1396</v>
      </c>
    </row>
    <row r="562" spans="1:33" x14ac:dyDescent="0.3">
      <c r="A562" t="s">
        <v>592</v>
      </c>
      <c r="B562" t="s">
        <v>3000</v>
      </c>
      <c r="C562" t="s">
        <v>3001</v>
      </c>
      <c r="D562" t="s">
        <v>3002</v>
      </c>
      <c r="E562" t="s">
        <v>16</v>
      </c>
      <c r="F562" t="s">
        <v>1463</v>
      </c>
      <c r="G562" s="2">
        <v>0.39583333333333331</v>
      </c>
      <c r="H562" t="s">
        <v>1200</v>
      </c>
      <c r="I562" t="s">
        <v>1201</v>
      </c>
      <c r="L562" t="s">
        <v>1363</v>
      </c>
      <c r="X562" t="s">
        <v>498</v>
      </c>
      <c r="Y562">
        <v>2</v>
      </c>
      <c r="Z562" t="s">
        <v>1396</v>
      </c>
      <c r="AB562" t="s">
        <v>776</v>
      </c>
      <c r="AC562">
        <v>2</v>
      </c>
      <c r="AD562" t="s">
        <v>2521</v>
      </c>
      <c r="AE562" t="s">
        <v>546</v>
      </c>
      <c r="AF562">
        <v>2</v>
      </c>
      <c r="AG562" t="s">
        <v>1396</v>
      </c>
    </row>
    <row r="563" spans="1:33" x14ac:dyDescent="0.3">
      <c r="A563" t="s">
        <v>592</v>
      </c>
      <c r="B563" t="s">
        <v>3003</v>
      </c>
      <c r="C563" t="s">
        <v>3004</v>
      </c>
      <c r="D563" t="s">
        <v>3005</v>
      </c>
      <c r="E563" t="s">
        <v>16</v>
      </c>
      <c r="F563" t="s">
        <v>1469</v>
      </c>
      <c r="G563" s="2">
        <v>0.3888888888888889</v>
      </c>
      <c r="H563" t="s">
        <v>1200</v>
      </c>
      <c r="I563" t="s">
        <v>1201</v>
      </c>
      <c r="L563" t="s">
        <v>1363</v>
      </c>
      <c r="X563" t="s">
        <v>498</v>
      </c>
      <c r="Y563">
        <v>2</v>
      </c>
      <c r="Z563" t="s">
        <v>1396</v>
      </c>
      <c r="AB563" t="s">
        <v>776</v>
      </c>
      <c r="AC563">
        <v>2</v>
      </c>
      <c r="AD563" t="s">
        <v>1396</v>
      </c>
      <c r="AE563" t="s">
        <v>546</v>
      </c>
      <c r="AF563">
        <v>2</v>
      </c>
      <c r="AG563" t="s">
        <v>1396</v>
      </c>
    </row>
    <row r="564" spans="1:33" x14ac:dyDescent="0.3">
      <c r="A564" t="s">
        <v>592</v>
      </c>
      <c r="B564" t="s">
        <v>3006</v>
      </c>
      <c r="C564" t="s">
        <v>3007</v>
      </c>
      <c r="D564" t="s">
        <v>3008</v>
      </c>
      <c r="E564" t="s">
        <v>16</v>
      </c>
      <c r="F564" t="s">
        <v>1473</v>
      </c>
      <c r="G564" s="2">
        <v>0.38194444444444442</v>
      </c>
      <c r="H564" t="s">
        <v>1200</v>
      </c>
      <c r="I564" t="s">
        <v>1201</v>
      </c>
      <c r="L564" t="s">
        <v>1363</v>
      </c>
      <c r="X564" t="s">
        <v>498</v>
      </c>
      <c r="Y564">
        <v>2</v>
      </c>
      <c r="Z564" t="s">
        <v>1203</v>
      </c>
      <c r="AB564" t="s">
        <v>776</v>
      </c>
      <c r="AC564">
        <v>2</v>
      </c>
      <c r="AD564" t="s">
        <v>2521</v>
      </c>
      <c r="AE564" t="s">
        <v>546</v>
      </c>
      <c r="AF564">
        <v>2</v>
      </c>
      <c r="AG564" t="s">
        <v>1396</v>
      </c>
    </row>
    <row r="565" spans="1:33" x14ac:dyDescent="0.3">
      <c r="A565" t="s">
        <v>592</v>
      </c>
      <c r="B565" t="s">
        <v>3009</v>
      </c>
      <c r="C565" t="s">
        <v>3010</v>
      </c>
      <c r="D565" t="s">
        <v>3011</v>
      </c>
      <c r="E565" t="s">
        <v>16</v>
      </c>
      <c r="F565" t="s">
        <v>1477</v>
      </c>
      <c r="G565" s="2">
        <v>0.375</v>
      </c>
      <c r="H565" t="s">
        <v>1200</v>
      </c>
      <c r="I565" t="s">
        <v>1201</v>
      </c>
      <c r="L565" t="s">
        <v>1202</v>
      </c>
      <c r="X565" t="s">
        <v>498</v>
      </c>
      <c r="Y565">
        <v>2</v>
      </c>
      <c r="Z565" t="s">
        <v>1396</v>
      </c>
      <c r="AB565" t="s">
        <v>776</v>
      </c>
      <c r="AC565">
        <v>2</v>
      </c>
      <c r="AD565" t="s">
        <v>1396</v>
      </c>
      <c r="AE565" t="s">
        <v>546</v>
      </c>
      <c r="AF565">
        <v>2</v>
      </c>
      <c r="AG565" t="s">
        <v>1396</v>
      </c>
    </row>
    <row r="566" spans="1:33" x14ac:dyDescent="0.3">
      <c r="A566" t="s">
        <v>592</v>
      </c>
      <c r="B566" t="s">
        <v>3012</v>
      </c>
      <c r="C566" t="s">
        <v>3013</v>
      </c>
      <c r="D566" t="s">
        <v>3014</v>
      </c>
      <c r="E566" t="s">
        <v>16</v>
      </c>
      <c r="F566" t="s">
        <v>1482</v>
      </c>
      <c r="G566" s="2">
        <v>0.36805555555555558</v>
      </c>
      <c r="H566" t="s">
        <v>1200</v>
      </c>
      <c r="I566" t="s">
        <v>1201</v>
      </c>
      <c r="L566" t="s">
        <v>1363</v>
      </c>
      <c r="X566" t="s">
        <v>498</v>
      </c>
      <c r="Y566">
        <v>2</v>
      </c>
      <c r="Z566" t="s">
        <v>1396</v>
      </c>
      <c r="AB566" t="s">
        <v>776</v>
      </c>
      <c r="AC566">
        <v>2</v>
      </c>
      <c r="AD566" t="s">
        <v>1396</v>
      </c>
      <c r="AE566" t="s">
        <v>546</v>
      </c>
      <c r="AF566">
        <v>2</v>
      </c>
      <c r="AG566" t="s">
        <v>1396</v>
      </c>
    </row>
    <row r="567" spans="1:33" x14ac:dyDescent="0.3">
      <c r="A567" t="s">
        <v>592</v>
      </c>
      <c r="B567" t="s">
        <v>3015</v>
      </c>
      <c r="C567" t="s">
        <v>3016</v>
      </c>
      <c r="D567" t="s">
        <v>3017</v>
      </c>
      <c r="E567" t="s">
        <v>16</v>
      </c>
      <c r="F567" t="s">
        <v>1486</v>
      </c>
      <c r="G567" s="2">
        <v>0.3611111111111111</v>
      </c>
      <c r="H567" t="s">
        <v>1200</v>
      </c>
      <c r="I567" t="s">
        <v>1201</v>
      </c>
      <c r="L567" t="s">
        <v>1363</v>
      </c>
      <c r="X567" t="s">
        <v>498</v>
      </c>
      <c r="Y567">
        <v>2</v>
      </c>
      <c r="Z567" t="s">
        <v>1396</v>
      </c>
      <c r="AB567" t="s">
        <v>776</v>
      </c>
      <c r="AC567">
        <v>2</v>
      </c>
      <c r="AD567" t="s">
        <v>1396</v>
      </c>
      <c r="AE567" t="s">
        <v>546</v>
      </c>
      <c r="AF567">
        <v>2</v>
      </c>
      <c r="AG567" t="s">
        <v>1396</v>
      </c>
    </row>
    <row r="568" spans="1:33" x14ac:dyDescent="0.3">
      <c r="A568" t="s">
        <v>592</v>
      </c>
      <c r="B568" t="s">
        <v>3018</v>
      </c>
      <c r="C568" t="s">
        <v>3019</v>
      </c>
      <c r="D568" t="s">
        <v>3020</v>
      </c>
      <c r="E568" t="s">
        <v>16</v>
      </c>
      <c r="F568" t="s">
        <v>1490</v>
      </c>
      <c r="G568" s="2">
        <v>0.35416666666666669</v>
      </c>
      <c r="H568" t="s">
        <v>1200</v>
      </c>
      <c r="I568" t="s">
        <v>1201</v>
      </c>
      <c r="L568" t="s">
        <v>1363</v>
      </c>
      <c r="X568" t="s">
        <v>498</v>
      </c>
      <c r="Y568">
        <v>2</v>
      </c>
      <c r="Z568" t="s">
        <v>1396</v>
      </c>
      <c r="AB568" t="s">
        <v>776</v>
      </c>
      <c r="AC568">
        <v>3</v>
      </c>
      <c r="AD568" t="s">
        <v>1396</v>
      </c>
      <c r="AE568" t="s">
        <v>546</v>
      </c>
      <c r="AF568">
        <v>2</v>
      </c>
      <c r="AG568" t="s">
        <v>1396</v>
      </c>
    </row>
    <row r="569" spans="1:33" x14ac:dyDescent="0.3">
      <c r="A569" t="s">
        <v>592</v>
      </c>
      <c r="B569" t="s">
        <v>3021</v>
      </c>
      <c r="C569" t="s">
        <v>3022</v>
      </c>
      <c r="D569" t="s">
        <v>3023</v>
      </c>
      <c r="E569" t="s">
        <v>16</v>
      </c>
      <c r="F569" t="s">
        <v>1495</v>
      </c>
      <c r="G569" s="2">
        <v>0.34722222222222227</v>
      </c>
      <c r="H569" t="s">
        <v>1200</v>
      </c>
      <c r="I569" t="s">
        <v>1201</v>
      </c>
      <c r="L569" t="s">
        <v>1363</v>
      </c>
    </row>
    <row r="570" spans="1:33" x14ac:dyDescent="0.3">
      <c r="A570" t="s">
        <v>592</v>
      </c>
      <c r="B570" t="s">
        <v>3024</v>
      </c>
      <c r="C570" t="s">
        <v>3025</v>
      </c>
      <c r="D570" t="s">
        <v>3026</v>
      </c>
      <c r="E570" t="s">
        <v>16</v>
      </c>
      <c r="F570" t="s">
        <v>1500</v>
      </c>
      <c r="G570" s="2">
        <v>0.34027777777777773</v>
      </c>
      <c r="H570" t="s">
        <v>1200</v>
      </c>
      <c r="I570" t="s">
        <v>1201</v>
      </c>
      <c r="L570" t="s">
        <v>1363</v>
      </c>
    </row>
    <row r="571" spans="1:33" x14ac:dyDescent="0.3">
      <c r="A571" t="s">
        <v>592</v>
      </c>
      <c r="B571" t="s">
        <v>3027</v>
      </c>
      <c r="C571" t="s">
        <v>3028</v>
      </c>
      <c r="D571" t="s">
        <v>3029</v>
      </c>
      <c r="E571" t="s">
        <v>16</v>
      </c>
      <c r="F571" t="s">
        <v>3030</v>
      </c>
      <c r="G571" s="2">
        <v>0.33333333333333331</v>
      </c>
      <c r="H571" t="s">
        <v>1200</v>
      </c>
      <c r="I571" t="s">
        <v>1201</v>
      </c>
      <c r="L571" t="s">
        <v>1363</v>
      </c>
    </row>
    <row r="572" spans="1:33" x14ac:dyDescent="0.3">
      <c r="A572" t="s">
        <v>592</v>
      </c>
      <c r="B572" t="s">
        <v>3031</v>
      </c>
      <c r="C572" t="s">
        <v>3032</v>
      </c>
      <c r="D572" t="s">
        <v>3033</v>
      </c>
      <c r="E572" t="s">
        <v>16</v>
      </c>
      <c r="F572" t="s">
        <v>3034</v>
      </c>
      <c r="G572" s="2">
        <v>0.3263888888888889</v>
      </c>
      <c r="H572" t="s">
        <v>1200</v>
      </c>
      <c r="I572" t="s">
        <v>1201</v>
      </c>
      <c r="M572" t="s">
        <v>1640</v>
      </c>
      <c r="S572" t="s">
        <v>1224</v>
      </c>
      <c r="T572" t="s">
        <v>1703</v>
      </c>
      <c r="V572" t="s">
        <v>1226</v>
      </c>
      <c r="W572" t="s">
        <v>1227</v>
      </c>
    </row>
    <row r="573" spans="1:33" x14ac:dyDescent="0.3">
      <c r="A573" t="s">
        <v>592</v>
      </c>
      <c r="B573" t="s">
        <v>3035</v>
      </c>
      <c r="C573" t="s">
        <v>3036</v>
      </c>
      <c r="D573" t="s">
        <v>3037</v>
      </c>
      <c r="E573" t="s">
        <v>16</v>
      </c>
      <c r="F573" t="s">
        <v>3038</v>
      </c>
      <c r="G573" s="2">
        <v>0.31944444444444448</v>
      </c>
      <c r="H573" t="s">
        <v>1200</v>
      </c>
      <c r="I573" t="s">
        <v>1201</v>
      </c>
      <c r="M573" t="s">
        <v>1292</v>
      </c>
      <c r="S573" t="s">
        <v>1224</v>
      </c>
      <c r="T573" t="s">
        <v>1703</v>
      </c>
      <c r="V573" t="s">
        <v>1226</v>
      </c>
      <c r="W573" t="s">
        <v>1227</v>
      </c>
    </row>
    <row r="574" spans="1:33" x14ac:dyDescent="0.3">
      <c r="A574" t="s">
        <v>592</v>
      </c>
      <c r="B574" t="s">
        <v>3039</v>
      </c>
      <c r="C574" t="s">
        <v>3040</v>
      </c>
      <c r="D574" t="s">
        <v>3041</v>
      </c>
      <c r="E574" t="s">
        <v>16</v>
      </c>
      <c r="F574" t="s">
        <v>3042</v>
      </c>
      <c r="G574" s="2">
        <v>0.3125</v>
      </c>
      <c r="H574" t="s">
        <v>1200</v>
      </c>
      <c r="I574" t="s">
        <v>1201</v>
      </c>
      <c r="M574" t="s">
        <v>1292</v>
      </c>
    </row>
    <row r="575" spans="1:33" x14ac:dyDescent="0.3">
      <c r="A575" t="s">
        <v>596</v>
      </c>
      <c r="B575" t="s">
        <v>3043</v>
      </c>
      <c r="C575" t="s">
        <v>3044</v>
      </c>
      <c r="D575" t="s">
        <v>3045</v>
      </c>
      <c r="E575" t="s">
        <v>16</v>
      </c>
      <c r="F575" t="s">
        <v>1558</v>
      </c>
      <c r="G575" s="2">
        <v>0.61805555555555558</v>
      </c>
      <c r="H575" t="s">
        <v>1200</v>
      </c>
      <c r="I575" t="s">
        <v>1201</v>
      </c>
      <c r="L575" t="s">
        <v>1363</v>
      </c>
    </row>
    <row r="576" spans="1:33" x14ac:dyDescent="0.3">
      <c r="A576" t="s">
        <v>596</v>
      </c>
      <c r="B576" t="s">
        <v>3046</v>
      </c>
      <c r="C576" t="s">
        <v>3047</v>
      </c>
      <c r="D576" t="s">
        <v>3048</v>
      </c>
      <c r="E576" t="s">
        <v>16</v>
      </c>
      <c r="F576" t="s">
        <v>1358</v>
      </c>
      <c r="G576" s="2">
        <v>0.61111111111111105</v>
      </c>
      <c r="H576" t="s">
        <v>1200</v>
      </c>
      <c r="I576" t="s">
        <v>1201</v>
      </c>
      <c r="L576" t="s">
        <v>1363</v>
      </c>
    </row>
    <row r="577" spans="1:12" x14ac:dyDescent="0.3">
      <c r="A577" t="s">
        <v>596</v>
      </c>
      <c r="B577" t="s">
        <v>3049</v>
      </c>
      <c r="C577" t="s">
        <v>3050</v>
      </c>
      <c r="D577" t="s">
        <v>3051</v>
      </c>
      <c r="E577" t="s">
        <v>16</v>
      </c>
      <c r="F577" t="s">
        <v>1362</v>
      </c>
      <c r="G577" s="2">
        <v>0.60416666666666663</v>
      </c>
      <c r="H577" t="s">
        <v>1200</v>
      </c>
      <c r="I577" t="s">
        <v>1201</v>
      </c>
      <c r="L577" t="s">
        <v>1363</v>
      </c>
    </row>
    <row r="578" spans="1:12" x14ac:dyDescent="0.3">
      <c r="A578" t="s">
        <v>596</v>
      </c>
      <c r="B578" t="s">
        <v>3052</v>
      </c>
      <c r="C578" t="s">
        <v>3053</v>
      </c>
      <c r="D578" t="s">
        <v>3054</v>
      </c>
      <c r="E578" t="s">
        <v>16</v>
      </c>
      <c r="F578" t="s">
        <v>1367</v>
      </c>
      <c r="G578" s="2">
        <v>0.59722222222222221</v>
      </c>
      <c r="H578" t="s">
        <v>1200</v>
      </c>
      <c r="I578" t="s">
        <v>1201</v>
      </c>
      <c r="L578" t="s">
        <v>1363</v>
      </c>
    </row>
    <row r="579" spans="1:12" x14ac:dyDescent="0.3">
      <c r="A579" t="s">
        <v>596</v>
      </c>
      <c r="B579" t="s">
        <v>3055</v>
      </c>
      <c r="C579" t="s">
        <v>3056</v>
      </c>
      <c r="D579" t="s">
        <v>3057</v>
      </c>
      <c r="E579" t="s">
        <v>16</v>
      </c>
      <c r="F579" t="s">
        <v>1371</v>
      </c>
      <c r="G579" s="2">
        <v>0.59027777777777779</v>
      </c>
      <c r="H579" t="s">
        <v>1200</v>
      </c>
      <c r="I579" t="s">
        <v>1201</v>
      </c>
      <c r="L579" t="s">
        <v>1363</v>
      </c>
    </row>
    <row r="580" spans="1:12" x14ac:dyDescent="0.3">
      <c r="A580" t="s">
        <v>596</v>
      </c>
      <c r="B580" t="s">
        <v>3058</v>
      </c>
      <c r="C580" t="s">
        <v>3059</v>
      </c>
      <c r="D580" t="s">
        <v>3060</v>
      </c>
      <c r="E580" t="s">
        <v>16</v>
      </c>
      <c r="F580" t="s">
        <v>1199</v>
      </c>
      <c r="G580" s="2">
        <v>0.58333333333333337</v>
      </c>
      <c r="H580" t="s">
        <v>1200</v>
      </c>
      <c r="I580" t="s">
        <v>1201</v>
      </c>
      <c r="L580" t="s">
        <v>1202</v>
      </c>
    </row>
    <row r="581" spans="1:12" x14ac:dyDescent="0.3">
      <c r="A581" t="s">
        <v>596</v>
      </c>
      <c r="B581" t="s">
        <v>3061</v>
      </c>
      <c r="C581" t="s">
        <v>3062</v>
      </c>
      <c r="D581" t="s">
        <v>3063</v>
      </c>
      <c r="E581" t="s">
        <v>16</v>
      </c>
      <c r="F581" t="s">
        <v>1207</v>
      </c>
      <c r="G581" s="2">
        <v>0.57638888888888895</v>
      </c>
      <c r="H581" t="s">
        <v>1200</v>
      </c>
      <c r="I581" t="s">
        <v>1201</v>
      </c>
      <c r="L581" t="s">
        <v>1202</v>
      </c>
    </row>
    <row r="582" spans="1:12" x14ac:dyDescent="0.3">
      <c r="A582" t="s">
        <v>596</v>
      </c>
      <c r="B582" t="s">
        <v>3064</v>
      </c>
      <c r="C582" t="s">
        <v>3065</v>
      </c>
      <c r="D582" t="s">
        <v>3066</v>
      </c>
      <c r="E582" t="s">
        <v>16</v>
      </c>
      <c r="F582" t="s">
        <v>1211</v>
      </c>
      <c r="G582" s="2">
        <v>0.56944444444444442</v>
      </c>
      <c r="H582" t="s">
        <v>1200</v>
      </c>
      <c r="I582" t="s">
        <v>1201</v>
      </c>
      <c r="L582" t="s">
        <v>1202</v>
      </c>
    </row>
    <row r="583" spans="1:12" x14ac:dyDescent="0.3">
      <c r="A583" t="s">
        <v>596</v>
      </c>
      <c r="B583" t="s">
        <v>3067</v>
      </c>
      <c r="C583" t="s">
        <v>3068</v>
      </c>
      <c r="D583" t="s">
        <v>3069</v>
      </c>
      <c r="E583" t="s">
        <v>16</v>
      </c>
      <c r="F583" t="s">
        <v>1215</v>
      </c>
      <c r="G583" s="2">
        <v>0.5625</v>
      </c>
      <c r="H583" t="s">
        <v>1200</v>
      </c>
      <c r="I583" t="s">
        <v>1201</v>
      </c>
      <c r="L583" t="s">
        <v>1202</v>
      </c>
    </row>
    <row r="584" spans="1:12" x14ac:dyDescent="0.3">
      <c r="A584" t="s">
        <v>596</v>
      </c>
      <c r="B584" t="s">
        <v>3070</v>
      </c>
      <c r="C584" t="s">
        <v>3071</v>
      </c>
      <c r="D584" t="s">
        <v>3072</v>
      </c>
      <c r="E584" t="s">
        <v>16</v>
      </c>
      <c r="F584" t="s">
        <v>1221</v>
      </c>
      <c r="G584" s="2">
        <v>0.55555555555555558</v>
      </c>
      <c r="H584" t="s">
        <v>1200</v>
      </c>
      <c r="I584" t="s">
        <v>1201</v>
      </c>
      <c r="L584" t="s">
        <v>1255</v>
      </c>
    </row>
    <row r="585" spans="1:12" x14ac:dyDescent="0.3">
      <c r="A585" t="s">
        <v>596</v>
      </c>
      <c r="B585" t="s">
        <v>3073</v>
      </c>
      <c r="C585" t="s">
        <v>3074</v>
      </c>
      <c r="D585" t="s">
        <v>3075</v>
      </c>
      <c r="E585" t="s">
        <v>16</v>
      </c>
      <c r="F585" t="s">
        <v>1232</v>
      </c>
      <c r="G585" s="2">
        <v>0.54861111111111105</v>
      </c>
      <c r="H585" t="s">
        <v>1200</v>
      </c>
      <c r="I585" t="s">
        <v>1201</v>
      </c>
      <c r="K585" t="s">
        <v>1250</v>
      </c>
    </row>
    <row r="586" spans="1:12" x14ac:dyDescent="0.3">
      <c r="A586" t="s">
        <v>596</v>
      </c>
      <c r="B586" s="3" t="s">
        <v>3076</v>
      </c>
      <c r="C586" t="s">
        <v>3077</v>
      </c>
      <c r="D586" t="s">
        <v>3078</v>
      </c>
      <c r="E586" t="s">
        <v>16</v>
      </c>
      <c r="F586" t="s">
        <v>1236</v>
      </c>
      <c r="G586" s="2">
        <v>0.54166666666666663</v>
      </c>
      <c r="H586" t="s">
        <v>1200</v>
      </c>
      <c r="I586" t="s">
        <v>1201</v>
      </c>
      <c r="K586" t="s">
        <v>1250</v>
      </c>
    </row>
    <row r="587" spans="1:12" x14ac:dyDescent="0.3">
      <c r="A587" t="s">
        <v>596</v>
      </c>
      <c r="B587" t="s">
        <v>3079</v>
      </c>
      <c r="C587" t="s">
        <v>3080</v>
      </c>
      <c r="D587" t="s">
        <v>3081</v>
      </c>
      <c r="E587" t="s">
        <v>16</v>
      </c>
      <c r="F587" t="s">
        <v>1240</v>
      </c>
      <c r="G587" s="2">
        <v>0.53472222222222221</v>
      </c>
      <c r="H587" t="s">
        <v>1200</v>
      </c>
      <c r="I587" t="s">
        <v>1201</v>
      </c>
      <c r="K587" t="s">
        <v>1250</v>
      </c>
    </row>
    <row r="588" spans="1:12" x14ac:dyDescent="0.3">
      <c r="A588" t="s">
        <v>596</v>
      </c>
      <c r="B588" t="s">
        <v>3082</v>
      </c>
      <c r="C588" t="s">
        <v>3083</v>
      </c>
      <c r="D588" t="s">
        <v>3084</v>
      </c>
      <c r="E588" t="s">
        <v>16</v>
      </c>
      <c r="F588" t="s">
        <v>1244</v>
      </c>
      <c r="G588" s="2">
        <v>0.52777777777777779</v>
      </c>
      <c r="H588" t="s">
        <v>1200</v>
      </c>
      <c r="I588" t="s">
        <v>1201</v>
      </c>
      <c r="L588" t="s">
        <v>1255</v>
      </c>
    </row>
    <row r="589" spans="1:12" x14ac:dyDescent="0.3">
      <c r="A589" t="s">
        <v>596</v>
      </c>
      <c r="B589" t="s">
        <v>3085</v>
      </c>
      <c r="C589" t="s">
        <v>3086</v>
      </c>
      <c r="D589" t="s">
        <v>3087</v>
      </c>
      <c r="E589" t="s">
        <v>16</v>
      </c>
      <c r="F589" t="s">
        <v>1249</v>
      </c>
      <c r="G589" s="2">
        <v>0.52083333333333337</v>
      </c>
      <c r="H589" t="s">
        <v>1200</v>
      </c>
      <c r="I589" t="s">
        <v>1201</v>
      </c>
      <c r="K589" t="s">
        <v>1250</v>
      </c>
    </row>
    <row r="590" spans="1:12" x14ac:dyDescent="0.3">
      <c r="A590" t="s">
        <v>596</v>
      </c>
      <c r="B590" t="s">
        <v>3088</v>
      </c>
      <c r="C590" t="s">
        <v>3089</v>
      </c>
      <c r="D590" t="s">
        <v>3090</v>
      </c>
      <c r="E590" t="s">
        <v>16</v>
      </c>
      <c r="F590" t="s">
        <v>1406</v>
      </c>
      <c r="G590" s="2">
        <v>0.51388888888888895</v>
      </c>
      <c r="H590" t="s">
        <v>1200</v>
      </c>
      <c r="I590" t="s">
        <v>1201</v>
      </c>
      <c r="K590" t="s">
        <v>1250</v>
      </c>
    </row>
    <row r="591" spans="1:12" x14ac:dyDescent="0.3">
      <c r="A591" t="s">
        <v>596</v>
      </c>
      <c r="B591" t="s">
        <v>3091</v>
      </c>
      <c r="C591" t="s">
        <v>3092</v>
      </c>
      <c r="D591" t="s">
        <v>3093</v>
      </c>
      <c r="E591" t="s">
        <v>16</v>
      </c>
      <c r="F591" t="s">
        <v>1254</v>
      </c>
      <c r="G591" s="2">
        <v>0.50694444444444442</v>
      </c>
      <c r="H591" t="s">
        <v>1200</v>
      </c>
      <c r="I591" t="s">
        <v>1201</v>
      </c>
      <c r="L591" t="s">
        <v>1363</v>
      </c>
    </row>
    <row r="592" spans="1:12" x14ac:dyDescent="0.3">
      <c r="A592" t="s">
        <v>596</v>
      </c>
      <c r="B592" t="s">
        <v>3094</v>
      </c>
      <c r="C592" t="s">
        <v>3095</v>
      </c>
      <c r="D592" t="s">
        <v>3096</v>
      </c>
      <c r="E592" t="s">
        <v>16</v>
      </c>
      <c r="F592" t="s">
        <v>1259</v>
      </c>
      <c r="G592" s="2">
        <v>0.5</v>
      </c>
      <c r="H592" t="s">
        <v>1200</v>
      </c>
      <c r="I592" t="s">
        <v>1201</v>
      </c>
      <c r="L592" t="s">
        <v>1363</v>
      </c>
    </row>
    <row r="593" spans="1:26" x14ac:dyDescent="0.3">
      <c r="A593" t="s">
        <v>596</v>
      </c>
      <c r="B593" t="s">
        <v>3097</v>
      </c>
      <c r="C593" t="s">
        <v>3098</v>
      </c>
      <c r="D593" t="s">
        <v>3099</v>
      </c>
      <c r="E593" t="s">
        <v>16</v>
      </c>
      <c r="F593" t="s">
        <v>1265</v>
      </c>
      <c r="G593" s="2">
        <v>0.49305555555555558</v>
      </c>
      <c r="H593" t="s">
        <v>1200</v>
      </c>
      <c r="I593" t="s">
        <v>1201</v>
      </c>
      <c r="L593" t="s">
        <v>1363</v>
      </c>
    </row>
    <row r="594" spans="1:26" x14ac:dyDescent="0.3">
      <c r="A594" t="s">
        <v>596</v>
      </c>
      <c r="B594" t="s">
        <v>3100</v>
      </c>
      <c r="C594" t="s">
        <v>3101</v>
      </c>
      <c r="D594" t="s">
        <v>3102</v>
      </c>
      <c r="E594" t="s">
        <v>16</v>
      </c>
      <c r="F594" t="s">
        <v>1270</v>
      </c>
      <c r="G594" s="2">
        <v>0.4861111111111111</v>
      </c>
      <c r="H594" t="s">
        <v>1200</v>
      </c>
      <c r="I594" t="s">
        <v>1201</v>
      </c>
      <c r="L594" t="s">
        <v>1363</v>
      </c>
    </row>
    <row r="595" spans="1:26" x14ac:dyDescent="0.3">
      <c r="A595" t="s">
        <v>596</v>
      </c>
      <c r="B595" t="s">
        <v>3103</v>
      </c>
      <c r="C595" t="s">
        <v>3104</v>
      </c>
      <c r="D595" t="s">
        <v>3105</v>
      </c>
      <c r="E595" t="s">
        <v>16</v>
      </c>
      <c r="F595" t="s">
        <v>1274</v>
      </c>
      <c r="G595" s="2">
        <v>0.47916666666666669</v>
      </c>
      <c r="H595" t="s">
        <v>1200</v>
      </c>
      <c r="I595" t="s">
        <v>1201</v>
      </c>
      <c r="L595" t="s">
        <v>1363</v>
      </c>
    </row>
    <row r="596" spans="1:26" x14ac:dyDescent="0.3">
      <c r="A596" t="s">
        <v>596</v>
      </c>
      <c r="B596" t="s">
        <v>3106</v>
      </c>
      <c r="C596" t="s">
        <v>3107</v>
      </c>
      <c r="D596" t="s">
        <v>3108</v>
      </c>
      <c r="E596" t="s">
        <v>16</v>
      </c>
      <c r="F596" t="s">
        <v>1278</v>
      </c>
      <c r="G596" s="2">
        <v>0.47222222222222227</v>
      </c>
      <c r="H596" t="s">
        <v>1200</v>
      </c>
      <c r="I596" t="s">
        <v>1201</v>
      </c>
      <c r="L596" t="s">
        <v>1363</v>
      </c>
    </row>
    <row r="597" spans="1:26" x14ac:dyDescent="0.3">
      <c r="A597" t="s">
        <v>596</v>
      </c>
      <c r="B597" t="s">
        <v>3109</v>
      </c>
      <c r="C597" t="s">
        <v>3110</v>
      </c>
      <c r="D597" t="s">
        <v>3111</v>
      </c>
      <c r="E597" t="s">
        <v>16</v>
      </c>
      <c r="F597" t="s">
        <v>1282</v>
      </c>
      <c r="G597" s="2">
        <v>0.46527777777777773</v>
      </c>
      <c r="H597" t="s">
        <v>1200</v>
      </c>
      <c r="I597" t="s">
        <v>1201</v>
      </c>
      <c r="L597" t="s">
        <v>1363</v>
      </c>
    </row>
    <row r="598" spans="1:26" x14ac:dyDescent="0.3">
      <c r="A598" t="s">
        <v>596</v>
      </c>
      <c r="B598" t="s">
        <v>3112</v>
      </c>
      <c r="C598" t="s">
        <v>3113</v>
      </c>
      <c r="D598" t="s">
        <v>3114</v>
      </c>
      <c r="E598" t="s">
        <v>16</v>
      </c>
      <c r="F598" t="s">
        <v>1287</v>
      </c>
      <c r="G598" s="2">
        <v>0.45833333333333331</v>
      </c>
      <c r="H598" t="s">
        <v>1200</v>
      </c>
      <c r="I598" t="s">
        <v>1201</v>
      </c>
      <c r="L598" t="s">
        <v>1363</v>
      </c>
    </row>
    <row r="599" spans="1:26" x14ac:dyDescent="0.3">
      <c r="A599" t="s">
        <v>596</v>
      </c>
      <c r="B599" t="s">
        <v>3115</v>
      </c>
      <c r="C599" t="s">
        <v>3116</v>
      </c>
      <c r="D599" t="s">
        <v>3117</v>
      </c>
      <c r="E599" t="s">
        <v>16</v>
      </c>
      <c r="F599" t="s">
        <v>1291</v>
      </c>
      <c r="G599" s="2">
        <v>0.4513888888888889</v>
      </c>
      <c r="H599" t="s">
        <v>1200</v>
      </c>
      <c r="I599" t="s">
        <v>1201</v>
      </c>
      <c r="L599" t="s">
        <v>1202</v>
      </c>
    </row>
    <row r="600" spans="1:26" x14ac:dyDescent="0.3">
      <c r="A600" t="s">
        <v>596</v>
      </c>
      <c r="B600" t="s">
        <v>3118</v>
      </c>
      <c r="C600" t="s">
        <v>3119</v>
      </c>
      <c r="D600" t="s">
        <v>3120</v>
      </c>
      <c r="E600" t="s">
        <v>16</v>
      </c>
      <c r="F600" t="s">
        <v>1296</v>
      </c>
      <c r="G600" s="2">
        <v>0.44444444444444442</v>
      </c>
      <c r="H600" t="s">
        <v>1200</v>
      </c>
      <c r="I600" t="s">
        <v>1201</v>
      </c>
      <c r="L600" t="s">
        <v>1202</v>
      </c>
    </row>
    <row r="601" spans="1:26" x14ac:dyDescent="0.3">
      <c r="A601" t="s">
        <v>596</v>
      </c>
      <c r="B601" t="s">
        <v>3121</v>
      </c>
      <c r="C601" t="s">
        <v>3122</v>
      </c>
      <c r="D601" t="s">
        <v>3123</v>
      </c>
      <c r="E601" t="s">
        <v>16</v>
      </c>
      <c r="F601" t="s">
        <v>1300</v>
      </c>
      <c r="G601" s="2">
        <v>0.4375</v>
      </c>
      <c r="H601" t="s">
        <v>1200</v>
      </c>
      <c r="I601" t="s">
        <v>1201</v>
      </c>
      <c r="L601" t="s">
        <v>1202</v>
      </c>
    </row>
    <row r="602" spans="1:26" x14ac:dyDescent="0.3">
      <c r="A602" t="s">
        <v>596</v>
      </c>
      <c r="B602" t="s">
        <v>3124</v>
      </c>
      <c r="C602" t="s">
        <v>3125</v>
      </c>
      <c r="D602" t="s">
        <v>3126</v>
      </c>
      <c r="E602" t="s">
        <v>16</v>
      </c>
      <c r="F602" t="s">
        <v>1443</v>
      </c>
      <c r="G602" s="2">
        <v>0.43055555555555558</v>
      </c>
      <c r="H602" t="s">
        <v>1200</v>
      </c>
      <c r="I602" t="s">
        <v>1201</v>
      </c>
      <c r="L602" t="s">
        <v>1202</v>
      </c>
    </row>
    <row r="603" spans="1:26" x14ac:dyDescent="0.3">
      <c r="A603" t="s">
        <v>596</v>
      </c>
      <c r="B603" t="s">
        <v>3127</v>
      </c>
      <c r="C603" t="s">
        <v>3128</v>
      </c>
      <c r="D603" t="s">
        <v>3129</v>
      </c>
      <c r="E603" t="s">
        <v>16</v>
      </c>
      <c r="F603" t="s">
        <v>1447</v>
      </c>
      <c r="G603" s="2">
        <v>0.4236111111111111</v>
      </c>
      <c r="H603" t="s">
        <v>1200</v>
      </c>
      <c r="I603" t="s">
        <v>1201</v>
      </c>
      <c r="M603" t="s">
        <v>1464</v>
      </c>
    </row>
    <row r="604" spans="1:26" x14ac:dyDescent="0.3">
      <c r="A604" t="s">
        <v>596</v>
      </c>
      <c r="B604" t="s">
        <v>3130</v>
      </c>
      <c r="C604" t="s">
        <v>3131</v>
      </c>
      <c r="D604" t="s">
        <v>3132</v>
      </c>
      <c r="E604" t="s">
        <v>16</v>
      </c>
      <c r="F604" t="s">
        <v>1451</v>
      </c>
      <c r="G604" s="2">
        <v>0.41666666666666669</v>
      </c>
      <c r="H604" t="s">
        <v>1200</v>
      </c>
      <c r="I604" t="s">
        <v>1201</v>
      </c>
      <c r="K604" t="s">
        <v>1250</v>
      </c>
    </row>
    <row r="605" spans="1:26" x14ac:dyDescent="0.3">
      <c r="A605" t="s">
        <v>596</v>
      </c>
      <c r="B605" t="s">
        <v>3133</v>
      </c>
      <c r="C605" t="s">
        <v>3134</v>
      </c>
      <c r="D605" t="s">
        <v>3135</v>
      </c>
      <c r="E605" t="s">
        <v>16</v>
      </c>
      <c r="F605" t="s">
        <v>1455</v>
      </c>
      <c r="G605" s="2">
        <v>0.40972222222222227</v>
      </c>
      <c r="H605" t="s">
        <v>1200</v>
      </c>
      <c r="I605" t="s">
        <v>1201</v>
      </c>
      <c r="L605" t="s">
        <v>1255</v>
      </c>
      <c r="X605" t="s">
        <v>1100</v>
      </c>
      <c r="Y605">
        <v>1</v>
      </c>
      <c r="Z605" t="s">
        <v>1496</v>
      </c>
    </row>
    <row r="606" spans="1:26" x14ac:dyDescent="0.3">
      <c r="A606" t="s">
        <v>596</v>
      </c>
      <c r="B606" t="s">
        <v>3136</v>
      </c>
      <c r="C606" t="s">
        <v>3137</v>
      </c>
      <c r="D606" t="s">
        <v>3138</v>
      </c>
      <c r="E606" t="s">
        <v>16</v>
      </c>
      <c r="F606" t="s">
        <v>1459</v>
      </c>
      <c r="G606" s="2">
        <v>0.40277777777777773</v>
      </c>
      <c r="H606" t="s">
        <v>1200</v>
      </c>
      <c r="I606" t="s">
        <v>1201</v>
      </c>
      <c r="K606" t="s">
        <v>1250</v>
      </c>
      <c r="X606" t="s">
        <v>1100</v>
      </c>
      <c r="Y606">
        <v>2</v>
      </c>
      <c r="Z606" t="s">
        <v>1266</v>
      </c>
    </row>
    <row r="607" spans="1:26" x14ac:dyDescent="0.3">
      <c r="A607" t="s">
        <v>596</v>
      </c>
      <c r="B607" t="s">
        <v>3139</v>
      </c>
      <c r="C607" t="s">
        <v>3140</v>
      </c>
      <c r="D607" t="s">
        <v>3141</v>
      </c>
      <c r="E607" t="s">
        <v>16</v>
      </c>
      <c r="F607" t="s">
        <v>1463</v>
      </c>
      <c r="G607" s="2">
        <v>0.39583333333333331</v>
      </c>
      <c r="H607" t="s">
        <v>1200</v>
      </c>
      <c r="I607" t="s">
        <v>1201</v>
      </c>
      <c r="K607" t="s">
        <v>1250</v>
      </c>
      <c r="X607" t="s">
        <v>1100</v>
      </c>
      <c r="Y607">
        <v>2</v>
      </c>
      <c r="Z607" t="s">
        <v>1266</v>
      </c>
    </row>
    <row r="608" spans="1:26" x14ac:dyDescent="0.3">
      <c r="A608" t="s">
        <v>596</v>
      </c>
      <c r="B608" t="s">
        <v>3142</v>
      </c>
      <c r="C608" t="s">
        <v>3143</v>
      </c>
      <c r="D608" t="s">
        <v>3144</v>
      </c>
      <c r="E608" t="s">
        <v>16</v>
      </c>
      <c r="F608" t="s">
        <v>1469</v>
      </c>
      <c r="G608" s="2">
        <v>0.3888888888888889</v>
      </c>
      <c r="H608" t="s">
        <v>1200</v>
      </c>
      <c r="I608" t="s">
        <v>1201</v>
      </c>
      <c r="L608" t="s">
        <v>1202</v>
      </c>
    </row>
    <row r="609" spans="1:33" x14ac:dyDescent="0.3">
      <c r="A609" t="s">
        <v>596</v>
      </c>
      <c r="B609" t="s">
        <v>3145</v>
      </c>
      <c r="C609" t="s">
        <v>3146</v>
      </c>
      <c r="D609" t="s">
        <v>3147</v>
      </c>
      <c r="E609" t="s">
        <v>16</v>
      </c>
      <c r="F609" t="s">
        <v>1473</v>
      </c>
      <c r="G609" s="2">
        <v>0.38194444444444442</v>
      </c>
      <c r="H609" t="s">
        <v>1200</v>
      </c>
      <c r="I609" t="s">
        <v>1201</v>
      </c>
      <c r="K609" t="s">
        <v>1250</v>
      </c>
      <c r="X609" t="s">
        <v>1100</v>
      </c>
      <c r="Y609">
        <v>2</v>
      </c>
      <c r="Z609" t="s">
        <v>1266</v>
      </c>
    </row>
    <row r="610" spans="1:33" x14ac:dyDescent="0.3">
      <c r="A610" t="s">
        <v>596</v>
      </c>
      <c r="B610" t="s">
        <v>3148</v>
      </c>
      <c r="C610" t="s">
        <v>3149</v>
      </c>
      <c r="D610" t="s">
        <v>3150</v>
      </c>
      <c r="E610" t="s">
        <v>16</v>
      </c>
      <c r="F610" t="s">
        <v>1477</v>
      </c>
      <c r="G610" s="2">
        <v>0.375</v>
      </c>
      <c r="H610" t="s">
        <v>1200</v>
      </c>
      <c r="I610" t="s">
        <v>1201</v>
      </c>
      <c r="K610" t="s">
        <v>1250</v>
      </c>
    </row>
    <row r="611" spans="1:33" x14ac:dyDescent="0.3">
      <c r="A611" t="s">
        <v>596</v>
      </c>
      <c r="B611" t="s">
        <v>3151</v>
      </c>
      <c r="C611" t="s">
        <v>3152</v>
      </c>
      <c r="D611" t="s">
        <v>3153</v>
      </c>
      <c r="E611" t="s">
        <v>16</v>
      </c>
      <c r="F611" t="s">
        <v>1482</v>
      </c>
      <c r="G611" s="2">
        <v>0.36805555555555558</v>
      </c>
      <c r="H611" t="s">
        <v>1200</v>
      </c>
      <c r="I611" t="s">
        <v>1201</v>
      </c>
      <c r="K611" t="s">
        <v>1250</v>
      </c>
    </row>
    <row r="612" spans="1:33" x14ac:dyDescent="0.3">
      <c r="A612" t="s">
        <v>596</v>
      </c>
      <c r="B612" t="s">
        <v>3154</v>
      </c>
      <c r="C612" t="s">
        <v>3155</v>
      </c>
      <c r="D612" t="s">
        <v>3156</v>
      </c>
      <c r="E612" t="s">
        <v>16</v>
      </c>
      <c r="F612" t="s">
        <v>1486</v>
      </c>
      <c r="G612" s="2">
        <v>0.3611111111111111</v>
      </c>
      <c r="H612" t="s">
        <v>1200</v>
      </c>
      <c r="I612" t="s">
        <v>1201</v>
      </c>
      <c r="K612" t="s">
        <v>1250</v>
      </c>
    </row>
    <row r="613" spans="1:33" x14ac:dyDescent="0.3">
      <c r="A613" t="s">
        <v>596</v>
      </c>
      <c r="B613" t="s">
        <v>3157</v>
      </c>
      <c r="C613" t="s">
        <v>3158</v>
      </c>
      <c r="D613" t="s">
        <v>3159</v>
      </c>
      <c r="E613" t="s">
        <v>16</v>
      </c>
      <c r="F613" t="s">
        <v>1490</v>
      </c>
      <c r="G613" s="2">
        <v>0.35416666666666669</v>
      </c>
      <c r="H613" t="s">
        <v>1200</v>
      </c>
      <c r="I613" t="s">
        <v>1201</v>
      </c>
      <c r="M613" t="s">
        <v>1464</v>
      </c>
      <c r="X613" t="s">
        <v>1100</v>
      </c>
      <c r="Y613">
        <v>1</v>
      </c>
      <c r="Z613" t="s">
        <v>1465</v>
      </c>
      <c r="AB613" t="s">
        <v>546</v>
      </c>
      <c r="AC613">
        <v>2</v>
      </c>
      <c r="AD613" t="s">
        <v>1465</v>
      </c>
    </row>
    <row r="614" spans="1:33" x14ac:dyDescent="0.3">
      <c r="A614" t="s">
        <v>596</v>
      </c>
      <c r="B614" t="s">
        <v>3160</v>
      </c>
      <c r="C614" t="s">
        <v>3161</v>
      </c>
      <c r="D614" t="s">
        <v>3162</v>
      </c>
      <c r="E614" t="s">
        <v>16</v>
      </c>
      <c r="F614" t="s">
        <v>1495</v>
      </c>
      <c r="G614" s="2">
        <v>0.34722222222222227</v>
      </c>
      <c r="H614" t="s">
        <v>1200</v>
      </c>
      <c r="I614" t="s">
        <v>1201</v>
      </c>
      <c r="M614" t="s">
        <v>1464</v>
      </c>
      <c r="X614" t="s">
        <v>1100</v>
      </c>
      <c r="Y614">
        <v>2</v>
      </c>
      <c r="Z614" t="s">
        <v>1465</v>
      </c>
      <c r="AB614" t="s">
        <v>546</v>
      </c>
      <c r="AC614">
        <v>3</v>
      </c>
      <c r="AD614" t="s">
        <v>1465</v>
      </c>
      <c r="AE614" t="s">
        <v>1100</v>
      </c>
      <c r="AF614">
        <v>2</v>
      </c>
      <c r="AG614" t="s">
        <v>1245</v>
      </c>
    </row>
    <row r="615" spans="1:33" x14ac:dyDescent="0.3">
      <c r="A615" t="s">
        <v>596</v>
      </c>
      <c r="B615" t="s">
        <v>3163</v>
      </c>
      <c r="C615" t="s">
        <v>3164</v>
      </c>
      <c r="D615" t="s">
        <v>3165</v>
      </c>
      <c r="E615" t="s">
        <v>16</v>
      </c>
      <c r="F615" t="s">
        <v>1500</v>
      </c>
      <c r="G615" s="2">
        <v>0.34027777777777773</v>
      </c>
      <c r="H615" t="s">
        <v>1200</v>
      </c>
      <c r="I615" t="s">
        <v>1201</v>
      </c>
      <c r="K615" t="s">
        <v>1250</v>
      </c>
      <c r="X615" t="s">
        <v>1100</v>
      </c>
      <c r="Y615">
        <v>2</v>
      </c>
      <c r="Z615" t="s">
        <v>1465</v>
      </c>
      <c r="AB615" t="s">
        <v>546</v>
      </c>
      <c r="AC615">
        <v>2</v>
      </c>
      <c r="AD615" t="s">
        <v>1465</v>
      </c>
    </row>
    <row r="616" spans="1:33" x14ac:dyDescent="0.3">
      <c r="A616" t="s">
        <v>610</v>
      </c>
      <c r="B616" t="s">
        <v>3166</v>
      </c>
      <c r="C616" t="s">
        <v>3167</v>
      </c>
      <c r="D616" t="s">
        <v>3168</v>
      </c>
      <c r="E616" t="s">
        <v>16</v>
      </c>
      <c r="F616" t="s">
        <v>3169</v>
      </c>
      <c r="G616" s="2">
        <v>0.73611111111111116</v>
      </c>
      <c r="H616" t="s">
        <v>1200</v>
      </c>
      <c r="I616" t="s">
        <v>1201</v>
      </c>
      <c r="L616" t="s">
        <v>1202</v>
      </c>
    </row>
    <row r="617" spans="1:33" x14ac:dyDescent="0.3">
      <c r="A617" t="s">
        <v>610</v>
      </c>
      <c r="B617" t="s">
        <v>3170</v>
      </c>
      <c r="C617" t="s">
        <v>3171</v>
      </c>
      <c r="D617" t="s">
        <v>3172</v>
      </c>
      <c r="E617" t="s">
        <v>16</v>
      </c>
      <c r="F617" t="s">
        <v>1506</v>
      </c>
      <c r="G617" s="2">
        <v>0.72916666666666663</v>
      </c>
      <c r="H617" t="s">
        <v>1200</v>
      </c>
      <c r="I617" t="s">
        <v>1201</v>
      </c>
      <c r="K617" t="s">
        <v>1250</v>
      </c>
    </row>
    <row r="618" spans="1:33" x14ac:dyDescent="0.3">
      <c r="A618" t="s">
        <v>610</v>
      </c>
      <c r="B618" t="s">
        <v>3173</v>
      </c>
      <c r="C618" t="s">
        <v>3174</v>
      </c>
      <c r="D618" t="s">
        <v>3175</v>
      </c>
      <c r="E618" t="s">
        <v>16</v>
      </c>
      <c r="F618" t="s">
        <v>1510</v>
      </c>
      <c r="G618" s="2">
        <v>0.72222222222222221</v>
      </c>
      <c r="H618" t="s">
        <v>1200</v>
      </c>
      <c r="I618" t="s">
        <v>1201</v>
      </c>
      <c r="K618" t="s">
        <v>1250</v>
      </c>
    </row>
    <row r="619" spans="1:33" x14ac:dyDescent="0.3">
      <c r="A619" t="s">
        <v>610</v>
      </c>
      <c r="B619" t="s">
        <v>3176</v>
      </c>
      <c r="C619" t="s">
        <v>3177</v>
      </c>
      <c r="D619" t="s">
        <v>3178</v>
      </c>
      <c r="E619" t="s">
        <v>16</v>
      </c>
      <c r="F619" t="s">
        <v>3179</v>
      </c>
      <c r="G619" s="2">
        <v>0.71527777777777779</v>
      </c>
      <c r="H619" t="s">
        <v>1200</v>
      </c>
      <c r="I619" t="s">
        <v>3180</v>
      </c>
      <c r="K619" t="s">
        <v>1250</v>
      </c>
    </row>
    <row r="620" spans="1:33" x14ac:dyDescent="0.3">
      <c r="A620" t="s">
        <v>610</v>
      </c>
      <c r="B620" t="s">
        <v>3181</v>
      </c>
      <c r="C620" t="s">
        <v>3182</v>
      </c>
      <c r="D620" t="s">
        <v>3183</v>
      </c>
      <c r="E620" t="s">
        <v>16</v>
      </c>
      <c r="F620" t="s">
        <v>1304</v>
      </c>
      <c r="G620" s="2">
        <v>0.70833333333333337</v>
      </c>
      <c r="H620" t="s">
        <v>1200</v>
      </c>
      <c r="I620" t="s">
        <v>1201</v>
      </c>
      <c r="M620" t="s">
        <v>1640</v>
      </c>
      <c r="X620" t="s">
        <v>498</v>
      </c>
      <c r="Y620">
        <v>1</v>
      </c>
      <c r="Z620" t="s">
        <v>2047</v>
      </c>
      <c r="AB620" t="s">
        <v>1100</v>
      </c>
      <c r="AC620">
        <v>2</v>
      </c>
      <c r="AD620" t="s">
        <v>2047</v>
      </c>
    </row>
    <row r="621" spans="1:33" x14ac:dyDescent="0.3">
      <c r="A621" t="s">
        <v>610</v>
      </c>
      <c r="B621" t="s">
        <v>3184</v>
      </c>
      <c r="C621" t="s">
        <v>3185</v>
      </c>
      <c r="D621" t="s">
        <v>3186</v>
      </c>
      <c r="E621" t="s">
        <v>16</v>
      </c>
      <c r="F621" t="s">
        <v>1308</v>
      </c>
      <c r="G621" s="2">
        <v>0.70138888888888884</v>
      </c>
      <c r="H621" t="s">
        <v>1200</v>
      </c>
      <c r="I621" t="s">
        <v>1201</v>
      </c>
      <c r="M621" t="s">
        <v>1640</v>
      </c>
      <c r="X621" t="s">
        <v>1100</v>
      </c>
      <c r="Y621">
        <v>1</v>
      </c>
      <c r="Z621" t="s">
        <v>2047</v>
      </c>
      <c r="AB621" t="s">
        <v>498</v>
      </c>
      <c r="AC621">
        <v>2</v>
      </c>
      <c r="AD621" t="s">
        <v>2047</v>
      </c>
    </row>
    <row r="622" spans="1:33" x14ac:dyDescent="0.3">
      <c r="A622" t="s">
        <v>610</v>
      </c>
      <c r="B622" t="s">
        <v>3187</v>
      </c>
      <c r="C622" t="s">
        <v>3188</v>
      </c>
      <c r="D622" t="s">
        <v>3189</v>
      </c>
      <c r="E622" t="s">
        <v>16</v>
      </c>
      <c r="F622" t="s">
        <v>3190</v>
      </c>
      <c r="G622" s="2">
        <v>0.69444444444444453</v>
      </c>
      <c r="H622" t="s">
        <v>1200</v>
      </c>
      <c r="I622" t="s">
        <v>3191</v>
      </c>
      <c r="K622" t="s">
        <v>1250</v>
      </c>
    </row>
    <row r="623" spans="1:33" x14ac:dyDescent="0.3">
      <c r="A623" t="s">
        <v>610</v>
      </c>
      <c r="B623" t="s">
        <v>3192</v>
      </c>
      <c r="C623" t="s">
        <v>3193</v>
      </c>
      <c r="D623" t="s">
        <v>3194</v>
      </c>
      <c r="E623" t="s">
        <v>16</v>
      </c>
      <c r="F623" t="s">
        <v>1317</v>
      </c>
      <c r="G623" s="2">
        <v>0.6875</v>
      </c>
      <c r="H623" t="s">
        <v>1200</v>
      </c>
      <c r="I623" t="s">
        <v>1201</v>
      </c>
      <c r="L623" t="s">
        <v>1202</v>
      </c>
    </row>
    <row r="624" spans="1:33" x14ac:dyDescent="0.3">
      <c r="A624" t="s">
        <v>610</v>
      </c>
      <c r="B624" t="s">
        <v>3195</v>
      </c>
      <c r="C624" t="s">
        <v>3196</v>
      </c>
      <c r="D624" t="s">
        <v>3197</v>
      </c>
      <c r="E624" t="s">
        <v>16</v>
      </c>
      <c r="F624" t="s">
        <v>1321</v>
      </c>
      <c r="G624" s="2">
        <v>0.68055555555555547</v>
      </c>
      <c r="H624" t="s">
        <v>1200</v>
      </c>
      <c r="I624" t="s">
        <v>1201</v>
      </c>
      <c r="L624" t="s">
        <v>1202</v>
      </c>
    </row>
    <row r="625" spans="1:13" x14ac:dyDescent="0.3">
      <c r="A625" t="s">
        <v>610</v>
      </c>
      <c r="B625" t="s">
        <v>3198</v>
      </c>
      <c r="C625" t="s">
        <v>3199</v>
      </c>
      <c r="D625" t="s">
        <v>3200</v>
      </c>
      <c r="E625" t="s">
        <v>16</v>
      </c>
      <c r="F625" t="s">
        <v>1325</v>
      </c>
      <c r="G625" s="2">
        <v>0.67361111111111116</v>
      </c>
      <c r="H625" t="s">
        <v>1200</v>
      </c>
      <c r="I625" t="s">
        <v>1201</v>
      </c>
      <c r="L625" t="s">
        <v>1202</v>
      </c>
    </row>
    <row r="626" spans="1:13" x14ac:dyDescent="0.3">
      <c r="A626" t="s">
        <v>610</v>
      </c>
      <c r="B626" t="s">
        <v>3201</v>
      </c>
      <c r="C626" t="s">
        <v>3202</v>
      </c>
      <c r="D626" t="s">
        <v>3203</v>
      </c>
      <c r="E626" t="s">
        <v>16</v>
      </c>
      <c r="F626" t="s">
        <v>1329</v>
      </c>
      <c r="G626" s="2">
        <v>0.66666666666666663</v>
      </c>
      <c r="H626" t="s">
        <v>1200</v>
      </c>
      <c r="I626" t="s">
        <v>1201</v>
      </c>
      <c r="L626" t="s">
        <v>3204</v>
      </c>
    </row>
    <row r="627" spans="1:13" x14ac:dyDescent="0.3">
      <c r="A627" t="s">
        <v>610</v>
      </c>
      <c r="B627" t="s">
        <v>3205</v>
      </c>
      <c r="C627" t="s">
        <v>3206</v>
      </c>
      <c r="D627" t="s">
        <v>3207</v>
      </c>
      <c r="E627" t="s">
        <v>16</v>
      </c>
      <c r="F627" t="s">
        <v>1333</v>
      </c>
      <c r="G627" s="2">
        <v>0.65972222222222221</v>
      </c>
      <c r="H627" t="s">
        <v>1200</v>
      </c>
      <c r="I627" t="s">
        <v>1201</v>
      </c>
      <c r="L627" t="s">
        <v>1202</v>
      </c>
    </row>
    <row r="628" spans="1:13" x14ac:dyDescent="0.3">
      <c r="A628" t="s">
        <v>610</v>
      </c>
      <c r="B628" t="s">
        <v>3208</v>
      </c>
      <c r="C628" t="s">
        <v>3209</v>
      </c>
      <c r="D628" t="s">
        <v>3210</v>
      </c>
      <c r="E628" t="s">
        <v>16</v>
      </c>
      <c r="F628" t="s">
        <v>1338</v>
      </c>
      <c r="G628" s="2">
        <v>0.65277777777777779</v>
      </c>
      <c r="H628" t="s">
        <v>1200</v>
      </c>
      <c r="I628" t="s">
        <v>1201</v>
      </c>
      <c r="K628" t="s">
        <v>1250</v>
      </c>
    </row>
    <row r="629" spans="1:13" x14ac:dyDescent="0.3">
      <c r="A629" t="s">
        <v>610</v>
      </c>
      <c r="B629" t="s">
        <v>3211</v>
      </c>
      <c r="C629" t="s">
        <v>3212</v>
      </c>
      <c r="D629" t="s">
        <v>3213</v>
      </c>
      <c r="E629" t="s">
        <v>16</v>
      </c>
      <c r="F629" t="s">
        <v>1342</v>
      </c>
      <c r="G629" s="2">
        <v>0.64583333333333337</v>
      </c>
      <c r="H629" t="s">
        <v>1200</v>
      </c>
      <c r="I629" t="s">
        <v>1201</v>
      </c>
      <c r="L629" t="s">
        <v>1222</v>
      </c>
    </row>
    <row r="630" spans="1:13" x14ac:dyDescent="0.3">
      <c r="A630" t="s">
        <v>610</v>
      </c>
      <c r="B630" t="s">
        <v>3214</v>
      </c>
      <c r="C630" t="s">
        <v>3215</v>
      </c>
      <c r="D630" t="s">
        <v>3216</v>
      </c>
      <c r="E630" t="s">
        <v>16</v>
      </c>
      <c r="F630" t="s">
        <v>1346</v>
      </c>
      <c r="G630" s="2">
        <v>0.63888888888888895</v>
      </c>
      <c r="H630" t="s">
        <v>1200</v>
      </c>
      <c r="I630" t="s">
        <v>1201</v>
      </c>
      <c r="M630" t="s">
        <v>1464</v>
      </c>
    </row>
    <row r="631" spans="1:13" x14ac:dyDescent="0.3">
      <c r="A631" t="s">
        <v>610</v>
      </c>
      <c r="B631" t="s">
        <v>3217</v>
      </c>
      <c r="C631" t="s">
        <v>3218</v>
      </c>
      <c r="D631" t="s">
        <v>3219</v>
      </c>
      <c r="E631" t="s">
        <v>16</v>
      </c>
      <c r="F631" t="s">
        <v>1350</v>
      </c>
      <c r="G631" s="2">
        <v>0.63194444444444442</v>
      </c>
      <c r="H631" t="s">
        <v>1200</v>
      </c>
      <c r="I631" t="s">
        <v>1201</v>
      </c>
      <c r="K631" t="s">
        <v>1250</v>
      </c>
    </row>
    <row r="632" spans="1:13" x14ac:dyDescent="0.3">
      <c r="A632" t="s">
        <v>610</v>
      </c>
      <c r="B632" t="s">
        <v>3220</v>
      </c>
      <c r="C632" t="s">
        <v>3221</v>
      </c>
      <c r="D632" t="s">
        <v>3222</v>
      </c>
      <c r="E632" t="s">
        <v>16</v>
      </c>
      <c r="F632" t="s">
        <v>1354</v>
      </c>
      <c r="G632" s="2">
        <v>0.625</v>
      </c>
      <c r="H632" t="s">
        <v>1200</v>
      </c>
      <c r="I632" t="s">
        <v>1201</v>
      </c>
      <c r="K632" t="s">
        <v>1250</v>
      </c>
    </row>
    <row r="633" spans="1:13" x14ac:dyDescent="0.3">
      <c r="A633" t="s">
        <v>610</v>
      </c>
      <c r="B633" t="s">
        <v>3223</v>
      </c>
      <c r="C633" t="s">
        <v>3224</v>
      </c>
      <c r="D633" t="s">
        <v>3225</v>
      </c>
      <c r="E633" t="s">
        <v>16</v>
      </c>
      <c r="F633" t="s">
        <v>1558</v>
      </c>
      <c r="G633" s="2">
        <v>0.61805555555555558</v>
      </c>
      <c r="H633" t="s">
        <v>1200</v>
      </c>
      <c r="I633" t="s">
        <v>1201</v>
      </c>
      <c r="M633" t="s">
        <v>1464</v>
      </c>
    </row>
    <row r="634" spans="1:13" x14ac:dyDescent="0.3">
      <c r="A634" t="s">
        <v>610</v>
      </c>
      <c r="B634" t="s">
        <v>3226</v>
      </c>
      <c r="C634" t="s">
        <v>3227</v>
      </c>
      <c r="D634" t="s">
        <v>3228</v>
      </c>
      <c r="E634" t="s">
        <v>16</v>
      </c>
      <c r="F634" t="s">
        <v>1358</v>
      </c>
      <c r="G634" s="2">
        <v>0.61111111111111105</v>
      </c>
      <c r="H634" t="s">
        <v>1200</v>
      </c>
      <c r="I634" t="s">
        <v>1201</v>
      </c>
      <c r="M634" t="s">
        <v>1464</v>
      </c>
    </row>
    <row r="635" spans="1:13" x14ac:dyDescent="0.3">
      <c r="A635" t="s">
        <v>623</v>
      </c>
      <c r="B635" t="s">
        <v>3229</v>
      </c>
      <c r="C635" t="s">
        <v>3230</v>
      </c>
      <c r="D635" t="s">
        <v>3231</v>
      </c>
      <c r="E635" t="s">
        <v>16</v>
      </c>
      <c r="F635" s="2">
        <v>0.51388888888888895</v>
      </c>
      <c r="G635" s="2">
        <v>0.51388888888888895</v>
      </c>
      <c r="H635" t="s">
        <v>1668</v>
      </c>
    </row>
    <row r="636" spans="1:13" x14ac:dyDescent="0.3">
      <c r="A636" t="s">
        <v>623</v>
      </c>
      <c r="B636" t="s">
        <v>3232</v>
      </c>
      <c r="C636" t="s">
        <v>3233</v>
      </c>
      <c r="D636" t="s">
        <v>3234</v>
      </c>
      <c r="E636" t="s">
        <v>16</v>
      </c>
      <c r="F636" s="2">
        <v>0.50694444444444442</v>
      </c>
      <c r="G636" s="2">
        <v>0.50694444444444442</v>
      </c>
      <c r="H636" t="s">
        <v>1668</v>
      </c>
    </row>
    <row r="637" spans="1:13" x14ac:dyDescent="0.3">
      <c r="A637" t="s">
        <v>623</v>
      </c>
      <c r="B637" t="s">
        <v>3235</v>
      </c>
      <c r="C637" t="s">
        <v>3236</v>
      </c>
      <c r="D637" t="s">
        <v>3237</v>
      </c>
      <c r="E637" t="s">
        <v>16</v>
      </c>
      <c r="F637" s="2">
        <v>0.5</v>
      </c>
      <c r="G637" s="2">
        <v>0.5</v>
      </c>
      <c r="H637" t="s">
        <v>1668</v>
      </c>
    </row>
    <row r="638" spans="1:13" x14ac:dyDescent="0.3">
      <c r="A638" t="s">
        <v>605</v>
      </c>
      <c r="B638" t="s">
        <v>3238</v>
      </c>
      <c r="C638" t="s">
        <v>3239</v>
      </c>
      <c r="D638" t="s">
        <v>3240</v>
      </c>
      <c r="E638" t="s">
        <v>16</v>
      </c>
      <c r="F638" t="s">
        <v>1274</v>
      </c>
      <c r="G638" s="2">
        <v>0.47916666666666669</v>
      </c>
      <c r="H638" t="s">
        <v>1200</v>
      </c>
      <c r="I638" t="s">
        <v>1201</v>
      </c>
      <c r="L638" t="s">
        <v>1363</v>
      </c>
    </row>
    <row r="639" spans="1:13" x14ac:dyDescent="0.3">
      <c r="A639" t="s">
        <v>605</v>
      </c>
      <c r="B639" t="s">
        <v>3241</v>
      </c>
      <c r="C639" t="s">
        <v>3242</v>
      </c>
      <c r="D639" t="s">
        <v>3243</v>
      </c>
      <c r="E639" t="s">
        <v>16</v>
      </c>
      <c r="F639" t="s">
        <v>1278</v>
      </c>
      <c r="G639" s="2">
        <v>0.47222222222222227</v>
      </c>
      <c r="H639" t="s">
        <v>1200</v>
      </c>
      <c r="I639" t="s">
        <v>1201</v>
      </c>
      <c r="L639" t="s">
        <v>1363</v>
      </c>
    </row>
    <row r="640" spans="1:13" x14ac:dyDescent="0.3">
      <c r="A640" t="s">
        <v>605</v>
      </c>
      <c r="B640" t="s">
        <v>3244</v>
      </c>
      <c r="C640" t="s">
        <v>3245</v>
      </c>
      <c r="D640" t="s">
        <v>3246</v>
      </c>
      <c r="E640" t="s">
        <v>16</v>
      </c>
      <c r="F640" t="s">
        <v>1282</v>
      </c>
      <c r="G640" s="2">
        <v>0.46527777777777773</v>
      </c>
      <c r="H640" t="s">
        <v>1200</v>
      </c>
      <c r="I640" t="s">
        <v>1201</v>
      </c>
      <c r="L640" t="s">
        <v>1363</v>
      </c>
    </row>
    <row r="641" spans="1:13" x14ac:dyDescent="0.3">
      <c r="A641" t="s">
        <v>605</v>
      </c>
      <c r="B641" t="s">
        <v>3247</v>
      </c>
      <c r="C641" t="s">
        <v>3248</v>
      </c>
      <c r="D641" t="s">
        <v>3249</v>
      </c>
      <c r="E641" t="s">
        <v>16</v>
      </c>
      <c r="F641" t="s">
        <v>1287</v>
      </c>
      <c r="G641" s="2">
        <v>0.45833333333333331</v>
      </c>
      <c r="H641" t="s">
        <v>1200</v>
      </c>
      <c r="I641" t="s">
        <v>1201</v>
      </c>
      <c r="L641" t="s">
        <v>1363</v>
      </c>
    </row>
    <row r="642" spans="1:13" x14ac:dyDescent="0.3">
      <c r="A642" t="s">
        <v>605</v>
      </c>
      <c r="B642" t="s">
        <v>3250</v>
      </c>
      <c r="C642" t="s">
        <v>3251</v>
      </c>
      <c r="D642" t="s">
        <v>3252</v>
      </c>
      <c r="E642" t="s">
        <v>16</v>
      </c>
      <c r="F642" t="s">
        <v>1291</v>
      </c>
      <c r="G642" s="2">
        <v>0.4513888888888889</v>
      </c>
      <c r="H642" t="s">
        <v>1200</v>
      </c>
      <c r="I642" t="s">
        <v>1201</v>
      </c>
      <c r="L642" t="s">
        <v>1363</v>
      </c>
    </row>
    <row r="643" spans="1:13" x14ac:dyDescent="0.3">
      <c r="A643" t="s">
        <v>605</v>
      </c>
      <c r="B643" t="s">
        <v>3253</v>
      </c>
      <c r="C643" t="s">
        <v>3254</v>
      </c>
      <c r="D643" t="s">
        <v>3255</v>
      </c>
      <c r="E643" t="s">
        <v>16</v>
      </c>
      <c r="F643" t="s">
        <v>1296</v>
      </c>
      <c r="G643" s="2">
        <v>0.44444444444444442</v>
      </c>
      <c r="H643" t="s">
        <v>1200</v>
      </c>
      <c r="I643" t="s">
        <v>1201</v>
      </c>
      <c r="L643" t="s">
        <v>1363</v>
      </c>
    </row>
    <row r="644" spans="1:13" x14ac:dyDescent="0.3">
      <c r="A644" t="s">
        <v>605</v>
      </c>
      <c r="B644" t="s">
        <v>3256</v>
      </c>
      <c r="C644" t="s">
        <v>3257</v>
      </c>
      <c r="D644" t="s">
        <v>3258</v>
      </c>
      <c r="E644" t="s">
        <v>16</v>
      </c>
      <c r="F644" t="s">
        <v>1300</v>
      </c>
      <c r="G644" s="2">
        <v>0.4375</v>
      </c>
      <c r="H644" t="s">
        <v>1200</v>
      </c>
      <c r="I644" t="s">
        <v>1201</v>
      </c>
      <c r="L644" t="s">
        <v>1363</v>
      </c>
    </row>
    <row r="645" spans="1:13" x14ac:dyDescent="0.3">
      <c r="A645" t="s">
        <v>605</v>
      </c>
      <c r="B645" t="s">
        <v>3259</v>
      </c>
      <c r="C645" t="s">
        <v>3260</v>
      </c>
      <c r="D645" t="s">
        <v>3261</v>
      </c>
      <c r="E645" t="s">
        <v>16</v>
      </c>
      <c r="F645" t="s">
        <v>1443</v>
      </c>
      <c r="G645" s="2">
        <v>0.43055555555555558</v>
      </c>
      <c r="H645" t="s">
        <v>1200</v>
      </c>
      <c r="I645" t="s">
        <v>1201</v>
      </c>
      <c r="L645" t="s">
        <v>1363</v>
      </c>
    </row>
    <row r="646" spans="1:13" x14ac:dyDescent="0.3">
      <c r="A646" t="s">
        <v>605</v>
      </c>
      <c r="B646" t="s">
        <v>3262</v>
      </c>
      <c r="C646" t="s">
        <v>3263</v>
      </c>
      <c r="D646" t="s">
        <v>3264</v>
      </c>
      <c r="E646" t="s">
        <v>16</v>
      </c>
      <c r="F646" t="s">
        <v>1447</v>
      </c>
      <c r="G646" s="2">
        <v>0.4236111111111111</v>
      </c>
      <c r="H646" t="s">
        <v>1200</v>
      </c>
      <c r="I646" t="s">
        <v>1201</v>
      </c>
      <c r="L646" t="s">
        <v>1363</v>
      </c>
    </row>
    <row r="647" spans="1:13" x14ac:dyDescent="0.3">
      <c r="A647" t="s">
        <v>605</v>
      </c>
      <c r="B647" t="s">
        <v>3265</v>
      </c>
      <c r="C647" t="s">
        <v>3266</v>
      </c>
      <c r="D647" t="s">
        <v>3267</v>
      </c>
      <c r="E647" t="s">
        <v>16</v>
      </c>
      <c r="F647" t="s">
        <v>1451</v>
      </c>
      <c r="G647" s="2">
        <v>0.41666666666666669</v>
      </c>
      <c r="H647" t="s">
        <v>1200</v>
      </c>
      <c r="I647" t="s">
        <v>1201</v>
      </c>
      <c r="L647" t="s">
        <v>1363</v>
      </c>
    </row>
    <row r="648" spans="1:13" x14ac:dyDescent="0.3">
      <c r="A648" t="s">
        <v>605</v>
      </c>
      <c r="B648" t="s">
        <v>3268</v>
      </c>
      <c r="C648" t="s">
        <v>3269</v>
      </c>
      <c r="D648" t="s">
        <v>3270</v>
      </c>
      <c r="E648" t="s">
        <v>16</v>
      </c>
      <c r="F648" t="s">
        <v>1455</v>
      </c>
      <c r="G648" s="2">
        <v>0.40972222222222227</v>
      </c>
      <c r="H648" t="s">
        <v>1200</v>
      </c>
      <c r="I648" t="s">
        <v>1201</v>
      </c>
      <c r="L648" t="s">
        <v>1363</v>
      </c>
    </row>
    <row r="649" spans="1:13" x14ac:dyDescent="0.3">
      <c r="A649" t="s">
        <v>605</v>
      </c>
      <c r="B649" t="s">
        <v>3271</v>
      </c>
      <c r="C649" t="s">
        <v>3272</v>
      </c>
      <c r="D649" t="s">
        <v>3273</v>
      </c>
      <c r="E649" t="s">
        <v>16</v>
      </c>
      <c r="F649" t="s">
        <v>1459</v>
      </c>
      <c r="G649" s="2">
        <v>0.40277777777777773</v>
      </c>
      <c r="H649" t="s">
        <v>1200</v>
      </c>
      <c r="I649" t="s">
        <v>1201</v>
      </c>
      <c r="L649" t="s">
        <v>1363</v>
      </c>
    </row>
    <row r="650" spans="1:13" x14ac:dyDescent="0.3">
      <c r="A650" t="s">
        <v>605</v>
      </c>
      <c r="B650" t="s">
        <v>3274</v>
      </c>
      <c r="C650" t="s">
        <v>3275</v>
      </c>
      <c r="D650" t="s">
        <v>3276</v>
      </c>
      <c r="E650" t="s">
        <v>16</v>
      </c>
      <c r="F650" t="s">
        <v>1463</v>
      </c>
      <c r="G650" s="2">
        <v>0.39583333333333331</v>
      </c>
      <c r="H650" t="s">
        <v>1200</v>
      </c>
      <c r="I650" t="s">
        <v>1201</v>
      </c>
      <c r="L650" t="s">
        <v>1363</v>
      </c>
    </row>
    <row r="651" spans="1:13" x14ac:dyDescent="0.3">
      <c r="A651" t="s">
        <v>605</v>
      </c>
      <c r="B651" t="s">
        <v>3277</v>
      </c>
      <c r="C651" t="s">
        <v>3278</v>
      </c>
      <c r="D651" t="s">
        <v>3279</v>
      </c>
      <c r="E651" t="s">
        <v>16</v>
      </c>
      <c r="F651" t="s">
        <v>1469</v>
      </c>
      <c r="G651" s="2">
        <v>0.3888888888888889</v>
      </c>
      <c r="H651" t="s">
        <v>1200</v>
      </c>
      <c r="I651" t="s">
        <v>1201</v>
      </c>
      <c r="L651" t="s">
        <v>1202</v>
      </c>
    </row>
    <row r="652" spans="1:13" x14ac:dyDescent="0.3">
      <c r="A652" t="s">
        <v>605</v>
      </c>
      <c r="B652" t="s">
        <v>3280</v>
      </c>
      <c r="C652" t="s">
        <v>3281</v>
      </c>
      <c r="D652" t="s">
        <v>3282</v>
      </c>
      <c r="E652" t="s">
        <v>16</v>
      </c>
      <c r="F652" t="s">
        <v>1473</v>
      </c>
      <c r="G652" s="2">
        <v>0.38194444444444442</v>
      </c>
      <c r="H652" t="s">
        <v>1200</v>
      </c>
      <c r="I652" t="s">
        <v>1201</v>
      </c>
      <c r="L652" t="s">
        <v>1202</v>
      </c>
    </row>
    <row r="653" spans="1:13" x14ac:dyDescent="0.3">
      <c r="A653" t="s">
        <v>605</v>
      </c>
      <c r="B653" t="s">
        <v>3283</v>
      </c>
      <c r="C653" t="s">
        <v>3284</v>
      </c>
      <c r="D653" t="s">
        <v>3285</v>
      </c>
      <c r="E653" t="s">
        <v>16</v>
      </c>
      <c r="F653" t="s">
        <v>3286</v>
      </c>
      <c r="G653" s="2">
        <v>0.375</v>
      </c>
      <c r="H653" t="s">
        <v>1200</v>
      </c>
      <c r="I653" t="s">
        <v>3191</v>
      </c>
      <c r="L653" t="s">
        <v>1202</v>
      </c>
    </row>
    <row r="654" spans="1:13" x14ac:dyDescent="0.3">
      <c r="A654" t="s">
        <v>605</v>
      </c>
      <c r="B654" t="s">
        <v>3287</v>
      </c>
      <c r="C654" t="s">
        <v>3288</v>
      </c>
      <c r="D654" t="s">
        <v>3289</v>
      </c>
      <c r="E654" t="s">
        <v>16</v>
      </c>
      <c r="F654" t="s">
        <v>1482</v>
      </c>
      <c r="G654" s="2">
        <v>0.36805555555555558</v>
      </c>
      <c r="H654" t="s">
        <v>1200</v>
      </c>
      <c r="I654" t="s">
        <v>1201</v>
      </c>
      <c r="M654" t="s">
        <v>1464</v>
      </c>
    </row>
    <row r="655" spans="1:13" x14ac:dyDescent="0.3">
      <c r="A655" t="s">
        <v>605</v>
      </c>
      <c r="B655" t="s">
        <v>3290</v>
      </c>
      <c r="C655" t="s">
        <v>3291</v>
      </c>
      <c r="D655" t="s">
        <v>3292</v>
      </c>
      <c r="E655" t="s">
        <v>16</v>
      </c>
      <c r="F655" t="s">
        <v>1486</v>
      </c>
      <c r="G655" s="2">
        <v>0.3611111111111111</v>
      </c>
      <c r="H655" t="s">
        <v>1200</v>
      </c>
      <c r="I655" t="s">
        <v>1201</v>
      </c>
      <c r="M655" t="s">
        <v>1464</v>
      </c>
    </row>
    <row r="656" spans="1:13" x14ac:dyDescent="0.3">
      <c r="A656" t="s">
        <v>605</v>
      </c>
      <c r="B656" t="s">
        <v>3293</v>
      </c>
      <c r="C656" t="s">
        <v>3294</v>
      </c>
      <c r="D656" t="s">
        <v>3295</v>
      </c>
      <c r="E656" t="s">
        <v>16</v>
      </c>
      <c r="F656" t="s">
        <v>1490</v>
      </c>
      <c r="G656" s="2">
        <v>0.35416666666666669</v>
      </c>
      <c r="H656" t="s">
        <v>1200</v>
      </c>
      <c r="I656" t="s">
        <v>1201</v>
      </c>
      <c r="K656" t="s">
        <v>1250</v>
      </c>
    </row>
    <row r="657" spans="1:13" x14ac:dyDescent="0.3">
      <c r="A657" t="s">
        <v>605</v>
      </c>
      <c r="B657" t="s">
        <v>3296</v>
      </c>
      <c r="C657" t="s">
        <v>3297</v>
      </c>
      <c r="D657" t="s">
        <v>3298</v>
      </c>
      <c r="E657" t="s">
        <v>16</v>
      </c>
      <c r="F657" t="s">
        <v>1495</v>
      </c>
      <c r="G657" s="2">
        <v>0.34722222222222227</v>
      </c>
      <c r="H657" t="s">
        <v>1200</v>
      </c>
      <c r="I657" t="s">
        <v>1201</v>
      </c>
      <c r="L657" t="s">
        <v>1202</v>
      </c>
    </row>
    <row r="658" spans="1:13" x14ac:dyDescent="0.3">
      <c r="A658" t="s">
        <v>605</v>
      </c>
      <c r="B658" t="s">
        <v>3299</v>
      </c>
      <c r="C658" t="s">
        <v>3300</v>
      </c>
      <c r="D658" t="s">
        <v>3301</v>
      </c>
      <c r="E658" t="s">
        <v>16</v>
      </c>
      <c r="F658" t="s">
        <v>1500</v>
      </c>
      <c r="G658" s="2">
        <v>0.34027777777777773</v>
      </c>
      <c r="H658" t="s">
        <v>1200</v>
      </c>
      <c r="I658" t="s">
        <v>1201</v>
      </c>
      <c r="M658" t="s">
        <v>1292</v>
      </c>
    </row>
    <row r="659" spans="1:13" x14ac:dyDescent="0.3">
      <c r="A659" t="s">
        <v>605</v>
      </c>
      <c r="B659" t="s">
        <v>3302</v>
      </c>
      <c r="C659" t="s">
        <v>3303</v>
      </c>
      <c r="D659" t="s">
        <v>3304</v>
      </c>
      <c r="E659" t="s">
        <v>16</v>
      </c>
      <c r="F659" t="s">
        <v>3030</v>
      </c>
      <c r="G659" s="2">
        <v>0.33333333333333331</v>
      </c>
      <c r="H659" t="s">
        <v>1200</v>
      </c>
      <c r="I659" t="s">
        <v>1201</v>
      </c>
      <c r="L659" t="s">
        <v>1283</v>
      </c>
    </row>
    <row r="660" spans="1:13" x14ac:dyDescent="0.3">
      <c r="A660" t="s">
        <v>605</v>
      </c>
      <c r="B660" t="s">
        <v>3305</v>
      </c>
      <c r="C660" t="s">
        <v>3306</v>
      </c>
      <c r="D660" t="s">
        <v>3307</v>
      </c>
      <c r="E660" t="s">
        <v>16</v>
      </c>
      <c r="F660" t="s">
        <v>3034</v>
      </c>
      <c r="G660" s="2">
        <v>0.3263888888888889</v>
      </c>
      <c r="H660" t="s">
        <v>1200</v>
      </c>
      <c r="I660" t="s">
        <v>1201</v>
      </c>
      <c r="K660" t="s">
        <v>1250</v>
      </c>
    </row>
    <row r="661" spans="1:13" x14ac:dyDescent="0.3">
      <c r="A661" t="s">
        <v>605</v>
      </c>
      <c r="B661" t="s">
        <v>3308</v>
      </c>
      <c r="C661" t="s">
        <v>3309</v>
      </c>
      <c r="D661" t="s">
        <v>3310</v>
      </c>
      <c r="E661" t="s">
        <v>16</v>
      </c>
      <c r="F661" t="s">
        <v>3038</v>
      </c>
      <c r="G661" s="2">
        <v>0.31944444444444448</v>
      </c>
      <c r="H661" t="s">
        <v>1200</v>
      </c>
      <c r="I661" t="s">
        <v>1201</v>
      </c>
      <c r="M661" t="s">
        <v>1464</v>
      </c>
    </row>
    <row r="662" spans="1:13" x14ac:dyDescent="0.3">
      <c r="A662" t="s">
        <v>605</v>
      </c>
      <c r="B662" t="s">
        <v>3311</v>
      </c>
      <c r="C662" t="s">
        <v>3312</v>
      </c>
      <c r="D662" t="s">
        <v>3313</v>
      </c>
      <c r="E662" t="s">
        <v>16</v>
      </c>
      <c r="F662" t="s">
        <v>3042</v>
      </c>
      <c r="G662" s="2">
        <v>0.3125</v>
      </c>
      <c r="H662" t="s">
        <v>1200</v>
      </c>
      <c r="I662" t="s">
        <v>1201</v>
      </c>
      <c r="M662" t="s">
        <v>1464</v>
      </c>
    </row>
    <row r="663" spans="1:13" x14ac:dyDescent="0.3">
      <c r="A663" t="s">
        <v>605</v>
      </c>
      <c r="B663" t="s">
        <v>3314</v>
      </c>
      <c r="C663" t="s">
        <v>3315</v>
      </c>
      <c r="D663" t="s">
        <v>3316</v>
      </c>
      <c r="E663" t="s">
        <v>16</v>
      </c>
      <c r="F663" t="s">
        <v>3317</v>
      </c>
      <c r="G663" s="2">
        <v>0.30555555555555552</v>
      </c>
      <c r="H663" t="s">
        <v>1200</v>
      </c>
      <c r="I663" t="s">
        <v>1201</v>
      </c>
      <c r="M663" t="s">
        <v>1464</v>
      </c>
    </row>
    <row r="664" spans="1:13" x14ac:dyDescent="0.3">
      <c r="A664" t="s">
        <v>605</v>
      </c>
      <c r="B664" t="s">
        <v>3318</v>
      </c>
      <c r="C664" t="s">
        <v>3319</v>
      </c>
      <c r="D664" t="s">
        <v>3320</v>
      </c>
      <c r="E664" t="s">
        <v>16</v>
      </c>
      <c r="F664" t="s">
        <v>3321</v>
      </c>
      <c r="G664" s="2">
        <v>0.2986111111111111</v>
      </c>
      <c r="H664" t="s">
        <v>1200</v>
      </c>
      <c r="I664" t="s">
        <v>1201</v>
      </c>
      <c r="K664" t="s">
        <v>1250</v>
      </c>
    </row>
    <row r="665" spans="1:13" x14ac:dyDescent="0.3">
      <c r="A665" t="s">
        <v>610</v>
      </c>
      <c r="B665" t="s">
        <v>3322</v>
      </c>
      <c r="C665" t="s">
        <v>3323</v>
      </c>
      <c r="D665" t="s">
        <v>3324</v>
      </c>
      <c r="E665" t="s">
        <v>16</v>
      </c>
      <c r="F665" t="s">
        <v>1362</v>
      </c>
      <c r="G665" s="2">
        <v>0.60416666666666663</v>
      </c>
      <c r="H665" t="s">
        <v>1200</v>
      </c>
      <c r="I665" t="s">
        <v>1201</v>
      </c>
      <c r="M665" t="s">
        <v>1464</v>
      </c>
    </row>
    <row r="666" spans="1:13" x14ac:dyDescent="0.3">
      <c r="A666" t="s">
        <v>610</v>
      </c>
      <c r="B666" t="s">
        <v>3325</v>
      </c>
      <c r="C666" t="s">
        <v>3326</v>
      </c>
      <c r="D666" t="s">
        <v>3327</v>
      </c>
      <c r="E666" t="s">
        <v>16</v>
      </c>
      <c r="F666" t="s">
        <v>1367</v>
      </c>
      <c r="G666" s="2">
        <v>0.59722222222222221</v>
      </c>
      <c r="H666" t="s">
        <v>1200</v>
      </c>
      <c r="I666" t="s">
        <v>1201</v>
      </c>
      <c r="M666" t="s">
        <v>1464</v>
      </c>
    </row>
    <row r="667" spans="1:13" x14ac:dyDescent="0.3">
      <c r="A667" t="s">
        <v>610</v>
      </c>
      <c r="B667" t="s">
        <v>3328</v>
      </c>
      <c r="C667" t="s">
        <v>3329</v>
      </c>
      <c r="D667" t="s">
        <v>3330</v>
      </c>
      <c r="E667" t="s">
        <v>16</v>
      </c>
      <c r="F667" t="s">
        <v>1371</v>
      </c>
      <c r="G667" s="2">
        <v>0.59027777777777779</v>
      </c>
      <c r="H667" t="s">
        <v>1200</v>
      </c>
      <c r="I667" t="s">
        <v>1201</v>
      </c>
      <c r="K667" t="s">
        <v>1250</v>
      </c>
    </row>
    <row r="668" spans="1:13" x14ac:dyDescent="0.3">
      <c r="A668" t="s">
        <v>615</v>
      </c>
      <c r="B668" t="s">
        <v>3331</v>
      </c>
      <c r="C668" t="s">
        <v>3332</v>
      </c>
      <c r="D668" t="s">
        <v>3333</v>
      </c>
      <c r="E668" t="s">
        <v>16</v>
      </c>
      <c r="F668" t="s">
        <v>1199</v>
      </c>
      <c r="G668" s="2">
        <v>0.58333333333333337</v>
      </c>
      <c r="H668" t="s">
        <v>1200</v>
      </c>
      <c r="I668" t="s">
        <v>1201</v>
      </c>
      <c r="L668" t="s">
        <v>1363</v>
      </c>
    </row>
    <row r="669" spans="1:13" x14ac:dyDescent="0.3">
      <c r="A669" t="s">
        <v>615</v>
      </c>
      <c r="B669" t="s">
        <v>3334</v>
      </c>
      <c r="C669" t="s">
        <v>3335</v>
      </c>
      <c r="D669" t="s">
        <v>3336</v>
      </c>
      <c r="E669" t="s">
        <v>16</v>
      </c>
      <c r="F669" t="s">
        <v>1207</v>
      </c>
      <c r="G669" s="2">
        <v>0.57638888888888895</v>
      </c>
      <c r="H669" t="s">
        <v>1200</v>
      </c>
      <c r="I669" t="s">
        <v>1201</v>
      </c>
      <c r="L669" t="s">
        <v>1363</v>
      </c>
    </row>
    <row r="670" spans="1:13" x14ac:dyDescent="0.3">
      <c r="A670" t="s">
        <v>615</v>
      </c>
      <c r="B670" t="s">
        <v>3337</v>
      </c>
      <c r="C670" t="s">
        <v>3338</v>
      </c>
      <c r="D670" t="s">
        <v>3339</v>
      </c>
      <c r="E670" t="s">
        <v>16</v>
      </c>
      <c r="F670" t="s">
        <v>1211</v>
      </c>
      <c r="G670" s="2">
        <v>0.56944444444444442</v>
      </c>
      <c r="H670" t="s">
        <v>1200</v>
      </c>
      <c r="I670" t="s">
        <v>1201</v>
      </c>
      <c r="L670" t="s">
        <v>1363</v>
      </c>
    </row>
    <row r="671" spans="1:13" x14ac:dyDescent="0.3">
      <c r="A671" t="s">
        <v>615</v>
      </c>
      <c r="B671" t="s">
        <v>3340</v>
      </c>
      <c r="C671" t="s">
        <v>3341</v>
      </c>
      <c r="D671" t="s">
        <v>3342</v>
      </c>
      <c r="E671" t="s">
        <v>16</v>
      </c>
      <c r="F671" t="s">
        <v>1215</v>
      </c>
      <c r="G671" s="2">
        <v>0.5625</v>
      </c>
      <c r="H671" t="s">
        <v>1200</v>
      </c>
      <c r="I671" t="s">
        <v>1201</v>
      </c>
      <c r="L671" t="s">
        <v>1363</v>
      </c>
    </row>
    <row r="672" spans="1:13" x14ac:dyDescent="0.3">
      <c r="A672" t="s">
        <v>615</v>
      </c>
      <c r="B672" t="s">
        <v>3343</v>
      </c>
      <c r="C672" t="s">
        <v>3344</v>
      </c>
      <c r="D672" t="s">
        <v>3345</v>
      </c>
      <c r="E672" t="s">
        <v>16</v>
      </c>
      <c r="F672" t="s">
        <v>1221</v>
      </c>
      <c r="G672" s="2">
        <v>0.55555555555555558</v>
      </c>
      <c r="H672" t="s">
        <v>1200</v>
      </c>
      <c r="I672" t="s">
        <v>1201</v>
      </c>
      <c r="L672" t="s">
        <v>1363</v>
      </c>
    </row>
    <row r="673" spans="1:13" x14ac:dyDescent="0.3">
      <c r="A673" t="s">
        <v>615</v>
      </c>
      <c r="B673" t="s">
        <v>3346</v>
      </c>
      <c r="C673" t="s">
        <v>3347</v>
      </c>
      <c r="D673" t="s">
        <v>3348</v>
      </c>
      <c r="E673" t="s">
        <v>16</v>
      </c>
      <c r="F673" t="s">
        <v>1232</v>
      </c>
      <c r="G673" s="2">
        <v>0.54861111111111105</v>
      </c>
      <c r="H673" t="s">
        <v>1200</v>
      </c>
      <c r="I673" t="s">
        <v>1201</v>
      </c>
      <c r="L673" t="s">
        <v>1363</v>
      </c>
    </row>
    <row r="674" spans="1:13" x14ac:dyDescent="0.3">
      <c r="A674" t="s">
        <v>615</v>
      </c>
      <c r="B674" t="s">
        <v>3349</v>
      </c>
      <c r="C674" t="s">
        <v>3350</v>
      </c>
      <c r="D674" t="s">
        <v>3351</v>
      </c>
      <c r="E674" t="s">
        <v>16</v>
      </c>
      <c r="F674" t="s">
        <v>1236</v>
      </c>
      <c r="G674" s="2">
        <v>0.54166666666666663</v>
      </c>
      <c r="H674" t="s">
        <v>1200</v>
      </c>
      <c r="I674" t="s">
        <v>1201</v>
      </c>
      <c r="L674" t="s">
        <v>1363</v>
      </c>
    </row>
    <row r="675" spans="1:13" x14ac:dyDescent="0.3">
      <c r="A675" t="s">
        <v>615</v>
      </c>
      <c r="B675" t="s">
        <v>3352</v>
      </c>
      <c r="C675" t="s">
        <v>3353</v>
      </c>
      <c r="D675" t="s">
        <v>3354</v>
      </c>
      <c r="E675" t="s">
        <v>16</v>
      </c>
      <c r="F675" t="s">
        <v>1240</v>
      </c>
      <c r="G675" s="2">
        <v>0.53472222222222221</v>
      </c>
      <c r="H675" t="s">
        <v>1200</v>
      </c>
      <c r="I675" t="s">
        <v>1201</v>
      </c>
      <c r="L675" t="s">
        <v>1363</v>
      </c>
    </row>
    <row r="676" spans="1:13" x14ac:dyDescent="0.3">
      <c r="A676" t="s">
        <v>615</v>
      </c>
      <c r="B676" t="s">
        <v>3355</v>
      </c>
      <c r="C676" t="s">
        <v>3356</v>
      </c>
      <c r="D676" t="s">
        <v>3357</v>
      </c>
      <c r="E676" t="s">
        <v>16</v>
      </c>
      <c r="F676" t="s">
        <v>1244</v>
      </c>
      <c r="G676" s="2">
        <v>0.52777777777777779</v>
      </c>
      <c r="H676" t="s">
        <v>1200</v>
      </c>
      <c r="I676" t="s">
        <v>1201</v>
      </c>
      <c r="L676" t="s">
        <v>1202</v>
      </c>
    </row>
    <row r="677" spans="1:13" x14ac:dyDescent="0.3">
      <c r="A677" t="s">
        <v>615</v>
      </c>
      <c r="B677" t="s">
        <v>3358</v>
      </c>
      <c r="C677" t="s">
        <v>3359</v>
      </c>
      <c r="D677" t="s">
        <v>3360</v>
      </c>
      <c r="E677" t="s">
        <v>16</v>
      </c>
      <c r="F677" t="s">
        <v>1249</v>
      </c>
      <c r="G677" s="2">
        <v>0.52083333333333337</v>
      </c>
      <c r="H677" t="s">
        <v>1200</v>
      </c>
      <c r="I677" t="s">
        <v>1201</v>
      </c>
      <c r="L677" t="s">
        <v>1202</v>
      </c>
    </row>
    <row r="678" spans="1:13" x14ac:dyDescent="0.3">
      <c r="A678" t="s">
        <v>615</v>
      </c>
      <c r="B678" t="s">
        <v>3361</v>
      </c>
      <c r="C678" t="s">
        <v>3362</v>
      </c>
      <c r="D678" t="s">
        <v>3363</v>
      </c>
      <c r="E678" t="s">
        <v>16</v>
      </c>
      <c r="F678" t="s">
        <v>1406</v>
      </c>
      <c r="G678" s="2">
        <v>0.51388888888888895</v>
      </c>
      <c r="H678" t="s">
        <v>1200</v>
      </c>
      <c r="I678" t="s">
        <v>1201</v>
      </c>
      <c r="L678" t="s">
        <v>1202</v>
      </c>
    </row>
    <row r="679" spans="1:13" x14ac:dyDescent="0.3">
      <c r="A679" t="s">
        <v>615</v>
      </c>
      <c r="B679" t="s">
        <v>3364</v>
      </c>
      <c r="C679" t="s">
        <v>3365</v>
      </c>
      <c r="D679" t="s">
        <v>3366</v>
      </c>
      <c r="E679" t="s">
        <v>16</v>
      </c>
      <c r="F679" t="s">
        <v>1254</v>
      </c>
      <c r="G679" s="2">
        <v>0.50694444444444442</v>
      </c>
      <c r="H679" t="s">
        <v>1200</v>
      </c>
      <c r="I679" t="s">
        <v>1201</v>
      </c>
      <c r="L679" t="s">
        <v>1222</v>
      </c>
    </row>
    <row r="680" spans="1:13" x14ac:dyDescent="0.3">
      <c r="A680" t="s">
        <v>615</v>
      </c>
      <c r="B680" t="s">
        <v>3367</v>
      </c>
      <c r="C680" t="s">
        <v>3368</v>
      </c>
      <c r="D680" t="s">
        <v>3369</v>
      </c>
      <c r="E680" t="s">
        <v>16</v>
      </c>
      <c r="F680" t="s">
        <v>1259</v>
      </c>
      <c r="G680" s="2">
        <v>0.5</v>
      </c>
      <c r="H680" t="s">
        <v>1200</v>
      </c>
      <c r="I680" t="s">
        <v>1201</v>
      </c>
      <c r="K680" t="s">
        <v>1250</v>
      </c>
    </row>
    <row r="681" spans="1:13" x14ac:dyDescent="0.3">
      <c r="A681" t="s">
        <v>615</v>
      </c>
      <c r="B681" s="3" t="s">
        <v>3370</v>
      </c>
      <c r="C681" t="s">
        <v>3371</v>
      </c>
      <c r="D681" t="s">
        <v>3372</v>
      </c>
      <c r="E681" t="s">
        <v>16</v>
      </c>
      <c r="F681" t="s">
        <v>1265</v>
      </c>
      <c r="G681" s="2">
        <v>0.49305555555555558</v>
      </c>
      <c r="H681" t="s">
        <v>1200</v>
      </c>
      <c r="I681" t="s">
        <v>1201</v>
      </c>
      <c r="K681" t="s">
        <v>1250</v>
      </c>
    </row>
    <row r="682" spans="1:13" x14ac:dyDescent="0.3">
      <c r="A682" t="s">
        <v>615</v>
      </c>
      <c r="B682" t="s">
        <v>3373</v>
      </c>
      <c r="C682" t="s">
        <v>3374</v>
      </c>
      <c r="D682" t="s">
        <v>3375</v>
      </c>
      <c r="E682" t="s">
        <v>16</v>
      </c>
      <c r="F682" t="s">
        <v>1270</v>
      </c>
      <c r="G682" s="2">
        <v>0.4861111111111111</v>
      </c>
      <c r="H682" t="s">
        <v>1200</v>
      </c>
      <c r="I682" t="s">
        <v>1201</v>
      </c>
      <c r="K682" t="s">
        <v>1250</v>
      </c>
    </row>
    <row r="683" spans="1:13" x14ac:dyDescent="0.3">
      <c r="A683" t="s">
        <v>615</v>
      </c>
      <c r="B683" t="s">
        <v>3376</v>
      </c>
      <c r="C683" t="s">
        <v>3377</v>
      </c>
      <c r="D683" t="s">
        <v>3378</v>
      </c>
      <c r="E683" t="s">
        <v>16</v>
      </c>
      <c r="F683" t="s">
        <v>1274</v>
      </c>
      <c r="G683" s="2">
        <v>0.47916666666666669</v>
      </c>
      <c r="H683" t="s">
        <v>1200</v>
      </c>
      <c r="I683" t="s">
        <v>1201</v>
      </c>
      <c r="K683" t="s">
        <v>1250</v>
      </c>
    </row>
    <row r="684" spans="1:13" x14ac:dyDescent="0.3">
      <c r="A684" t="s">
        <v>615</v>
      </c>
      <c r="B684" t="s">
        <v>3379</v>
      </c>
      <c r="C684" t="s">
        <v>3380</v>
      </c>
      <c r="D684" t="s">
        <v>3381</v>
      </c>
      <c r="E684" t="s">
        <v>16</v>
      </c>
      <c r="F684" t="s">
        <v>1278</v>
      </c>
      <c r="G684" s="2">
        <v>0.47222222222222227</v>
      </c>
      <c r="H684" t="s">
        <v>1200</v>
      </c>
      <c r="I684" t="s">
        <v>1201</v>
      </c>
      <c r="K684" t="s">
        <v>1250</v>
      </c>
    </row>
    <row r="685" spans="1:13" x14ac:dyDescent="0.3">
      <c r="A685" t="s">
        <v>615</v>
      </c>
      <c r="B685" t="s">
        <v>3382</v>
      </c>
      <c r="C685" t="s">
        <v>3383</v>
      </c>
      <c r="D685" t="s">
        <v>3384</v>
      </c>
      <c r="E685" t="s">
        <v>16</v>
      </c>
      <c r="F685" t="s">
        <v>1282</v>
      </c>
      <c r="G685" s="2">
        <v>0.46527777777777773</v>
      </c>
      <c r="H685" t="s">
        <v>1200</v>
      </c>
      <c r="I685" t="s">
        <v>1201</v>
      </c>
      <c r="K685" t="s">
        <v>1250</v>
      </c>
    </row>
    <row r="686" spans="1:13" x14ac:dyDescent="0.3">
      <c r="A686" t="s">
        <v>615</v>
      </c>
      <c r="B686" t="s">
        <v>3385</v>
      </c>
      <c r="C686" t="s">
        <v>3386</v>
      </c>
      <c r="D686" t="s">
        <v>3387</v>
      </c>
      <c r="E686" t="s">
        <v>16</v>
      </c>
      <c r="F686" t="s">
        <v>1287</v>
      </c>
      <c r="G686" s="2">
        <v>0.45833333333333331</v>
      </c>
      <c r="H686" t="s">
        <v>1200</v>
      </c>
      <c r="I686" t="s">
        <v>1201</v>
      </c>
      <c r="K686" t="s">
        <v>1250</v>
      </c>
    </row>
    <row r="687" spans="1:13" x14ac:dyDescent="0.3">
      <c r="A687" t="s">
        <v>615</v>
      </c>
      <c r="B687" t="s">
        <v>3388</v>
      </c>
      <c r="C687" t="s">
        <v>3389</v>
      </c>
      <c r="D687" t="s">
        <v>3390</v>
      </c>
      <c r="E687" t="s">
        <v>16</v>
      </c>
      <c r="F687" t="s">
        <v>1291</v>
      </c>
      <c r="G687" s="2">
        <v>0.4513888888888889</v>
      </c>
      <c r="H687" t="s">
        <v>1200</v>
      </c>
      <c r="I687" t="s">
        <v>1201</v>
      </c>
      <c r="K687" t="s">
        <v>1250</v>
      </c>
    </row>
    <row r="688" spans="1:13" x14ac:dyDescent="0.3">
      <c r="A688" t="s">
        <v>615</v>
      </c>
      <c r="B688" t="s">
        <v>3391</v>
      </c>
      <c r="C688" t="s">
        <v>3392</v>
      </c>
      <c r="D688" t="s">
        <v>3393</v>
      </c>
      <c r="E688" t="s">
        <v>16</v>
      </c>
      <c r="F688" t="s">
        <v>1296</v>
      </c>
      <c r="G688" s="2">
        <v>0.44444444444444442</v>
      </c>
      <c r="H688" t="s">
        <v>1200</v>
      </c>
      <c r="I688" t="s">
        <v>1201</v>
      </c>
      <c r="M688" t="s">
        <v>1464</v>
      </c>
    </row>
    <row r="689" spans="1:26" x14ac:dyDescent="0.3">
      <c r="A689" t="s">
        <v>615</v>
      </c>
      <c r="B689" t="s">
        <v>3394</v>
      </c>
      <c r="C689" t="s">
        <v>3395</v>
      </c>
      <c r="D689" t="s">
        <v>3396</v>
      </c>
      <c r="E689" t="s">
        <v>16</v>
      </c>
      <c r="F689" t="s">
        <v>1300</v>
      </c>
      <c r="G689" s="2">
        <v>0.4375</v>
      </c>
      <c r="H689" t="s">
        <v>1200</v>
      </c>
      <c r="I689" t="s">
        <v>1201</v>
      </c>
      <c r="L689" t="s">
        <v>1202</v>
      </c>
      <c r="X689" t="s">
        <v>1100</v>
      </c>
      <c r="Y689">
        <v>2</v>
      </c>
      <c r="Z689" t="s">
        <v>1203</v>
      </c>
    </row>
    <row r="690" spans="1:26" x14ac:dyDescent="0.3">
      <c r="A690" t="s">
        <v>615</v>
      </c>
      <c r="B690" t="s">
        <v>3397</v>
      </c>
      <c r="C690" t="s">
        <v>3398</v>
      </c>
      <c r="D690" t="s">
        <v>3399</v>
      </c>
      <c r="E690" t="s">
        <v>16</v>
      </c>
      <c r="F690" t="s">
        <v>1443</v>
      </c>
      <c r="G690" s="2">
        <v>0.43055555555555558</v>
      </c>
      <c r="H690" t="s">
        <v>1200</v>
      </c>
      <c r="I690" t="s">
        <v>1201</v>
      </c>
      <c r="L690" t="s">
        <v>1363</v>
      </c>
      <c r="X690" t="s">
        <v>1100</v>
      </c>
      <c r="Y690">
        <v>2</v>
      </c>
      <c r="Z690" t="s">
        <v>1396</v>
      </c>
    </row>
    <row r="691" spans="1:26" x14ac:dyDescent="0.3">
      <c r="A691" t="s">
        <v>615</v>
      </c>
      <c r="B691" t="s">
        <v>3400</v>
      </c>
      <c r="C691" t="s">
        <v>3401</v>
      </c>
      <c r="D691" t="s">
        <v>3402</v>
      </c>
      <c r="E691" t="s">
        <v>16</v>
      </c>
      <c r="F691" t="s">
        <v>1447</v>
      </c>
      <c r="G691" s="2">
        <v>0.4236111111111111</v>
      </c>
      <c r="H691" t="s">
        <v>1200</v>
      </c>
      <c r="I691" t="s">
        <v>1201</v>
      </c>
      <c r="L691" t="s">
        <v>1202</v>
      </c>
      <c r="X691" t="s">
        <v>1100</v>
      </c>
      <c r="Y691">
        <v>2</v>
      </c>
      <c r="Z691" t="s">
        <v>1203</v>
      </c>
    </row>
    <row r="692" spans="1:26" x14ac:dyDescent="0.3">
      <c r="A692" t="s">
        <v>615</v>
      </c>
      <c r="B692" s="3" t="s">
        <v>3403</v>
      </c>
      <c r="C692" t="s">
        <v>3404</v>
      </c>
      <c r="D692" t="s">
        <v>3405</v>
      </c>
      <c r="E692" t="s">
        <v>16</v>
      </c>
      <c r="F692" t="s">
        <v>1451</v>
      </c>
      <c r="G692" s="2">
        <v>0.41666666666666669</v>
      </c>
      <c r="H692" t="s">
        <v>1200</v>
      </c>
      <c r="I692" t="s">
        <v>1201</v>
      </c>
      <c r="L692" t="s">
        <v>1363</v>
      </c>
      <c r="X692" t="s">
        <v>1100</v>
      </c>
      <c r="Y692">
        <v>2</v>
      </c>
      <c r="Z692" t="s">
        <v>1203</v>
      </c>
    </row>
    <row r="693" spans="1:26" x14ac:dyDescent="0.3">
      <c r="A693" t="s">
        <v>615</v>
      </c>
      <c r="B693" t="s">
        <v>3406</v>
      </c>
      <c r="C693" t="s">
        <v>3407</v>
      </c>
      <c r="D693" t="s">
        <v>3408</v>
      </c>
      <c r="E693" t="s">
        <v>16</v>
      </c>
      <c r="F693" t="s">
        <v>1455</v>
      </c>
      <c r="G693" s="2">
        <v>0.40972222222222227</v>
      </c>
      <c r="H693" t="s">
        <v>1200</v>
      </c>
      <c r="I693" t="s">
        <v>1201</v>
      </c>
      <c r="L693" t="s">
        <v>1202</v>
      </c>
      <c r="X693" t="s">
        <v>1100</v>
      </c>
      <c r="Y693">
        <v>2</v>
      </c>
      <c r="Z693" t="s">
        <v>1203</v>
      </c>
    </row>
    <row r="694" spans="1:26" x14ac:dyDescent="0.3">
      <c r="A694" t="s">
        <v>615</v>
      </c>
      <c r="B694" t="s">
        <v>3409</v>
      </c>
      <c r="C694" t="s">
        <v>3410</v>
      </c>
      <c r="D694" t="s">
        <v>3411</v>
      </c>
      <c r="E694" t="s">
        <v>16</v>
      </c>
      <c r="F694" t="s">
        <v>1459</v>
      </c>
      <c r="G694" s="2">
        <v>0.40277777777777773</v>
      </c>
      <c r="H694" t="s">
        <v>1200</v>
      </c>
      <c r="I694" t="s">
        <v>1201</v>
      </c>
      <c r="L694" t="s">
        <v>1202</v>
      </c>
      <c r="X694" t="s">
        <v>1100</v>
      </c>
      <c r="Y694">
        <v>2</v>
      </c>
      <c r="Z694" t="s">
        <v>1203</v>
      </c>
    </row>
    <row r="695" spans="1:26" x14ac:dyDescent="0.3">
      <c r="A695" t="s">
        <v>615</v>
      </c>
      <c r="B695" t="s">
        <v>3412</v>
      </c>
      <c r="C695" t="s">
        <v>3413</v>
      </c>
      <c r="D695" t="s">
        <v>3414</v>
      </c>
      <c r="E695" t="s">
        <v>16</v>
      </c>
      <c r="F695" t="s">
        <v>1463</v>
      </c>
      <c r="G695" s="2">
        <v>0.39583333333333331</v>
      </c>
      <c r="H695" t="s">
        <v>1200</v>
      </c>
      <c r="I695" t="s">
        <v>1201</v>
      </c>
      <c r="L695" t="s">
        <v>1202</v>
      </c>
      <c r="X695" t="s">
        <v>1100</v>
      </c>
      <c r="Y695">
        <v>2</v>
      </c>
      <c r="Z695" t="s">
        <v>1203</v>
      </c>
    </row>
    <row r="696" spans="1:26" x14ac:dyDescent="0.3">
      <c r="A696" t="s">
        <v>615</v>
      </c>
      <c r="B696" t="s">
        <v>3415</v>
      </c>
      <c r="C696" t="s">
        <v>3416</v>
      </c>
      <c r="D696" t="s">
        <v>3417</v>
      </c>
      <c r="E696" t="s">
        <v>16</v>
      </c>
      <c r="F696" t="s">
        <v>1469</v>
      </c>
      <c r="G696" s="2">
        <v>0.3888888888888889</v>
      </c>
      <c r="H696" t="s">
        <v>1200</v>
      </c>
      <c r="I696" t="s">
        <v>1201</v>
      </c>
      <c r="M696" t="s">
        <v>1292</v>
      </c>
    </row>
    <row r="697" spans="1:26" x14ac:dyDescent="0.3">
      <c r="A697" t="s">
        <v>615</v>
      </c>
      <c r="B697" t="s">
        <v>3418</v>
      </c>
      <c r="C697" t="s">
        <v>3419</v>
      </c>
      <c r="D697" t="s">
        <v>3420</v>
      </c>
      <c r="E697" t="s">
        <v>16</v>
      </c>
      <c r="F697" t="s">
        <v>1473</v>
      </c>
      <c r="G697" s="2">
        <v>0.38194444444444442</v>
      </c>
      <c r="H697" t="s">
        <v>1200</v>
      </c>
      <c r="I697" t="s">
        <v>1201</v>
      </c>
      <c r="M697" t="s">
        <v>1292</v>
      </c>
      <c r="X697" t="s">
        <v>1100</v>
      </c>
      <c r="Y697">
        <v>2</v>
      </c>
      <c r="Z697" t="s">
        <v>1266</v>
      </c>
    </row>
    <row r="698" spans="1:26" x14ac:dyDescent="0.3">
      <c r="A698" t="s">
        <v>615</v>
      </c>
      <c r="B698" t="s">
        <v>3421</v>
      </c>
      <c r="C698" t="s">
        <v>3422</v>
      </c>
      <c r="D698" t="s">
        <v>3423</v>
      </c>
      <c r="E698" t="s">
        <v>16</v>
      </c>
      <c r="F698" t="s">
        <v>1477</v>
      </c>
      <c r="G698" s="2">
        <v>0.375</v>
      </c>
      <c r="H698" t="s">
        <v>1200</v>
      </c>
      <c r="I698" t="s">
        <v>1201</v>
      </c>
      <c r="L698" t="s">
        <v>1202</v>
      </c>
    </row>
    <row r="699" spans="1:26" x14ac:dyDescent="0.3">
      <c r="A699" t="s">
        <v>615</v>
      </c>
      <c r="B699" t="s">
        <v>3424</v>
      </c>
      <c r="C699" t="s">
        <v>3425</v>
      </c>
      <c r="D699" t="s">
        <v>3426</v>
      </c>
      <c r="E699" t="s">
        <v>16</v>
      </c>
      <c r="F699" t="s">
        <v>1482</v>
      </c>
      <c r="G699" s="2">
        <v>0.36805555555555558</v>
      </c>
      <c r="H699" t="s">
        <v>1200</v>
      </c>
      <c r="I699" t="s">
        <v>1201</v>
      </c>
      <c r="L699" t="s">
        <v>1202</v>
      </c>
    </row>
    <row r="700" spans="1:26" x14ac:dyDescent="0.3">
      <c r="A700" t="s">
        <v>615</v>
      </c>
      <c r="B700" t="s">
        <v>3427</v>
      </c>
      <c r="C700" t="s">
        <v>3428</v>
      </c>
      <c r="D700" t="s">
        <v>3429</v>
      </c>
      <c r="E700" t="s">
        <v>16</v>
      </c>
      <c r="F700" t="s">
        <v>1486</v>
      </c>
      <c r="G700" s="2">
        <v>0.3611111111111111</v>
      </c>
      <c r="H700" t="s">
        <v>1200</v>
      </c>
      <c r="I700" t="s">
        <v>1201</v>
      </c>
      <c r="M700" t="s">
        <v>1464</v>
      </c>
    </row>
    <row r="701" spans="1:26" x14ac:dyDescent="0.3">
      <c r="A701" t="s">
        <v>615</v>
      </c>
      <c r="B701" t="s">
        <v>3430</v>
      </c>
      <c r="C701" t="s">
        <v>3431</v>
      </c>
      <c r="D701" t="s">
        <v>3432</v>
      </c>
      <c r="E701" t="s">
        <v>16</v>
      </c>
      <c r="F701" t="s">
        <v>1490</v>
      </c>
      <c r="G701" s="2">
        <v>0.35416666666666669</v>
      </c>
      <c r="H701" t="s">
        <v>1200</v>
      </c>
      <c r="I701" t="s">
        <v>1201</v>
      </c>
      <c r="M701" t="s">
        <v>1464</v>
      </c>
    </row>
    <row r="702" spans="1:26" x14ac:dyDescent="0.3">
      <c r="A702" t="s">
        <v>615</v>
      </c>
      <c r="B702" t="s">
        <v>3433</v>
      </c>
      <c r="C702" t="s">
        <v>3434</v>
      </c>
      <c r="D702" t="s">
        <v>3435</v>
      </c>
      <c r="E702" t="s">
        <v>16</v>
      </c>
      <c r="F702" t="s">
        <v>1495</v>
      </c>
      <c r="G702" s="2">
        <v>0.34722222222222227</v>
      </c>
      <c r="H702" t="s">
        <v>1200</v>
      </c>
      <c r="I702" t="s">
        <v>1201</v>
      </c>
      <c r="M702" t="s">
        <v>1464</v>
      </c>
    </row>
    <row r="703" spans="1:26" x14ac:dyDescent="0.3">
      <c r="A703" t="s">
        <v>615</v>
      </c>
      <c r="B703" t="s">
        <v>3436</v>
      </c>
      <c r="C703" t="s">
        <v>3437</v>
      </c>
      <c r="D703" t="s">
        <v>3438</v>
      </c>
      <c r="E703" t="s">
        <v>16</v>
      </c>
      <c r="F703" t="s">
        <v>1500</v>
      </c>
      <c r="G703" s="2">
        <v>0.34027777777777773</v>
      </c>
      <c r="H703" t="s">
        <v>1200</v>
      </c>
      <c r="I703" t="s">
        <v>1201</v>
      </c>
      <c r="M703" t="s">
        <v>1464</v>
      </c>
    </row>
    <row r="704" spans="1:26" x14ac:dyDescent="0.3">
      <c r="A704" t="s">
        <v>615</v>
      </c>
      <c r="B704" t="s">
        <v>3439</v>
      </c>
      <c r="C704" t="s">
        <v>3440</v>
      </c>
      <c r="D704" t="s">
        <v>3441</v>
      </c>
      <c r="E704" t="s">
        <v>16</v>
      </c>
      <c r="F704" t="s">
        <v>3030</v>
      </c>
      <c r="G704" s="2">
        <v>0.33333333333333331</v>
      </c>
      <c r="H704" t="s">
        <v>1200</v>
      </c>
      <c r="I704" t="s">
        <v>1201</v>
      </c>
      <c r="K704" t="s">
        <v>1250</v>
      </c>
    </row>
    <row r="705" spans="1:33" x14ac:dyDescent="0.3">
      <c r="A705" t="s">
        <v>615</v>
      </c>
      <c r="B705" s="3" t="s">
        <v>3442</v>
      </c>
      <c r="C705" t="s">
        <v>3443</v>
      </c>
      <c r="D705" t="s">
        <v>3444</v>
      </c>
      <c r="E705" t="s">
        <v>16</v>
      </c>
      <c r="F705" t="s">
        <v>3034</v>
      </c>
      <c r="G705" s="2">
        <v>0.3263888888888889</v>
      </c>
      <c r="H705" t="s">
        <v>1200</v>
      </c>
      <c r="I705" t="s">
        <v>1201</v>
      </c>
      <c r="K705" t="s">
        <v>1250</v>
      </c>
    </row>
    <row r="706" spans="1:33" x14ac:dyDescent="0.3">
      <c r="A706" t="s">
        <v>615</v>
      </c>
      <c r="B706" t="s">
        <v>3445</v>
      </c>
      <c r="C706" t="s">
        <v>3446</v>
      </c>
      <c r="D706" t="s">
        <v>3447</v>
      </c>
      <c r="E706" t="s">
        <v>16</v>
      </c>
      <c r="F706" t="s">
        <v>3038</v>
      </c>
      <c r="G706" s="2">
        <v>0.31944444444444448</v>
      </c>
      <c r="H706" t="s">
        <v>1200</v>
      </c>
      <c r="I706" t="s">
        <v>1201</v>
      </c>
      <c r="K706" t="s">
        <v>1250</v>
      </c>
    </row>
    <row r="707" spans="1:33" x14ac:dyDescent="0.3">
      <c r="A707" t="s">
        <v>615</v>
      </c>
      <c r="B707" t="s">
        <v>3448</v>
      </c>
      <c r="C707" t="s">
        <v>3449</v>
      </c>
      <c r="D707" t="s">
        <v>3450</v>
      </c>
      <c r="E707" t="s">
        <v>16</v>
      </c>
      <c r="F707" t="s">
        <v>3042</v>
      </c>
      <c r="G707" s="2">
        <v>0.3125</v>
      </c>
      <c r="H707" t="s">
        <v>1200</v>
      </c>
      <c r="I707" t="s">
        <v>1201</v>
      </c>
      <c r="K707" t="s">
        <v>1250</v>
      </c>
    </row>
    <row r="708" spans="1:33" x14ac:dyDescent="0.3">
      <c r="A708" t="s">
        <v>615</v>
      </c>
      <c r="B708" t="s">
        <v>3451</v>
      </c>
      <c r="C708" t="s">
        <v>3452</v>
      </c>
      <c r="D708" t="s">
        <v>3453</v>
      </c>
      <c r="E708" t="s">
        <v>16</v>
      </c>
      <c r="F708" t="s">
        <v>3317</v>
      </c>
      <c r="G708" s="2">
        <v>0.30555555555555552</v>
      </c>
      <c r="H708" t="s">
        <v>1200</v>
      </c>
      <c r="I708" t="s">
        <v>1201</v>
      </c>
      <c r="K708" t="s">
        <v>1250</v>
      </c>
    </row>
    <row r="709" spans="1:33" x14ac:dyDescent="0.3">
      <c r="A709" t="s">
        <v>615</v>
      </c>
      <c r="B709" t="s">
        <v>3454</v>
      </c>
      <c r="C709" t="s">
        <v>3455</v>
      </c>
      <c r="D709" t="s">
        <v>3456</v>
      </c>
      <c r="E709" t="s">
        <v>16</v>
      </c>
      <c r="F709" t="s">
        <v>3457</v>
      </c>
      <c r="G709" s="2">
        <v>0.30208333333333331</v>
      </c>
      <c r="H709" t="s">
        <v>1200</v>
      </c>
      <c r="I709" t="s">
        <v>1201</v>
      </c>
      <c r="K709" t="s">
        <v>1250</v>
      </c>
    </row>
    <row r="710" spans="1:33" x14ac:dyDescent="0.3">
      <c r="A710" t="s">
        <v>623</v>
      </c>
      <c r="B710" t="s">
        <v>3458</v>
      </c>
      <c r="C710" t="s">
        <v>3459</v>
      </c>
      <c r="D710" t="s">
        <v>3460</v>
      </c>
      <c r="E710" t="s">
        <v>16</v>
      </c>
      <c r="F710" t="s">
        <v>1265</v>
      </c>
      <c r="G710" s="2">
        <v>0.49305555555555558</v>
      </c>
      <c r="H710" t="s">
        <v>1200</v>
      </c>
      <c r="I710" t="s">
        <v>1201</v>
      </c>
      <c r="L710" t="s">
        <v>1202</v>
      </c>
    </row>
    <row r="711" spans="1:33" x14ac:dyDescent="0.3">
      <c r="A711" t="s">
        <v>623</v>
      </c>
      <c r="B711" t="s">
        <v>3461</v>
      </c>
      <c r="C711" t="s">
        <v>3462</v>
      </c>
      <c r="D711" t="s">
        <v>3463</v>
      </c>
      <c r="E711" t="s">
        <v>16</v>
      </c>
      <c r="F711" t="s">
        <v>1270</v>
      </c>
      <c r="G711" s="2">
        <v>0.4861111111111111</v>
      </c>
      <c r="H711" t="s">
        <v>1200</v>
      </c>
      <c r="I711" t="s">
        <v>1201</v>
      </c>
      <c r="L711" t="s">
        <v>1202</v>
      </c>
    </row>
    <row r="712" spans="1:33" x14ac:dyDescent="0.3">
      <c r="A712" t="s">
        <v>623</v>
      </c>
      <c r="B712" t="s">
        <v>3464</v>
      </c>
      <c r="C712" t="s">
        <v>3465</v>
      </c>
      <c r="D712" t="s">
        <v>3466</v>
      </c>
      <c r="E712" t="s">
        <v>16</v>
      </c>
      <c r="F712" t="s">
        <v>1278</v>
      </c>
      <c r="G712" s="2">
        <v>0.47222222222222227</v>
      </c>
      <c r="H712" t="s">
        <v>1200</v>
      </c>
      <c r="I712" t="s">
        <v>1201</v>
      </c>
      <c r="L712" t="s">
        <v>1202</v>
      </c>
    </row>
    <row r="713" spans="1:33" x14ac:dyDescent="0.3">
      <c r="A713" t="s">
        <v>623</v>
      </c>
      <c r="B713" t="s">
        <v>3467</v>
      </c>
      <c r="C713" t="s">
        <v>3468</v>
      </c>
      <c r="D713" t="s">
        <v>3469</v>
      </c>
      <c r="E713" t="s">
        <v>16</v>
      </c>
      <c r="F713" t="s">
        <v>1282</v>
      </c>
      <c r="G713" s="2">
        <v>0.46527777777777773</v>
      </c>
      <c r="H713" t="s">
        <v>1200</v>
      </c>
      <c r="I713" t="s">
        <v>1201</v>
      </c>
      <c r="L713" t="s">
        <v>1222</v>
      </c>
    </row>
    <row r="714" spans="1:33" x14ac:dyDescent="0.3">
      <c r="A714" t="s">
        <v>623</v>
      </c>
      <c r="B714" t="s">
        <v>3470</v>
      </c>
      <c r="C714" t="s">
        <v>3471</v>
      </c>
      <c r="D714" t="s">
        <v>3472</v>
      </c>
      <c r="E714" t="s">
        <v>16</v>
      </c>
      <c r="F714" t="s">
        <v>1287</v>
      </c>
      <c r="G714" s="2">
        <v>0.45833333333333331</v>
      </c>
      <c r="H714" t="s">
        <v>1200</v>
      </c>
      <c r="I714" t="s">
        <v>1201</v>
      </c>
      <c r="L714" t="s">
        <v>1222</v>
      </c>
    </row>
    <row r="715" spans="1:33" x14ac:dyDescent="0.3">
      <c r="A715" t="s">
        <v>623</v>
      </c>
      <c r="B715" t="s">
        <v>3473</v>
      </c>
      <c r="C715" t="s">
        <v>3474</v>
      </c>
      <c r="D715" t="s">
        <v>3475</v>
      </c>
      <c r="E715" t="s">
        <v>16</v>
      </c>
      <c r="F715" t="s">
        <v>1291</v>
      </c>
      <c r="G715" s="2">
        <v>0.4513888888888889</v>
      </c>
      <c r="H715" t="s">
        <v>1200</v>
      </c>
      <c r="I715" t="s">
        <v>1201</v>
      </c>
      <c r="L715" t="s">
        <v>1222</v>
      </c>
    </row>
    <row r="716" spans="1:33" x14ac:dyDescent="0.3">
      <c r="A716" t="s">
        <v>623</v>
      </c>
      <c r="B716" t="s">
        <v>3476</v>
      </c>
      <c r="C716" t="s">
        <v>3477</v>
      </c>
      <c r="D716" t="s">
        <v>3478</v>
      </c>
      <c r="E716" t="s">
        <v>16</v>
      </c>
      <c r="F716" t="s">
        <v>1296</v>
      </c>
      <c r="G716" s="2">
        <v>0.44444444444444442</v>
      </c>
      <c r="H716" t="s">
        <v>1200</v>
      </c>
      <c r="I716" t="s">
        <v>1201</v>
      </c>
      <c r="K716" t="s">
        <v>1250</v>
      </c>
    </row>
    <row r="717" spans="1:33" x14ac:dyDescent="0.3">
      <c r="A717" t="s">
        <v>623</v>
      </c>
      <c r="B717" t="s">
        <v>3479</v>
      </c>
      <c r="C717" t="s">
        <v>3480</v>
      </c>
      <c r="D717" t="s">
        <v>3481</v>
      </c>
      <c r="E717" t="s">
        <v>16</v>
      </c>
      <c r="F717" t="s">
        <v>1300</v>
      </c>
      <c r="G717" s="2">
        <v>0.4375</v>
      </c>
      <c r="H717" t="s">
        <v>1200</v>
      </c>
      <c r="I717" t="s">
        <v>1201</v>
      </c>
      <c r="M717" t="s">
        <v>1501</v>
      </c>
    </row>
    <row r="718" spans="1:33" x14ac:dyDescent="0.3">
      <c r="A718" t="s">
        <v>623</v>
      </c>
      <c r="B718" t="s">
        <v>3482</v>
      </c>
      <c r="C718" t="s">
        <v>3483</v>
      </c>
      <c r="D718" t="s">
        <v>3484</v>
      </c>
      <c r="E718" t="s">
        <v>16</v>
      </c>
      <c r="F718" t="s">
        <v>1443</v>
      </c>
      <c r="G718" s="2">
        <v>0.43055555555555558</v>
      </c>
      <c r="H718" t="s">
        <v>1200</v>
      </c>
      <c r="I718" t="s">
        <v>1201</v>
      </c>
      <c r="M718" t="s">
        <v>1501</v>
      </c>
    </row>
    <row r="719" spans="1:33" x14ac:dyDescent="0.3">
      <c r="A719" t="s">
        <v>623</v>
      </c>
      <c r="B719" t="s">
        <v>3485</v>
      </c>
      <c r="C719" t="s">
        <v>3486</v>
      </c>
      <c r="D719" t="s">
        <v>3487</v>
      </c>
      <c r="E719" t="s">
        <v>16</v>
      </c>
      <c r="F719" t="s">
        <v>1447</v>
      </c>
      <c r="G719" s="2">
        <v>0.4236111111111111</v>
      </c>
      <c r="H719" t="s">
        <v>1200</v>
      </c>
      <c r="I719" t="s">
        <v>1201</v>
      </c>
      <c r="K719" t="s">
        <v>1250</v>
      </c>
    </row>
    <row r="720" spans="1:33" x14ac:dyDescent="0.3">
      <c r="A720" t="s">
        <v>623</v>
      </c>
      <c r="B720" t="s">
        <v>3488</v>
      </c>
      <c r="C720" t="s">
        <v>3489</v>
      </c>
      <c r="D720" t="s">
        <v>3490</v>
      </c>
      <c r="E720" t="s">
        <v>16</v>
      </c>
      <c r="F720" t="s">
        <v>1451</v>
      </c>
      <c r="G720" s="2">
        <v>0.41666666666666669</v>
      </c>
      <c r="H720" t="s">
        <v>1200</v>
      </c>
      <c r="I720" t="s">
        <v>1201</v>
      </c>
      <c r="K720" t="s">
        <v>1250</v>
      </c>
      <c r="X720" t="s">
        <v>546</v>
      </c>
      <c r="Y720">
        <v>2</v>
      </c>
      <c r="Z720" t="s">
        <v>1266</v>
      </c>
      <c r="AB720" t="s">
        <v>1100</v>
      </c>
      <c r="AC720">
        <v>3</v>
      </c>
      <c r="AD720" t="s">
        <v>1266</v>
      </c>
      <c r="AE720" t="s">
        <v>498</v>
      </c>
      <c r="AF720">
        <v>4</v>
      </c>
      <c r="AG720" t="s">
        <v>1266</v>
      </c>
    </row>
    <row r="721" spans="1:33" x14ac:dyDescent="0.3">
      <c r="A721" t="s">
        <v>623</v>
      </c>
      <c r="B721" t="s">
        <v>3491</v>
      </c>
      <c r="C721" t="s">
        <v>3492</v>
      </c>
      <c r="D721" t="s">
        <v>3493</v>
      </c>
      <c r="E721" t="s">
        <v>16</v>
      </c>
      <c r="F721" t="s">
        <v>1455</v>
      </c>
      <c r="G721" s="2">
        <v>0.40972222222222227</v>
      </c>
      <c r="H721" t="s">
        <v>1200</v>
      </c>
      <c r="I721" t="s">
        <v>1201</v>
      </c>
      <c r="K721" t="s">
        <v>1250</v>
      </c>
      <c r="X721" t="s">
        <v>546</v>
      </c>
      <c r="Y721">
        <v>2</v>
      </c>
      <c r="Z721" t="s">
        <v>1266</v>
      </c>
      <c r="AB721" t="s">
        <v>1100</v>
      </c>
      <c r="AC721">
        <v>3</v>
      </c>
      <c r="AD721" t="s">
        <v>1266</v>
      </c>
      <c r="AE721" t="s">
        <v>498</v>
      </c>
      <c r="AF721">
        <v>3</v>
      </c>
      <c r="AG721" t="s">
        <v>1266</v>
      </c>
    </row>
    <row r="722" spans="1:33" x14ac:dyDescent="0.3">
      <c r="A722" t="s">
        <v>623</v>
      </c>
      <c r="B722" t="s">
        <v>3494</v>
      </c>
      <c r="C722" t="s">
        <v>3495</v>
      </c>
      <c r="D722" t="s">
        <v>3496</v>
      </c>
      <c r="E722" t="s">
        <v>16</v>
      </c>
      <c r="F722" t="s">
        <v>1459</v>
      </c>
      <c r="G722" s="2">
        <v>0.40277777777777773</v>
      </c>
      <c r="H722" t="s">
        <v>1200</v>
      </c>
      <c r="I722" t="s">
        <v>1201</v>
      </c>
      <c r="K722" t="s">
        <v>1250</v>
      </c>
    </row>
    <row r="723" spans="1:33" x14ac:dyDescent="0.3">
      <c r="A723" t="s">
        <v>623</v>
      </c>
      <c r="B723" t="s">
        <v>3497</v>
      </c>
      <c r="C723" t="s">
        <v>3498</v>
      </c>
      <c r="D723" t="s">
        <v>3499</v>
      </c>
      <c r="E723" t="s">
        <v>16</v>
      </c>
      <c r="F723" t="s">
        <v>1463</v>
      </c>
      <c r="G723" s="2">
        <v>0.39583333333333331</v>
      </c>
      <c r="H723" t="s">
        <v>1200</v>
      </c>
      <c r="I723" t="s">
        <v>1201</v>
      </c>
      <c r="L723" t="s">
        <v>1222</v>
      </c>
    </row>
    <row r="724" spans="1:33" x14ac:dyDescent="0.3">
      <c r="A724" t="s">
        <v>623</v>
      </c>
      <c r="B724" t="s">
        <v>3500</v>
      </c>
      <c r="C724" t="s">
        <v>3501</v>
      </c>
      <c r="D724" t="s">
        <v>3502</v>
      </c>
      <c r="E724" t="s">
        <v>16</v>
      </c>
      <c r="F724" t="s">
        <v>1469</v>
      </c>
      <c r="G724" s="2">
        <v>0.3888888888888889</v>
      </c>
      <c r="H724" t="s">
        <v>1200</v>
      </c>
      <c r="I724" t="s">
        <v>1201</v>
      </c>
      <c r="K724" t="s">
        <v>1250</v>
      </c>
      <c r="X724" t="s">
        <v>546</v>
      </c>
      <c r="Y724">
        <v>3</v>
      </c>
      <c r="Z724" t="s">
        <v>1266</v>
      </c>
      <c r="AB724" t="s">
        <v>1100</v>
      </c>
      <c r="AC724">
        <v>4</v>
      </c>
      <c r="AD724" t="s">
        <v>1266</v>
      </c>
    </row>
    <row r="725" spans="1:33" x14ac:dyDescent="0.3">
      <c r="A725" t="s">
        <v>623</v>
      </c>
      <c r="B725" t="s">
        <v>3503</v>
      </c>
      <c r="C725" t="s">
        <v>3504</v>
      </c>
      <c r="D725" t="s">
        <v>3505</v>
      </c>
      <c r="E725" t="s">
        <v>16</v>
      </c>
      <c r="F725" t="s">
        <v>1473</v>
      </c>
      <c r="G725" s="2">
        <v>0.38194444444444442</v>
      </c>
      <c r="H725" t="s">
        <v>1200</v>
      </c>
      <c r="I725" t="s">
        <v>1201</v>
      </c>
      <c r="L725" t="s">
        <v>1222</v>
      </c>
      <c r="S725" t="s">
        <v>1224</v>
      </c>
      <c r="T725" t="s">
        <v>1703</v>
      </c>
      <c r="V725" t="s">
        <v>1226</v>
      </c>
      <c r="W725" t="s">
        <v>1227</v>
      </c>
    </row>
    <row r="726" spans="1:33" x14ac:dyDescent="0.3">
      <c r="A726" t="s">
        <v>623</v>
      </c>
      <c r="B726" t="s">
        <v>3506</v>
      </c>
      <c r="C726" t="s">
        <v>3507</v>
      </c>
      <c r="D726" t="s">
        <v>3508</v>
      </c>
      <c r="E726" t="s">
        <v>16</v>
      </c>
      <c r="F726" t="s">
        <v>1477</v>
      </c>
      <c r="G726" s="2">
        <v>0.375</v>
      </c>
      <c r="H726" t="s">
        <v>1200</v>
      </c>
      <c r="I726" t="s">
        <v>1201</v>
      </c>
      <c r="L726" t="s">
        <v>1222</v>
      </c>
      <c r="S726" t="s">
        <v>1224</v>
      </c>
      <c r="T726" t="s">
        <v>1703</v>
      </c>
      <c r="V726" t="s">
        <v>1226</v>
      </c>
      <c r="W726" t="s">
        <v>1227</v>
      </c>
    </row>
    <row r="727" spans="1:33" x14ac:dyDescent="0.3">
      <c r="A727" t="s">
        <v>623</v>
      </c>
      <c r="B727" t="s">
        <v>3509</v>
      </c>
      <c r="C727" t="s">
        <v>3510</v>
      </c>
      <c r="D727" t="s">
        <v>3511</v>
      </c>
      <c r="E727" t="s">
        <v>16</v>
      </c>
      <c r="F727" t="s">
        <v>1482</v>
      </c>
      <c r="G727" s="2">
        <v>0.36805555555555558</v>
      </c>
      <c r="H727" t="s">
        <v>1200</v>
      </c>
      <c r="I727" t="s">
        <v>1201</v>
      </c>
      <c r="M727" t="s">
        <v>1640</v>
      </c>
    </row>
    <row r="728" spans="1:33" x14ac:dyDescent="0.3">
      <c r="A728" t="s">
        <v>623</v>
      </c>
      <c r="B728" t="s">
        <v>3512</v>
      </c>
      <c r="C728" t="s">
        <v>3513</v>
      </c>
      <c r="D728" t="s">
        <v>3514</v>
      </c>
      <c r="E728" t="s">
        <v>16</v>
      </c>
      <c r="F728" t="s">
        <v>1486</v>
      </c>
      <c r="G728" s="2">
        <v>0.3611111111111111</v>
      </c>
      <c r="H728" t="s">
        <v>1200</v>
      </c>
      <c r="I728" t="s">
        <v>1201</v>
      </c>
      <c r="M728" t="s">
        <v>1640</v>
      </c>
    </row>
    <row r="729" spans="1:33" x14ac:dyDescent="0.3">
      <c r="A729" t="s">
        <v>623</v>
      </c>
      <c r="B729" t="s">
        <v>3515</v>
      </c>
      <c r="C729" t="s">
        <v>3516</v>
      </c>
      <c r="D729" t="s">
        <v>3517</v>
      </c>
      <c r="E729" t="s">
        <v>16</v>
      </c>
      <c r="F729" t="s">
        <v>1490</v>
      </c>
      <c r="G729" s="2">
        <v>0.35416666666666669</v>
      </c>
      <c r="H729" t="s">
        <v>1200</v>
      </c>
      <c r="I729" t="s">
        <v>1201</v>
      </c>
      <c r="M729" t="s">
        <v>1640</v>
      </c>
    </row>
    <row r="730" spans="1:33" x14ac:dyDescent="0.3">
      <c r="A730" t="s">
        <v>623</v>
      </c>
      <c r="B730" t="s">
        <v>3518</v>
      </c>
      <c r="C730" t="s">
        <v>3519</v>
      </c>
      <c r="D730" t="s">
        <v>3520</v>
      </c>
      <c r="E730" t="s">
        <v>16</v>
      </c>
      <c r="F730" t="s">
        <v>1495</v>
      </c>
      <c r="G730" s="2">
        <v>0.34722222222222227</v>
      </c>
      <c r="H730" t="s">
        <v>1200</v>
      </c>
      <c r="I730" t="s">
        <v>1201</v>
      </c>
      <c r="M730" t="s">
        <v>1640</v>
      </c>
    </row>
    <row r="731" spans="1:33" x14ac:dyDescent="0.3">
      <c r="A731" t="s">
        <v>623</v>
      </c>
      <c r="B731" t="s">
        <v>3521</v>
      </c>
      <c r="C731" t="s">
        <v>3522</v>
      </c>
      <c r="D731" t="s">
        <v>3523</v>
      </c>
      <c r="E731" t="s">
        <v>16</v>
      </c>
      <c r="F731" t="s">
        <v>1500</v>
      </c>
      <c r="G731" s="2">
        <v>0.34027777777777773</v>
      </c>
      <c r="H731" t="s">
        <v>1200</v>
      </c>
      <c r="I731" t="s">
        <v>1201</v>
      </c>
      <c r="M731" t="s">
        <v>1640</v>
      </c>
    </row>
    <row r="732" spans="1:33" x14ac:dyDescent="0.3">
      <c r="A732" t="s">
        <v>623</v>
      </c>
      <c r="B732" t="s">
        <v>3524</v>
      </c>
      <c r="C732" t="s">
        <v>3525</v>
      </c>
      <c r="D732" t="s">
        <v>3526</v>
      </c>
      <c r="E732" t="s">
        <v>16</v>
      </c>
      <c r="F732" t="s">
        <v>3030</v>
      </c>
      <c r="G732" s="2">
        <v>0.33333333333333331</v>
      </c>
      <c r="H732" t="s">
        <v>1200</v>
      </c>
      <c r="I732" t="s">
        <v>1201</v>
      </c>
      <c r="L732" t="s">
        <v>1202</v>
      </c>
    </row>
    <row r="733" spans="1:33" x14ac:dyDescent="0.3">
      <c r="A733" t="s">
        <v>623</v>
      </c>
      <c r="B733" t="s">
        <v>3527</v>
      </c>
      <c r="C733" t="s">
        <v>3528</v>
      </c>
      <c r="D733" t="s">
        <v>3529</v>
      </c>
      <c r="E733" t="s">
        <v>16</v>
      </c>
      <c r="F733" t="s">
        <v>3034</v>
      </c>
      <c r="G733" s="2">
        <v>0.3263888888888889</v>
      </c>
      <c r="H733" t="s">
        <v>1200</v>
      </c>
      <c r="I733" t="s">
        <v>1201</v>
      </c>
      <c r="M733" t="s">
        <v>1640</v>
      </c>
    </row>
    <row r="734" spans="1:33" x14ac:dyDescent="0.3">
      <c r="A734" t="s">
        <v>623</v>
      </c>
      <c r="B734" t="s">
        <v>3530</v>
      </c>
      <c r="C734" t="s">
        <v>3531</v>
      </c>
      <c r="D734" t="s">
        <v>3532</v>
      </c>
      <c r="E734" t="s">
        <v>16</v>
      </c>
      <c r="F734" t="s">
        <v>3038</v>
      </c>
      <c r="G734" s="2">
        <v>0.31944444444444448</v>
      </c>
      <c r="H734" t="s">
        <v>1200</v>
      </c>
      <c r="I734" t="s">
        <v>1201</v>
      </c>
      <c r="M734" t="s">
        <v>1640</v>
      </c>
    </row>
    <row r="735" spans="1:33" x14ac:dyDescent="0.3">
      <c r="A735" t="s">
        <v>623</v>
      </c>
      <c r="B735" t="s">
        <v>3533</v>
      </c>
      <c r="C735" t="s">
        <v>3534</v>
      </c>
      <c r="D735" t="s">
        <v>3535</v>
      </c>
      <c r="E735" t="s">
        <v>16</v>
      </c>
      <c r="F735" t="s">
        <v>3042</v>
      </c>
      <c r="G735" s="2">
        <v>0.3125</v>
      </c>
      <c r="H735" t="s">
        <v>1200</v>
      </c>
      <c r="I735" t="s">
        <v>1201</v>
      </c>
      <c r="M735" t="s">
        <v>1640</v>
      </c>
    </row>
    <row r="736" spans="1:33" x14ac:dyDescent="0.3">
      <c r="A736" t="s">
        <v>623</v>
      </c>
      <c r="B736" t="s">
        <v>3536</v>
      </c>
      <c r="C736" t="s">
        <v>3537</v>
      </c>
      <c r="D736" t="s">
        <v>3538</v>
      </c>
      <c r="E736" t="s">
        <v>16</v>
      </c>
      <c r="F736" t="s">
        <v>3317</v>
      </c>
      <c r="G736" s="2">
        <v>0.30555555555555552</v>
      </c>
      <c r="H736" t="s">
        <v>1200</v>
      </c>
      <c r="I736" t="s">
        <v>1201</v>
      </c>
      <c r="M736" t="s">
        <v>1640</v>
      </c>
    </row>
    <row r="737" spans="1:33" x14ac:dyDescent="0.3">
      <c r="A737" t="s">
        <v>623</v>
      </c>
      <c r="B737" t="s">
        <v>3539</v>
      </c>
      <c r="C737" t="s">
        <v>3540</v>
      </c>
      <c r="D737" t="s">
        <v>3541</v>
      </c>
      <c r="E737" t="s">
        <v>16</v>
      </c>
      <c r="F737" t="s">
        <v>3321</v>
      </c>
      <c r="G737" s="2">
        <v>0.2986111111111111</v>
      </c>
      <c r="H737" t="s">
        <v>1200</v>
      </c>
      <c r="I737" t="s">
        <v>1201</v>
      </c>
      <c r="M737" t="s">
        <v>1640</v>
      </c>
    </row>
    <row r="738" spans="1:33" x14ac:dyDescent="0.3">
      <c r="A738" t="s">
        <v>628</v>
      </c>
      <c r="B738" t="s">
        <v>3542</v>
      </c>
      <c r="C738" t="s">
        <v>3543</v>
      </c>
      <c r="D738" t="s">
        <v>3544</v>
      </c>
      <c r="E738" t="s">
        <v>16</v>
      </c>
      <c r="F738" t="s">
        <v>1506</v>
      </c>
      <c r="G738" s="2">
        <v>0.72916666666666663</v>
      </c>
      <c r="H738" t="s">
        <v>1200</v>
      </c>
      <c r="I738" t="s">
        <v>1201</v>
      </c>
      <c r="L738" t="s">
        <v>1202</v>
      </c>
      <c r="X738" t="s">
        <v>1100</v>
      </c>
      <c r="Y738">
        <v>1</v>
      </c>
      <c r="Z738" t="s">
        <v>1203</v>
      </c>
      <c r="AB738" t="s">
        <v>498</v>
      </c>
      <c r="AC738">
        <v>3</v>
      </c>
      <c r="AD738" t="s">
        <v>1203</v>
      </c>
    </row>
    <row r="739" spans="1:33" x14ac:dyDescent="0.3">
      <c r="A739" t="s">
        <v>628</v>
      </c>
      <c r="B739" t="s">
        <v>3545</v>
      </c>
      <c r="C739" t="s">
        <v>3546</v>
      </c>
      <c r="D739" t="s">
        <v>3547</v>
      </c>
      <c r="E739" t="s">
        <v>16</v>
      </c>
      <c r="F739" t="s">
        <v>1510</v>
      </c>
      <c r="G739" s="2">
        <v>0.72222222222222221</v>
      </c>
      <c r="H739" t="s">
        <v>1200</v>
      </c>
      <c r="I739" t="s">
        <v>1201</v>
      </c>
      <c r="L739" t="s">
        <v>1202</v>
      </c>
      <c r="X739" t="s">
        <v>1100</v>
      </c>
      <c r="Y739">
        <v>1</v>
      </c>
      <c r="Z739" t="s">
        <v>1203</v>
      </c>
      <c r="AB739" t="s">
        <v>498</v>
      </c>
      <c r="AC739">
        <v>3</v>
      </c>
      <c r="AD739" t="s">
        <v>1203</v>
      </c>
    </row>
    <row r="740" spans="1:33" x14ac:dyDescent="0.3">
      <c r="A740" t="s">
        <v>628</v>
      </c>
      <c r="B740" t="s">
        <v>3548</v>
      </c>
      <c r="C740" t="s">
        <v>3549</v>
      </c>
      <c r="D740" t="s">
        <v>3550</v>
      </c>
      <c r="E740" t="s">
        <v>16</v>
      </c>
      <c r="F740" t="s">
        <v>1514</v>
      </c>
      <c r="G740" s="2">
        <v>0.71527777777777779</v>
      </c>
      <c r="H740" t="s">
        <v>1200</v>
      </c>
      <c r="I740" t="s">
        <v>1201</v>
      </c>
      <c r="M740" t="s">
        <v>1640</v>
      </c>
      <c r="X740" t="s">
        <v>1100</v>
      </c>
      <c r="Y740">
        <v>2</v>
      </c>
      <c r="Z740" t="s">
        <v>1203</v>
      </c>
      <c r="AB740" t="s">
        <v>498</v>
      </c>
      <c r="AC740">
        <v>3</v>
      </c>
      <c r="AD740" t="s">
        <v>1203</v>
      </c>
    </row>
    <row r="741" spans="1:33" x14ac:dyDescent="0.3">
      <c r="A741" t="s">
        <v>628</v>
      </c>
      <c r="B741" t="s">
        <v>3551</v>
      </c>
      <c r="C741" t="s">
        <v>3552</v>
      </c>
      <c r="D741" t="s">
        <v>3553</v>
      </c>
      <c r="E741" t="s">
        <v>16</v>
      </c>
      <c r="F741" t="s">
        <v>1304</v>
      </c>
      <c r="G741" s="2">
        <v>0.70833333333333337</v>
      </c>
      <c r="H741" t="s">
        <v>1200</v>
      </c>
      <c r="I741" t="s">
        <v>1201</v>
      </c>
      <c r="M741" t="s">
        <v>1640</v>
      </c>
      <c r="X741" t="s">
        <v>498</v>
      </c>
      <c r="Y741">
        <v>2</v>
      </c>
      <c r="Z741" t="s">
        <v>2047</v>
      </c>
      <c r="AB741" t="s">
        <v>1100</v>
      </c>
      <c r="AC741">
        <v>3</v>
      </c>
      <c r="AD741" t="s">
        <v>1266</v>
      </c>
      <c r="AE741" t="s">
        <v>1100</v>
      </c>
      <c r="AF741">
        <v>3</v>
      </c>
      <c r="AG741" t="s">
        <v>1245</v>
      </c>
    </row>
    <row r="742" spans="1:33" x14ac:dyDescent="0.3">
      <c r="A742" t="s">
        <v>628</v>
      </c>
      <c r="B742" t="s">
        <v>3554</v>
      </c>
      <c r="C742" t="s">
        <v>3555</v>
      </c>
      <c r="D742" t="s">
        <v>3556</v>
      </c>
      <c r="E742" t="s">
        <v>16</v>
      </c>
      <c r="F742" t="s">
        <v>1308</v>
      </c>
      <c r="G742" s="2">
        <v>0.70138888888888884</v>
      </c>
      <c r="H742" t="s">
        <v>1200</v>
      </c>
      <c r="I742" t="s">
        <v>1201</v>
      </c>
      <c r="M742" t="s">
        <v>1640</v>
      </c>
      <c r="X742" t="s">
        <v>1100</v>
      </c>
      <c r="Y742">
        <v>2</v>
      </c>
      <c r="Z742" t="s">
        <v>1245</v>
      </c>
      <c r="AB742" t="s">
        <v>498</v>
      </c>
      <c r="AC742">
        <v>3</v>
      </c>
      <c r="AD742" t="s">
        <v>1228</v>
      </c>
      <c r="AE742" t="s">
        <v>546</v>
      </c>
      <c r="AF742">
        <v>3</v>
      </c>
      <c r="AG742" t="s">
        <v>2047</v>
      </c>
    </row>
    <row r="743" spans="1:33" x14ac:dyDescent="0.3">
      <c r="A743" t="s">
        <v>628</v>
      </c>
      <c r="B743" t="s">
        <v>3557</v>
      </c>
      <c r="C743" t="s">
        <v>3558</v>
      </c>
      <c r="D743" t="s">
        <v>3559</v>
      </c>
      <c r="E743" t="s">
        <v>16</v>
      </c>
      <c r="F743" t="s">
        <v>1313</v>
      </c>
      <c r="G743" s="2">
        <v>0.69444444444444453</v>
      </c>
      <c r="H743" t="s">
        <v>1200</v>
      </c>
      <c r="I743" t="s">
        <v>1201</v>
      </c>
      <c r="K743" t="s">
        <v>1250</v>
      </c>
      <c r="X743" t="s">
        <v>1100</v>
      </c>
      <c r="Y743">
        <v>2</v>
      </c>
      <c r="Z743" t="s">
        <v>1266</v>
      </c>
      <c r="AB743" t="s">
        <v>498</v>
      </c>
      <c r="AC743">
        <v>3</v>
      </c>
      <c r="AD743" t="s">
        <v>1266</v>
      </c>
      <c r="AE743" t="s">
        <v>752</v>
      </c>
      <c r="AF743">
        <v>3</v>
      </c>
      <c r="AG743" t="s">
        <v>1496</v>
      </c>
    </row>
    <row r="744" spans="1:33" x14ac:dyDescent="0.3">
      <c r="A744" t="s">
        <v>628</v>
      </c>
      <c r="B744" t="s">
        <v>3560</v>
      </c>
      <c r="C744" t="s">
        <v>3561</v>
      </c>
      <c r="D744" t="s">
        <v>3562</v>
      </c>
      <c r="E744" t="s">
        <v>16</v>
      </c>
      <c r="F744" t="s">
        <v>1317</v>
      </c>
      <c r="G744" s="2">
        <v>0.6875</v>
      </c>
      <c r="H744" t="s">
        <v>1200</v>
      </c>
      <c r="I744" t="s">
        <v>1201</v>
      </c>
      <c r="M744" t="s">
        <v>1640</v>
      </c>
      <c r="X744" t="s">
        <v>1100</v>
      </c>
      <c r="Y744">
        <v>2</v>
      </c>
      <c r="Z744" t="s">
        <v>1245</v>
      </c>
      <c r="AB744" t="s">
        <v>498</v>
      </c>
      <c r="AC744">
        <v>3</v>
      </c>
      <c r="AD744" t="s">
        <v>1203</v>
      </c>
      <c r="AE744" t="s">
        <v>546</v>
      </c>
      <c r="AF744">
        <v>4</v>
      </c>
      <c r="AG744" t="s">
        <v>1203</v>
      </c>
    </row>
    <row r="745" spans="1:33" x14ac:dyDescent="0.3">
      <c r="A745" t="s">
        <v>628</v>
      </c>
      <c r="B745" t="s">
        <v>3563</v>
      </c>
      <c r="C745" t="s">
        <v>3564</v>
      </c>
      <c r="D745" t="s">
        <v>3565</v>
      </c>
      <c r="E745" t="s">
        <v>16</v>
      </c>
      <c r="F745" t="s">
        <v>1321</v>
      </c>
      <c r="G745" s="2">
        <v>0.68055555555555547</v>
      </c>
      <c r="H745" t="s">
        <v>1200</v>
      </c>
      <c r="I745" t="s">
        <v>1201</v>
      </c>
      <c r="M745" t="s">
        <v>1640</v>
      </c>
      <c r="X745" t="s">
        <v>1100</v>
      </c>
      <c r="Y745">
        <v>2</v>
      </c>
      <c r="Z745" t="s">
        <v>1496</v>
      </c>
      <c r="AB745" t="s">
        <v>498</v>
      </c>
      <c r="AC745">
        <v>2</v>
      </c>
      <c r="AD745" t="s">
        <v>1203</v>
      </c>
      <c r="AE745" t="s">
        <v>546</v>
      </c>
      <c r="AF745">
        <v>3</v>
      </c>
      <c r="AG745" t="s">
        <v>2047</v>
      </c>
    </row>
    <row r="746" spans="1:33" x14ac:dyDescent="0.3">
      <c r="A746" t="s">
        <v>628</v>
      </c>
      <c r="B746" t="s">
        <v>3566</v>
      </c>
      <c r="C746" t="s">
        <v>3567</v>
      </c>
      <c r="D746" t="s">
        <v>3568</v>
      </c>
      <c r="E746" t="s">
        <v>16</v>
      </c>
      <c r="F746" t="s">
        <v>1325</v>
      </c>
      <c r="G746" s="2">
        <v>0.67361111111111116</v>
      </c>
      <c r="H746" t="s">
        <v>1200</v>
      </c>
      <c r="I746" t="s">
        <v>1201</v>
      </c>
      <c r="M746" t="s">
        <v>1640</v>
      </c>
      <c r="X746" t="s">
        <v>1100</v>
      </c>
      <c r="Y746">
        <v>2</v>
      </c>
      <c r="Z746" t="s">
        <v>1496</v>
      </c>
      <c r="AB746" t="s">
        <v>498</v>
      </c>
      <c r="AC746">
        <v>3</v>
      </c>
      <c r="AD746" t="s">
        <v>1496</v>
      </c>
      <c r="AE746" t="s">
        <v>546</v>
      </c>
      <c r="AF746">
        <v>4</v>
      </c>
      <c r="AG746" t="s">
        <v>2047</v>
      </c>
    </row>
    <row r="747" spans="1:33" x14ac:dyDescent="0.3">
      <c r="A747" t="s">
        <v>628</v>
      </c>
      <c r="B747" t="s">
        <v>3569</v>
      </c>
      <c r="C747" t="s">
        <v>3570</v>
      </c>
      <c r="D747" t="s">
        <v>3571</v>
      </c>
      <c r="E747" t="s">
        <v>16</v>
      </c>
      <c r="F747" t="s">
        <v>1329</v>
      </c>
      <c r="G747" s="2">
        <v>0.66666666666666663</v>
      </c>
      <c r="H747" t="s">
        <v>1200</v>
      </c>
      <c r="I747" t="s">
        <v>1201</v>
      </c>
      <c r="M747" t="s">
        <v>1640</v>
      </c>
      <c r="X747" t="s">
        <v>1100</v>
      </c>
      <c r="Y747">
        <v>2</v>
      </c>
      <c r="Z747" t="s">
        <v>1496</v>
      </c>
      <c r="AB747" t="s">
        <v>546</v>
      </c>
      <c r="AC747">
        <v>3</v>
      </c>
      <c r="AD747" t="s">
        <v>2047</v>
      </c>
      <c r="AE747" t="s">
        <v>1100</v>
      </c>
      <c r="AF747">
        <v>2</v>
      </c>
      <c r="AG747" t="s">
        <v>1245</v>
      </c>
    </row>
    <row r="748" spans="1:33" x14ac:dyDescent="0.3">
      <c r="A748" t="s">
        <v>628</v>
      </c>
      <c r="B748" t="s">
        <v>3572</v>
      </c>
      <c r="C748" t="s">
        <v>3573</v>
      </c>
      <c r="D748" t="s">
        <v>3574</v>
      </c>
      <c r="E748" t="s">
        <v>16</v>
      </c>
      <c r="F748" t="s">
        <v>1333</v>
      </c>
      <c r="G748" s="2">
        <v>0.65972222222222221</v>
      </c>
      <c r="H748" t="s">
        <v>1200</v>
      </c>
      <c r="I748" t="s">
        <v>1201</v>
      </c>
      <c r="M748" t="s">
        <v>1640</v>
      </c>
      <c r="X748" t="s">
        <v>1100</v>
      </c>
      <c r="Y748">
        <v>2</v>
      </c>
      <c r="Z748" t="s">
        <v>1496</v>
      </c>
      <c r="AB748" t="s">
        <v>546</v>
      </c>
      <c r="AC748">
        <v>3</v>
      </c>
      <c r="AD748" t="s">
        <v>2047</v>
      </c>
      <c r="AE748" t="s">
        <v>1100</v>
      </c>
      <c r="AF748">
        <v>3</v>
      </c>
      <c r="AG748" t="s">
        <v>2047</v>
      </c>
    </row>
    <row r="749" spans="1:33" x14ac:dyDescent="0.3">
      <c r="A749" t="s">
        <v>628</v>
      </c>
      <c r="B749" s="3" t="s">
        <v>3575</v>
      </c>
      <c r="C749" t="s">
        <v>3576</v>
      </c>
      <c r="D749" t="s">
        <v>3577</v>
      </c>
      <c r="E749" t="s">
        <v>16</v>
      </c>
      <c r="F749" t="s">
        <v>1338</v>
      </c>
      <c r="G749" s="2">
        <v>0.65277777777777779</v>
      </c>
      <c r="H749" t="s">
        <v>1200</v>
      </c>
      <c r="I749" t="s">
        <v>1201</v>
      </c>
      <c r="M749" t="s">
        <v>1640</v>
      </c>
      <c r="X749" t="s">
        <v>1100</v>
      </c>
      <c r="Y749">
        <v>2</v>
      </c>
      <c r="Z749" t="s">
        <v>1496</v>
      </c>
      <c r="AB749" t="s">
        <v>546</v>
      </c>
      <c r="AC749">
        <v>3</v>
      </c>
      <c r="AD749" t="s">
        <v>2047</v>
      </c>
      <c r="AE749" t="s">
        <v>1100</v>
      </c>
      <c r="AF749">
        <v>3</v>
      </c>
      <c r="AG749" t="s">
        <v>2047</v>
      </c>
    </row>
    <row r="750" spans="1:33" x14ac:dyDescent="0.3">
      <c r="A750" t="s">
        <v>628</v>
      </c>
      <c r="B750" t="s">
        <v>3578</v>
      </c>
      <c r="C750" t="s">
        <v>3579</v>
      </c>
      <c r="D750" t="s">
        <v>3580</v>
      </c>
      <c r="E750" t="s">
        <v>16</v>
      </c>
      <c r="F750" t="s">
        <v>1342</v>
      </c>
      <c r="G750" s="2">
        <v>0.64583333333333337</v>
      </c>
      <c r="H750" t="s">
        <v>1200</v>
      </c>
      <c r="I750" t="s">
        <v>1201</v>
      </c>
      <c r="K750" t="s">
        <v>1250</v>
      </c>
      <c r="X750" t="s">
        <v>1100</v>
      </c>
      <c r="Y750">
        <v>2</v>
      </c>
      <c r="Z750" t="s">
        <v>1266</v>
      </c>
      <c r="AB750" t="s">
        <v>498</v>
      </c>
      <c r="AC750">
        <v>2</v>
      </c>
      <c r="AD750" t="s">
        <v>2047</v>
      </c>
      <c r="AE750" t="s">
        <v>546</v>
      </c>
      <c r="AF750">
        <v>3</v>
      </c>
      <c r="AG750" t="s">
        <v>2047</v>
      </c>
    </row>
    <row r="751" spans="1:33" x14ac:dyDescent="0.3">
      <c r="A751" t="s">
        <v>628</v>
      </c>
      <c r="B751" t="s">
        <v>3581</v>
      </c>
      <c r="C751" t="s">
        <v>3582</v>
      </c>
      <c r="D751" t="s">
        <v>3583</v>
      </c>
      <c r="E751" t="s">
        <v>16</v>
      </c>
      <c r="F751" t="s">
        <v>1346</v>
      </c>
      <c r="G751" s="2">
        <v>0.63888888888888895</v>
      </c>
      <c r="H751" t="s">
        <v>1200</v>
      </c>
      <c r="I751" t="s">
        <v>1201</v>
      </c>
      <c r="M751" t="s">
        <v>1640</v>
      </c>
      <c r="X751" t="s">
        <v>752</v>
      </c>
      <c r="Y751">
        <v>2</v>
      </c>
      <c r="Z751" t="s">
        <v>2047</v>
      </c>
      <c r="AB751" t="s">
        <v>498</v>
      </c>
      <c r="AC751">
        <v>3</v>
      </c>
      <c r="AD751" t="s">
        <v>2047</v>
      </c>
      <c r="AE751" t="s">
        <v>1100</v>
      </c>
      <c r="AF751">
        <v>3</v>
      </c>
      <c r="AG751" t="s">
        <v>1228</v>
      </c>
    </row>
    <row r="752" spans="1:33" x14ac:dyDescent="0.3">
      <c r="A752" t="s">
        <v>628</v>
      </c>
      <c r="B752" t="s">
        <v>3584</v>
      </c>
      <c r="C752" t="s">
        <v>3585</v>
      </c>
      <c r="D752" t="s">
        <v>3586</v>
      </c>
      <c r="E752" t="s">
        <v>16</v>
      </c>
      <c r="F752" t="s">
        <v>1350</v>
      </c>
      <c r="G752" s="2">
        <v>0.63194444444444442</v>
      </c>
      <c r="H752" t="s">
        <v>1200</v>
      </c>
      <c r="I752" t="s">
        <v>1201</v>
      </c>
      <c r="M752" t="s">
        <v>1640</v>
      </c>
      <c r="X752" t="s">
        <v>1100</v>
      </c>
      <c r="Y752">
        <v>2</v>
      </c>
      <c r="Z752" t="s">
        <v>1245</v>
      </c>
      <c r="AB752" t="s">
        <v>752</v>
      </c>
      <c r="AC752">
        <v>3</v>
      </c>
      <c r="AD752" t="s">
        <v>1266</v>
      </c>
      <c r="AE752" t="s">
        <v>498</v>
      </c>
      <c r="AF752">
        <v>4</v>
      </c>
      <c r="AG752" t="s">
        <v>1266</v>
      </c>
    </row>
    <row r="753" spans="1:33" x14ac:dyDescent="0.3">
      <c r="A753" t="s">
        <v>628</v>
      </c>
      <c r="B753" t="s">
        <v>3587</v>
      </c>
      <c r="C753" t="s">
        <v>3588</v>
      </c>
      <c r="D753" t="s">
        <v>3589</v>
      </c>
      <c r="E753" t="s">
        <v>16</v>
      </c>
      <c r="F753" t="s">
        <v>1354</v>
      </c>
      <c r="G753" s="2">
        <v>0.625</v>
      </c>
      <c r="H753" t="s">
        <v>1200</v>
      </c>
      <c r="I753" t="s">
        <v>1201</v>
      </c>
      <c r="M753" t="s">
        <v>1640</v>
      </c>
      <c r="X753" t="s">
        <v>1100</v>
      </c>
      <c r="Y753">
        <v>2</v>
      </c>
      <c r="Z753" t="s">
        <v>1266</v>
      </c>
      <c r="AB753" t="s">
        <v>752</v>
      </c>
      <c r="AC753">
        <v>3</v>
      </c>
      <c r="AD753" t="s">
        <v>2047</v>
      </c>
      <c r="AE753" t="s">
        <v>498</v>
      </c>
      <c r="AF753">
        <v>3</v>
      </c>
      <c r="AG753" t="s">
        <v>1228</v>
      </c>
    </row>
    <row r="754" spans="1:33" x14ac:dyDescent="0.3">
      <c r="A754" t="s">
        <v>628</v>
      </c>
      <c r="B754" t="s">
        <v>3590</v>
      </c>
      <c r="C754" t="s">
        <v>3591</v>
      </c>
      <c r="D754" t="s">
        <v>3592</v>
      </c>
      <c r="E754" t="s">
        <v>16</v>
      </c>
      <c r="F754" t="s">
        <v>1558</v>
      </c>
      <c r="G754" s="2">
        <v>0.61805555555555558</v>
      </c>
      <c r="H754" t="s">
        <v>1200</v>
      </c>
      <c r="I754" t="s">
        <v>1201</v>
      </c>
      <c r="M754" t="s">
        <v>1640</v>
      </c>
      <c r="X754" t="s">
        <v>1100</v>
      </c>
      <c r="Y754">
        <v>3</v>
      </c>
      <c r="Z754" t="s">
        <v>2047</v>
      </c>
      <c r="AB754" t="s">
        <v>752</v>
      </c>
      <c r="AC754">
        <v>3</v>
      </c>
      <c r="AD754" t="s">
        <v>2047</v>
      </c>
      <c r="AE754" t="s">
        <v>1100</v>
      </c>
      <c r="AF754">
        <v>3</v>
      </c>
      <c r="AG754" t="s">
        <v>1228</v>
      </c>
    </row>
    <row r="755" spans="1:33" x14ac:dyDescent="0.3">
      <c r="A755" t="s">
        <v>628</v>
      </c>
      <c r="B755" t="s">
        <v>3593</v>
      </c>
      <c r="C755" t="s">
        <v>3594</v>
      </c>
      <c r="D755" t="s">
        <v>3595</v>
      </c>
      <c r="E755" t="s">
        <v>16</v>
      </c>
      <c r="F755" t="s">
        <v>1358</v>
      </c>
      <c r="G755" s="2">
        <v>0.61111111111111105</v>
      </c>
      <c r="H755" t="s">
        <v>1200</v>
      </c>
      <c r="I755" t="s">
        <v>1201</v>
      </c>
      <c r="M755" t="s">
        <v>1640</v>
      </c>
      <c r="X755" t="s">
        <v>1100</v>
      </c>
      <c r="Y755">
        <v>3</v>
      </c>
      <c r="Z755" t="s">
        <v>1245</v>
      </c>
      <c r="AB755" t="s">
        <v>546</v>
      </c>
      <c r="AC755">
        <v>3</v>
      </c>
      <c r="AD755" t="s">
        <v>1228</v>
      </c>
      <c r="AE755" t="s">
        <v>1100</v>
      </c>
      <c r="AF755">
        <v>3</v>
      </c>
      <c r="AG755" t="s">
        <v>1203</v>
      </c>
    </row>
    <row r="756" spans="1:33" x14ac:dyDescent="0.3">
      <c r="A756" t="s">
        <v>628</v>
      </c>
      <c r="B756" t="s">
        <v>3596</v>
      </c>
      <c r="C756" t="s">
        <v>3597</v>
      </c>
      <c r="D756" t="s">
        <v>3598</v>
      </c>
      <c r="E756" t="s">
        <v>16</v>
      </c>
      <c r="F756" t="s">
        <v>1362</v>
      </c>
      <c r="G756" s="2">
        <v>0.60416666666666663</v>
      </c>
      <c r="H756" t="s">
        <v>1200</v>
      </c>
      <c r="I756" t="s">
        <v>1201</v>
      </c>
      <c r="M756" t="s">
        <v>1640</v>
      </c>
      <c r="X756" t="s">
        <v>1100</v>
      </c>
      <c r="Y756">
        <v>3</v>
      </c>
      <c r="Z756" t="s">
        <v>1266</v>
      </c>
      <c r="AB756" t="s">
        <v>546</v>
      </c>
      <c r="AC756">
        <v>3</v>
      </c>
      <c r="AD756" t="s">
        <v>1228</v>
      </c>
      <c r="AE756" t="s">
        <v>1100</v>
      </c>
      <c r="AF756">
        <v>3</v>
      </c>
      <c r="AG756" t="s">
        <v>1203</v>
      </c>
    </row>
    <row r="757" spans="1:33" x14ac:dyDescent="0.3">
      <c r="A757" t="s">
        <v>628</v>
      </c>
      <c r="B757" t="s">
        <v>3599</v>
      </c>
      <c r="C757" t="s">
        <v>3600</v>
      </c>
      <c r="D757" t="s">
        <v>3601</v>
      </c>
      <c r="E757" t="s">
        <v>16</v>
      </c>
      <c r="F757" t="s">
        <v>1367</v>
      </c>
      <c r="G757" s="2">
        <v>0.59722222222222221</v>
      </c>
      <c r="H757" t="s">
        <v>1200</v>
      </c>
      <c r="I757" t="s">
        <v>1201</v>
      </c>
      <c r="M757" t="s">
        <v>1640</v>
      </c>
      <c r="X757" t="s">
        <v>1100</v>
      </c>
      <c r="Y757">
        <v>2</v>
      </c>
      <c r="Z757" t="s">
        <v>1245</v>
      </c>
      <c r="AB757" t="s">
        <v>752</v>
      </c>
      <c r="AC757">
        <v>4</v>
      </c>
      <c r="AD757" t="s">
        <v>2047</v>
      </c>
      <c r="AE757" t="s">
        <v>498</v>
      </c>
      <c r="AF757">
        <v>5</v>
      </c>
      <c r="AG757" t="s">
        <v>1203</v>
      </c>
    </row>
    <row r="758" spans="1:33" x14ac:dyDescent="0.3">
      <c r="A758" t="s">
        <v>628</v>
      </c>
      <c r="B758" t="s">
        <v>3602</v>
      </c>
      <c r="C758" t="s">
        <v>3603</v>
      </c>
      <c r="D758" t="s">
        <v>3604</v>
      </c>
      <c r="E758" t="s">
        <v>16</v>
      </c>
      <c r="F758" t="s">
        <v>1371</v>
      </c>
      <c r="G758" s="2">
        <v>0.59027777777777779</v>
      </c>
      <c r="H758" t="s">
        <v>1200</v>
      </c>
      <c r="I758" t="s">
        <v>1201</v>
      </c>
      <c r="M758" t="s">
        <v>1640</v>
      </c>
      <c r="X758" t="s">
        <v>1100</v>
      </c>
      <c r="Y758">
        <v>2</v>
      </c>
      <c r="Z758" t="s">
        <v>1245</v>
      </c>
      <c r="AB758" t="s">
        <v>752</v>
      </c>
      <c r="AC758">
        <v>3</v>
      </c>
      <c r="AD758" t="s">
        <v>2047</v>
      </c>
      <c r="AE758" t="s">
        <v>498</v>
      </c>
      <c r="AF758">
        <v>3</v>
      </c>
      <c r="AG758" t="s">
        <v>1203</v>
      </c>
    </row>
    <row r="759" spans="1:33" x14ac:dyDescent="0.3">
      <c r="A759" t="s">
        <v>628</v>
      </c>
      <c r="B759" t="s">
        <v>3605</v>
      </c>
      <c r="C759" t="s">
        <v>3606</v>
      </c>
      <c r="D759" t="s">
        <v>3607</v>
      </c>
      <c r="E759" t="s">
        <v>16</v>
      </c>
      <c r="F759" t="s">
        <v>1199</v>
      </c>
      <c r="G759" s="2">
        <v>0.58333333333333337</v>
      </c>
      <c r="H759" t="s">
        <v>1200</v>
      </c>
      <c r="I759" t="s">
        <v>1201</v>
      </c>
      <c r="M759" t="s">
        <v>1640</v>
      </c>
      <c r="X759" t="s">
        <v>1100</v>
      </c>
      <c r="Y759">
        <v>2</v>
      </c>
      <c r="Z759" t="s">
        <v>1245</v>
      </c>
      <c r="AB759" t="s">
        <v>752</v>
      </c>
      <c r="AC759">
        <v>2</v>
      </c>
      <c r="AD759" t="s">
        <v>2047</v>
      </c>
      <c r="AE759" t="s">
        <v>498</v>
      </c>
      <c r="AF759">
        <v>3</v>
      </c>
      <c r="AG759" t="s">
        <v>1203</v>
      </c>
    </row>
    <row r="760" spans="1:33" x14ac:dyDescent="0.3">
      <c r="A760" t="s">
        <v>628</v>
      </c>
      <c r="B760" t="s">
        <v>3608</v>
      </c>
      <c r="C760" t="s">
        <v>3609</v>
      </c>
      <c r="D760" t="s">
        <v>3610</v>
      </c>
      <c r="E760" t="s">
        <v>16</v>
      </c>
      <c r="F760" t="s">
        <v>1207</v>
      </c>
      <c r="G760" s="2">
        <v>0.57638888888888895</v>
      </c>
      <c r="H760" t="s">
        <v>1200</v>
      </c>
      <c r="I760" t="s">
        <v>1201</v>
      </c>
      <c r="M760" t="s">
        <v>1640</v>
      </c>
      <c r="X760" t="s">
        <v>1100</v>
      </c>
      <c r="Y760">
        <v>2</v>
      </c>
      <c r="Z760" t="s">
        <v>1203</v>
      </c>
      <c r="AB760" t="s">
        <v>752</v>
      </c>
      <c r="AC760">
        <v>3</v>
      </c>
      <c r="AD760" t="s">
        <v>2047</v>
      </c>
      <c r="AE760" t="s">
        <v>498</v>
      </c>
      <c r="AF760">
        <v>3</v>
      </c>
      <c r="AG760" t="s">
        <v>1203</v>
      </c>
    </row>
    <row r="761" spans="1:33" x14ac:dyDescent="0.3">
      <c r="A761" t="s">
        <v>628</v>
      </c>
      <c r="B761" t="s">
        <v>3611</v>
      </c>
      <c r="C761" t="s">
        <v>3612</v>
      </c>
      <c r="D761" t="s">
        <v>3613</v>
      </c>
      <c r="E761" t="s">
        <v>16</v>
      </c>
      <c r="F761" t="s">
        <v>1211</v>
      </c>
      <c r="G761" s="2">
        <v>0.56944444444444442</v>
      </c>
      <c r="H761" t="s">
        <v>1200</v>
      </c>
      <c r="I761" t="s">
        <v>1201</v>
      </c>
      <c r="M761" t="s">
        <v>1640</v>
      </c>
      <c r="X761" t="s">
        <v>1100</v>
      </c>
      <c r="Y761">
        <v>3</v>
      </c>
      <c r="Z761" t="s">
        <v>1203</v>
      </c>
      <c r="AB761" t="s">
        <v>498</v>
      </c>
      <c r="AC761">
        <v>3</v>
      </c>
      <c r="AD761" t="s">
        <v>1203</v>
      </c>
    </row>
    <row r="762" spans="1:33" x14ac:dyDescent="0.3">
      <c r="A762" t="s">
        <v>633</v>
      </c>
      <c r="B762" t="s">
        <v>3614</v>
      </c>
      <c r="C762" t="s">
        <v>3615</v>
      </c>
      <c r="D762" t="s">
        <v>3616</v>
      </c>
      <c r="E762" t="s">
        <v>16</v>
      </c>
      <c r="F762" s="2">
        <v>0.35416666666666669</v>
      </c>
      <c r="G762" s="2">
        <v>0.35416666666666669</v>
      </c>
      <c r="H762" t="s">
        <v>1668</v>
      </c>
    </row>
    <row r="763" spans="1:33" x14ac:dyDescent="0.3">
      <c r="A763" t="s">
        <v>633</v>
      </c>
      <c r="B763" t="s">
        <v>3617</v>
      </c>
      <c r="C763" t="s">
        <v>3618</v>
      </c>
      <c r="D763" t="s">
        <v>3619</v>
      </c>
      <c r="E763" t="s">
        <v>16</v>
      </c>
      <c r="F763" t="s">
        <v>1495</v>
      </c>
      <c r="G763" s="2">
        <v>0.34722222222222227</v>
      </c>
      <c r="H763" t="s">
        <v>1200</v>
      </c>
      <c r="I763" t="s">
        <v>1201</v>
      </c>
      <c r="K763" t="s">
        <v>1250</v>
      </c>
      <c r="X763" t="s">
        <v>1100</v>
      </c>
      <c r="Y763">
        <v>2</v>
      </c>
      <c r="Z763" t="s">
        <v>1266</v>
      </c>
      <c r="AB763" t="s">
        <v>546</v>
      </c>
      <c r="AC763">
        <v>3</v>
      </c>
      <c r="AD763" t="s">
        <v>1266</v>
      </c>
      <c r="AE763" t="s">
        <v>546</v>
      </c>
      <c r="AF763">
        <v>3</v>
      </c>
      <c r="AG763" t="s">
        <v>1266</v>
      </c>
    </row>
    <row r="764" spans="1:33" x14ac:dyDescent="0.3">
      <c r="A764" t="s">
        <v>633</v>
      </c>
      <c r="B764" t="s">
        <v>3620</v>
      </c>
      <c r="C764" t="s">
        <v>3621</v>
      </c>
      <c r="D764" t="s">
        <v>3622</v>
      </c>
      <c r="E764" t="s">
        <v>16</v>
      </c>
      <c r="F764" t="s">
        <v>1500</v>
      </c>
      <c r="G764" s="2">
        <v>0.34027777777777773</v>
      </c>
      <c r="H764" t="s">
        <v>1200</v>
      </c>
      <c r="I764" t="s">
        <v>1201</v>
      </c>
      <c r="M764" t="s">
        <v>1292</v>
      </c>
      <c r="X764" t="s">
        <v>546</v>
      </c>
      <c r="Y764">
        <v>2</v>
      </c>
      <c r="Z764" t="s">
        <v>1245</v>
      </c>
      <c r="AB764" t="s">
        <v>546</v>
      </c>
      <c r="AC764">
        <v>3</v>
      </c>
      <c r="AD764" t="s">
        <v>1245</v>
      </c>
      <c r="AE764" t="s">
        <v>1100</v>
      </c>
      <c r="AF764">
        <v>3</v>
      </c>
      <c r="AG764" t="s">
        <v>1245</v>
      </c>
    </row>
    <row r="765" spans="1:33" x14ac:dyDescent="0.3">
      <c r="A765" t="s">
        <v>633</v>
      </c>
      <c r="B765" t="s">
        <v>3623</v>
      </c>
      <c r="C765" t="s">
        <v>3624</v>
      </c>
      <c r="D765" t="s">
        <v>3625</v>
      </c>
      <c r="E765" t="s">
        <v>16</v>
      </c>
      <c r="F765" t="s">
        <v>3030</v>
      </c>
      <c r="G765" s="2">
        <v>0.33333333333333331</v>
      </c>
      <c r="H765" t="s">
        <v>1200</v>
      </c>
      <c r="I765" t="s">
        <v>1201</v>
      </c>
      <c r="M765" t="s">
        <v>1292</v>
      </c>
      <c r="X765" t="s">
        <v>546</v>
      </c>
      <c r="Y765">
        <v>4</v>
      </c>
      <c r="Z765" t="s">
        <v>1245</v>
      </c>
      <c r="AB765" t="s">
        <v>546</v>
      </c>
      <c r="AC765">
        <v>3</v>
      </c>
      <c r="AD765" t="s">
        <v>1245</v>
      </c>
      <c r="AE765" t="s">
        <v>1100</v>
      </c>
      <c r="AF765">
        <v>3</v>
      </c>
      <c r="AG765" t="s">
        <v>1203</v>
      </c>
    </row>
    <row r="766" spans="1:33" x14ac:dyDescent="0.3">
      <c r="A766" t="s">
        <v>628</v>
      </c>
      <c r="B766" t="s">
        <v>3626</v>
      </c>
      <c r="C766" t="s">
        <v>3627</v>
      </c>
      <c r="D766" t="s">
        <v>3628</v>
      </c>
      <c r="E766" t="s">
        <v>16</v>
      </c>
      <c r="F766" t="s">
        <v>1215</v>
      </c>
      <c r="G766" s="2">
        <v>0.5625</v>
      </c>
      <c r="H766" t="s">
        <v>1200</v>
      </c>
      <c r="I766" t="s">
        <v>1201</v>
      </c>
      <c r="M766" t="s">
        <v>1640</v>
      </c>
      <c r="X766" t="s">
        <v>1100</v>
      </c>
      <c r="Y766">
        <v>2</v>
      </c>
      <c r="Z766" t="s">
        <v>1245</v>
      </c>
      <c r="AB766" t="s">
        <v>498</v>
      </c>
      <c r="AC766">
        <v>2</v>
      </c>
      <c r="AD766" t="s">
        <v>2047</v>
      </c>
    </row>
    <row r="767" spans="1:33" x14ac:dyDescent="0.3">
      <c r="A767" t="s">
        <v>628</v>
      </c>
      <c r="B767" t="s">
        <v>3629</v>
      </c>
      <c r="C767" t="s">
        <v>3630</v>
      </c>
      <c r="D767" t="s">
        <v>3631</v>
      </c>
      <c r="E767" t="s">
        <v>16</v>
      </c>
      <c r="F767" t="s">
        <v>1221</v>
      </c>
      <c r="G767" s="2">
        <v>0.55555555555555558</v>
      </c>
      <c r="H767" t="s">
        <v>1200</v>
      </c>
      <c r="I767" t="s">
        <v>1201</v>
      </c>
      <c r="M767" t="s">
        <v>1640</v>
      </c>
      <c r="X767" t="s">
        <v>1100</v>
      </c>
      <c r="Y767">
        <v>1</v>
      </c>
      <c r="Z767" t="s">
        <v>2047</v>
      </c>
      <c r="AB767" t="s">
        <v>498</v>
      </c>
      <c r="AC767">
        <v>4</v>
      </c>
      <c r="AD767" t="s">
        <v>2047</v>
      </c>
    </row>
    <row r="768" spans="1:33" x14ac:dyDescent="0.3">
      <c r="A768" t="s">
        <v>628</v>
      </c>
      <c r="B768" t="s">
        <v>3632</v>
      </c>
      <c r="C768" t="s">
        <v>3633</v>
      </c>
      <c r="D768" t="s">
        <v>3634</v>
      </c>
      <c r="E768" t="s">
        <v>16</v>
      </c>
      <c r="F768" t="s">
        <v>1232</v>
      </c>
      <c r="G768" s="2">
        <v>0.54861111111111105</v>
      </c>
      <c r="H768" t="s">
        <v>1200</v>
      </c>
      <c r="I768" t="s">
        <v>1201</v>
      </c>
      <c r="M768" t="s">
        <v>1640</v>
      </c>
      <c r="X768" t="s">
        <v>1100</v>
      </c>
      <c r="Y768">
        <v>2</v>
      </c>
      <c r="Z768" t="s">
        <v>2047</v>
      </c>
      <c r="AB768" t="s">
        <v>498</v>
      </c>
      <c r="AC768">
        <v>3</v>
      </c>
      <c r="AD768" t="s">
        <v>1203</v>
      </c>
    </row>
    <row r="769" spans="1:33" x14ac:dyDescent="0.3">
      <c r="A769" t="s">
        <v>628</v>
      </c>
      <c r="B769" t="s">
        <v>3635</v>
      </c>
      <c r="C769" t="s">
        <v>3636</v>
      </c>
      <c r="D769" t="s">
        <v>3637</v>
      </c>
      <c r="E769" t="s">
        <v>16</v>
      </c>
      <c r="F769" t="s">
        <v>1236</v>
      </c>
      <c r="G769" s="2">
        <v>0.54166666666666663</v>
      </c>
      <c r="H769" t="s">
        <v>1200</v>
      </c>
      <c r="I769" t="s">
        <v>1201</v>
      </c>
      <c r="K769" t="s">
        <v>1250</v>
      </c>
      <c r="X769" t="s">
        <v>1100</v>
      </c>
      <c r="Y769">
        <v>2</v>
      </c>
      <c r="Z769" t="s">
        <v>1266</v>
      </c>
      <c r="AB769" t="s">
        <v>498</v>
      </c>
      <c r="AC769">
        <v>3</v>
      </c>
      <c r="AD769" t="s">
        <v>1266</v>
      </c>
      <c r="AE769" t="s">
        <v>752</v>
      </c>
      <c r="AF769">
        <v>4</v>
      </c>
      <c r="AG769" t="s">
        <v>1266</v>
      </c>
    </row>
    <row r="770" spans="1:33" x14ac:dyDescent="0.3">
      <c r="A770" t="s">
        <v>628</v>
      </c>
      <c r="B770" t="s">
        <v>3638</v>
      </c>
      <c r="C770" t="s">
        <v>3639</v>
      </c>
      <c r="D770" t="s">
        <v>3640</v>
      </c>
      <c r="E770" t="s">
        <v>16</v>
      </c>
      <c r="F770" t="s">
        <v>1240</v>
      </c>
      <c r="G770" s="2">
        <v>0.53472222222222221</v>
      </c>
      <c r="H770" t="s">
        <v>1200</v>
      </c>
      <c r="I770" t="s">
        <v>1201</v>
      </c>
      <c r="M770" t="s">
        <v>1292</v>
      </c>
      <c r="X770" t="s">
        <v>1100</v>
      </c>
      <c r="Y770">
        <v>2</v>
      </c>
      <c r="Z770" t="s">
        <v>1245</v>
      </c>
      <c r="AB770" t="s">
        <v>498</v>
      </c>
      <c r="AC770">
        <v>3</v>
      </c>
      <c r="AD770" t="s">
        <v>1245</v>
      </c>
    </row>
    <row r="771" spans="1:33" x14ac:dyDescent="0.3">
      <c r="A771" t="s">
        <v>628</v>
      </c>
      <c r="B771" t="s">
        <v>3641</v>
      </c>
      <c r="C771" t="s">
        <v>3642</v>
      </c>
      <c r="D771" t="s">
        <v>3643</v>
      </c>
      <c r="E771" t="s">
        <v>16</v>
      </c>
      <c r="F771" t="s">
        <v>3644</v>
      </c>
      <c r="G771" s="2">
        <v>0.52777777777777779</v>
      </c>
      <c r="H771" t="s">
        <v>1200</v>
      </c>
      <c r="I771" t="s">
        <v>3191</v>
      </c>
      <c r="L771" t="s">
        <v>1222</v>
      </c>
      <c r="X771" t="s">
        <v>1100</v>
      </c>
      <c r="Y771">
        <v>1</v>
      </c>
      <c r="Z771" t="s">
        <v>1228</v>
      </c>
      <c r="AB771" t="s">
        <v>498</v>
      </c>
      <c r="AC771">
        <v>5</v>
      </c>
      <c r="AD771" t="s">
        <v>1245</v>
      </c>
    </row>
    <row r="772" spans="1:33" x14ac:dyDescent="0.3">
      <c r="A772" t="s">
        <v>628</v>
      </c>
      <c r="B772" t="s">
        <v>3645</v>
      </c>
      <c r="C772" t="s">
        <v>3646</v>
      </c>
      <c r="D772" t="s">
        <v>3647</v>
      </c>
      <c r="E772" t="s">
        <v>16</v>
      </c>
      <c r="F772" t="s">
        <v>1249</v>
      </c>
      <c r="G772" s="2">
        <v>0.52083333333333337</v>
      </c>
      <c r="H772" t="s">
        <v>1200</v>
      </c>
      <c r="I772" t="s">
        <v>1201</v>
      </c>
      <c r="K772" t="s">
        <v>1250</v>
      </c>
      <c r="X772" t="s">
        <v>1100</v>
      </c>
      <c r="Y772">
        <v>2</v>
      </c>
      <c r="Z772" t="s">
        <v>1266</v>
      </c>
      <c r="AB772" t="s">
        <v>498</v>
      </c>
      <c r="AC772">
        <v>3</v>
      </c>
      <c r="AD772" t="s">
        <v>2390</v>
      </c>
    </row>
    <row r="773" spans="1:33" x14ac:dyDescent="0.3">
      <c r="A773" t="s">
        <v>628</v>
      </c>
      <c r="B773" t="s">
        <v>3648</v>
      </c>
      <c r="C773" t="s">
        <v>3649</v>
      </c>
      <c r="D773" t="s">
        <v>3650</v>
      </c>
      <c r="E773" t="s">
        <v>16</v>
      </c>
      <c r="F773" t="s">
        <v>3651</v>
      </c>
      <c r="G773" s="2">
        <v>0.51388888888888895</v>
      </c>
      <c r="H773" t="s">
        <v>1200</v>
      </c>
      <c r="I773" t="s">
        <v>3191</v>
      </c>
      <c r="K773" t="s">
        <v>1250</v>
      </c>
      <c r="X773" t="s">
        <v>1100</v>
      </c>
      <c r="Y773">
        <v>2</v>
      </c>
      <c r="Z773" t="s">
        <v>1245</v>
      </c>
      <c r="AB773" t="s">
        <v>498</v>
      </c>
      <c r="AC773">
        <v>4</v>
      </c>
      <c r="AD773" t="s">
        <v>1266</v>
      </c>
    </row>
    <row r="774" spans="1:33" x14ac:dyDescent="0.3">
      <c r="A774" t="s">
        <v>628</v>
      </c>
      <c r="B774" t="s">
        <v>3652</v>
      </c>
      <c r="C774" t="s">
        <v>3653</v>
      </c>
      <c r="D774" t="s">
        <v>3654</v>
      </c>
      <c r="E774" t="s">
        <v>16</v>
      </c>
      <c r="F774" t="s">
        <v>3655</v>
      </c>
      <c r="G774" s="2">
        <v>0.50694444444444442</v>
      </c>
      <c r="H774" t="s">
        <v>1200</v>
      </c>
      <c r="I774" t="s">
        <v>3191</v>
      </c>
      <c r="K774" t="s">
        <v>1250</v>
      </c>
      <c r="X774" t="s">
        <v>1100</v>
      </c>
      <c r="Y774">
        <v>1</v>
      </c>
      <c r="Z774" t="s">
        <v>1228</v>
      </c>
      <c r="AB774" t="s">
        <v>498</v>
      </c>
      <c r="AC774">
        <v>3</v>
      </c>
      <c r="AD774" t="s">
        <v>1228</v>
      </c>
    </row>
    <row r="775" spans="1:33" x14ac:dyDescent="0.3">
      <c r="A775" t="s">
        <v>628</v>
      </c>
      <c r="B775" t="s">
        <v>3656</v>
      </c>
      <c r="C775" t="s">
        <v>3657</v>
      </c>
      <c r="D775" t="s">
        <v>3658</v>
      </c>
      <c r="E775" t="s">
        <v>16</v>
      </c>
      <c r="F775" t="s">
        <v>3659</v>
      </c>
      <c r="G775" s="2">
        <v>0.5</v>
      </c>
      <c r="H775" t="s">
        <v>1200</v>
      </c>
      <c r="I775" t="s">
        <v>3191</v>
      </c>
      <c r="K775" t="s">
        <v>1250</v>
      </c>
      <c r="X775" t="s">
        <v>1100</v>
      </c>
      <c r="Y775">
        <v>1</v>
      </c>
      <c r="Z775" t="s">
        <v>1266</v>
      </c>
      <c r="AB775" t="s">
        <v>498</v>
      </c>
      <c r="AC775">
        <v>3</v>
      </c>
      <c r="AD775" t="s">
        <v>1266</v>
      </c>
    </row>
    <row r="776" spans="1:33" x14ac:dyDescent="0.3">
      <c r="A776" t="s">
        <v>628</v>
      </c>
      <c r="B776" t="s">
        <v>3660</v>
      </c>
      <c r="C776" t="s">
        <v>3661</v>
      </c>
      <c r="D776" t="s">
        <v>3662</v>
      </c>
      <c r="E776" t="s">
        <v>16</v>
      </c>
      <c r="F776" t="s">
        <v>1265</v>
      </c>
      <c r="G776" s="2">
        <v>0.49305555555555558</v>
      </c>
      <c r="H776" t="s">
        <v>1200</v>
      </c>
      <c r="I776" t="s">
        <v>1201</v>
      </c>
      <c r="M776" t="s">
        <v>1292</v>
      </c>
      <c r="X776" t="s">
        <v>1100</v>
      </c>
      <c r="Y776">
        <v>3</v>
      </c>
      <c r="Z776" t="s">
        <v>1245</v>
      </c>
      <c r="AB776" t="s">
        <v>1100</v>
      </c>
      <c r="AC776">
        <v>3</v>
      </c>
      <c r="AD776" t="s">
        <v>1245</v>
      </c>
    </row>
    <row r="777" spans="1:33" x14ac:dyDescent="0.3">
      <c r="A777" t="s">
        <v>628</v>
      </c>
      <c r="B777" t="s">
        <v>3663</v>
      </c>
      <c r="C777" t="s">
        <v>3664</v>
      </c>
      <c r="D777" t="s">
        <v>3665</v>
      </c>
      <c r="E777" t="s">
        <v>16</v>
      </c>
      <c r="F777" t="s">
        <v>1270</v>
      </c>
      <c r="G777" s="2">
        <v>0.4861111111111111</v>
      </c>
      <c r="H777" t="s">
        <v>1200</v>
      </c>
      <c r="I777" t="s">
        <v>1201</v>
      </c>
      <c r="K777" t="s">
        <v>1250</v>
      </c>
      <c r="X777" t="s">
        <v>1100</v>
      </c>
      <c r="Y777">
        <v>2</v>
      </c>
      <c r="Z777" t="s">
        <v>1266</v>
      </c>
      <c r="AB777" t="s">
        <v>752</v>
      </c>
      <c r="AC777">
        <v>3</v>
      </c>
      <c r="AD777" t="s">
        <v>1266</v>
      </c>
    </row>
    <row r="778" spans="1:33" x14ac:dyDescent="0.3">
      <c r="A778" t="s">
        <v>628</v>
      </c>
      <c r="B778" t="s">
        <v>3666</v>
      </c>
      <c r="C778" t="s">
        <v>3667</v>
      </c>
      <c r="D778" t="s">
        <v>3668</v>
      </c>
      <c r="E778" t="s">
        <v>16</v>
      </c>
      <c r="F778" t="s">
        <v>1274</v>
      </c>
      <c r="G778" s="2">
        <v>0.47916666666666669</v>
      </c>
      <c r="H778" t="s">
        <v>1200</v>
      </c>
      <c r="I778" t="s">
        <v>1201</v>
      </c>
      <c r="L778" t="s">
        <v>1222</v>
      </c>
      <c r="R778" t="s">
        <v>3669</v>
      </c>
      <c r="X778" t="s">
        <v>1100</v>
      </c>
      <c r="Y778">
        <v>5</v>
      </c>
      <c r="Z778" t="s">
        <v>3670</v>
      </c>
    </row>
    <row r="779" spans="1:33" x14ac:dyDescent="0.3">
      <c r="A779" t="s">
        <v>628</v>
      </c>
      <c r="B779" t="s">
        <v>3671</v>
      </c>
      <c r="C779" t="s">
        <v>3672</v>
      </c>
      <c r="D779" t="s">
        <v>3673</v>
      </c>
      <c r="E779" t="s">
        <v>16</v>
      </c>
      <c r="F779" t="s">
        <v>1278</v>
      </c>
      <c r="G779" s="2">
        <v>0.47222222222222227</v>
      </c>
      <c r="H779" t="s">
        <v>1200</v>
      </c>
      <c r="I779" t="s">
        <v>1201</v>
      </c>
      <c r="K779" t="s">
        <v>1250</v>
      </c>
      <c r="X779" t="s">
        <v>498</v>
      </c>
      <c r="Y779">
        <v>2</v>
      </c>
      <c r="Z779" t="s">
        <v>1266</v>
      </c>
      <c r="AB779" t="s">
        <v>1100</v>
      </c>
      <c r="AC779">
        <v>5</v>
      </c>
      <c r="AD779" t="s">
        <v>3670</v>
      </c>
    </row>
    <row r="780" spans="1:33" x14ac:dyDescent="0.3">
      <c r="A780" t="s">
        <v>628</v>
      </c>
      <c r="B780" t="s">
        <v>3674</v>
      </c>
      <c r="C780" t="s">
        <v>3675</v>
      </c>
      <c r="D780" t="s">
        <v>3676</v>
      </c>
      <c r="E780" t="s">
        <v>16</v>
      </c>
      <c r="F780" t="s">
        <v>3677</v>
      </c>
      <c r="G780" s="2">
        <v>0.46527777777777773</v>
      </c>
      <c r="H780" t="s">
        <v>1200</v>
      </c>
      <c r="I780" t="s">
        <v>3191</v>
      </c>
      <c r="L780" t="s">
        <v>1222</v>
      </c>
      <c r="X780" t="s">
        <v>498</v>
      </c>
      <c r="Y780">
        <v>2</v>
      </c>
      <c r="Z780" t="s">
        <v>1228</v>
      </c>
      <c r="AB780" t="s">
        <v>752</v>
      </c>
      <c r="AC780">
        <v>3</v>
      </c>
      <c r="AD780" t="s">
        <v>1266</v>
      </c>
    </row>
    <row r="781" spans="1:33" x14ac:dyDescent="0.3">
      <c r="A781" t="s">
        <v>628</v>
      </c>
      <c r="B781" s="3" t="s">
        <v>3678</v>
      </c>
      <c r="C781" t="s">
        <v>3679</v>
      </c>
      <c r="D781" t="s">
        <v>3680</v>
      </c>
      <c r="E781" t="s">
        <v>16</v>
      </c>
      <c r="F781" t="s">
        <v>3681</v>
      </c>
      <c r="G781" s="2">
        <v>0.45833333333333331</v>
      </c>
      <c r="H781" t="s">
        <v>1200</v>
      </c>
      <c r="I781" t="s">
        <v>3682</v>
      </c>
      <c r="M781" t="s">
        <v>1292</v>
      </c>
      <c r="X781" t="s">
        <v>498</v>
      </c>
      <c r="Y781">
        <v>1</v>
      </c>
      <c r="Z781" t="s">
        <v>1245</v>
      </c>
      <c r="AB781" t="s">
        <v>752</v>
      </c>
      <c r="AC781">
        <v>2</v>
      </c>
      <c r="AD781" t="s">
        <v>1245</v>
      </c>
    </row>
    <row r="782" spans="1:33" x14ac:dyDescent="0.3">
      <c r="A782" t="s">
        <v>628</v>
      </c>
      <c r="B782" t="s">
        <v>3683</v>
      </c>
      <c r="C782" t="s">
        <v>3684</v>
      </c>
      <c r="D782" t="s">
        <v>3685</v>
      </c>
      <c r="E782" t="s">
        <v>16</v>
      </c>
      <c r="F782" t="s">
        <v>1287</v>
      </c>
      <c r="G782" s="2">
        <v>0.45833333333333331</v>
      </c>
      <c r="H782" t="s">
        <v>1200</v>
      </c>
      <c r="I782" t="s">
        <v>1201</v>
      </c>
      <c r="M782" t="s">
        <v>1292</v>
      </c>
      <c r="X782" t="s">
        <v>498</v>
      </c>
      <c r="Y782">
        <v>1</v>
      </c>
      <c r="Z782" t="s">
        <v>1245</v>
      </c>
      <c r="AB782" t="s">
        <v>752</v>
      </c>
      <c r="AC782">
        <v>3</v>
      </c>
      <c r="AD782" t="s">
        <v>1245</v>
      </c>
    </row>
    <row r="783" spans="1:33" x14ac:dyDescent="0.3">
      <c r="A783" t="s">
        <v>628</v>
      </c>
      <c r="B783" t="s">
        <v>3686</v>
      </c>
      <c r="C783" t="s">
        <v>3687</v>
      </c>
      <c r="D783" t="s">
        <v>3688</v>
      </c>
      <c r="E783" t="s">
        <v>16</v>
      </c>
      <c r="F783" t="s">
        <v>3689</v>
      </c>
      <c r="G783" s="2">
        <v>0.4513888888888889</v>
      </c>
      <c r="H783" t="s">
        <v>1200</v>
      </c>
      <c r="I783" t="s">
        <v>3682</v>
      </c>
      <c r="M783" t="s">
        <v>1292</v>
      </c>
    </row>
    <row r="784" spans="1:33" x14ac:dyDescent="0.3">
      <c r="A784" t="s">
        <v>628</v>
      </c>
      <c r="B784" t="s">
        <v>3690</v>
      </c>
      <c r="C784" t="s">
        <v>3691</v>
      </c>
      <c r="D784" t="s">
        <v>3692</v>
      </c>
      <c r="E784" t="s">
        <v>16</v>
      </c>
      <c r="F784" t="s">
        <v>1296</v>
      </c>
      <c r="G784" s="2">
        <v>0.44444444444444442</v>
      </c>
      <c r="H784" t="s">
        <v>1200</v>
      </c>
      <c r="I784" t="s">
        <v>1201</v>
      </c>
      <c r="K784" t="s">
        <v>1250</v>
      </c>
      <c r="X784" t="s">
        <v>1100</v>
      </c>
      <c r="Y784">
        <v>1</v>
      </c>
      <c r="Z784" t="s">
        <v>1266</v>
      </c>
      <c r="AB784" t="s">
        <v>546</v>
      </c>
      <c r="AC784">
        <v>2</v>
      </c>
      <c r="AD784" t="s">
        <v>1266</v>
      </c>
      <c r="AE784" t="s">
        <v>1100</v>
      </c>
      <c r="AF784">
        <v>3</v>
      </c>
      <c r="AG784" t="s">
        <v>1266</v>
      </c>
    </row>
    <row r="785" spans="1:33" x14ac:dyDescent="0.3">
      <c r="A785" t="s">
        <v>628</v>
      </c>
      <c r="B785" t="s">
        <v>3693</v>
      </c>
      <c r="C785" t="s">
        <v>3694</v>
      </c>
      <c r="D785" t="s">
        <v>3695</v>
      </c>
      <c r="E785" t="s">
        <v>16</v>
      </c>
      <c r="F785" t="s">
        <v>1300</v>
      </c>
      <c r="G785" s="2">
        <v>0.4375</v>
      </c>
      <c r="H785" t="s">
        <v>1200</v>
      </c>
      <c r="I785" t="s">
        <v>1201</v>
      </c>
      <c r="K785" t="s">
        <v>1250</v>
      </c>
      <c r="X785" t="s">
        <v>1100</v>
      </c>
      <c r="Y785">
        <v>2</v>
      </c>
      <c r="Z785" t="s">
        <v>1266</v>
      </c>
      <c r="AB785" t="s">
        <v>498</v>
      </c>
      <c r="AC785">
        <v>3</v>
      </c>
      <c r="AD785" t="s">
        <v>1228</v>
      </c>
      <c r="AE785" t="s">
        <v>546</v>
      </c>
      <c r="AF785">
        <v>4</v>
      </c>
      <c r="AG785" t="s">
        <v>1245</v>
      </c>
    </row>
    <row r="786" spans="1:33" x14ac:dyDescent="0.3">
      <c r="A786" t="s">
        <v>628</v>
      </c>
      <c r="B786" t="s">
        <v>3696</v>
      </c>
      <c r="C786" t="s">
        <v>3697</v>
      </c>
      <c r="D786" t="s">
        <v>3698</v>
      </c>
      <c r="E786" t="s">
        <v>16</v>
      </c>
      <c r="F786" t="s">
        <v>1443</v>
      </c>
      <c r="G786" s="2">
        <v>0.43055555555555558</v>
      </c>
      <c r="H786" t="s">
        <v>1200</v>
      </c>
      <c r="I786" t="s">
        <v>1201</v>
      </c>
      <c r="K786" t="s">
        <v>1250</v>
      </c>
      <c r="X786" t="s">
        <v>1100</v>
      </c>
      <c r="Y786">
        <v>2</v>
      </c>
      <c r="Z786" t="s">
        <v>1266</v>
      </c>
      <c r="AB786" t="s">
        <v>498</v>
      </c>
      <c r="AC786">
        <v>2</v>
      </c>
      <c r="AD786" t="s">
        <v>1266</v>
      </c>
      <c r="AE786" t="s">
        <v>546</v>
      </c>
      <c r="AF786">
        <v>4</v>
      </c>
      <c r="AG786" t="s">
        <v>1266</v>
      </c>
    </row>
    <row r="787" spans="1:33" x14ac:dyDescent="0.3">
      <c r="A787" t="s">
        <v>628</v>
      </c>
      <c r="B787" t="s">
        <v>3699</v>
      </c>
      <c r="C787" t="s">
        <v>3700</v>
      </c>
      <c r="D787" t="s">
        <v>3701</v>
      </c>
      <c r="E787" t="s">
        <v>16</v>
      </c>
      <c r="F787" t="s">
        <v>1447</v>
      </c>
      <c r="G787" s="2">
        <v>0.4236111111111111</v>
      </c>
      <c r="H787" t="s">
        <v>1200</v>
      </c>
      <c r="I787" t="s">
        <v>1201</v>
      </c>
      <c r="K787" t="s">
        <v>1250</v>
      </c>
      <c r="X787" t="s">
        <v>1100</v>
      </c>
      <c r="Y787">
        <v>2</v>
      </c>
      <c r="Z787" t="s">
        <v>1266</v>
      </c>
      <c r="AB787" t="s">
        <v>498</v>
      </c>
      <c r="AC787">
        <v>3</v>
      </c>
      <c r="AD787" t="s">
        <v>1266</v>
      </c>
      <c r="AE787" t="s">
        <v>546</v>
      </c>
      <c r="AF787">
        <v>4</v>
      </c>
      <c r="AG787" t="s">
        <v>1266</v>
      </c>
    </row>
    <row r="788" spans="1:33" x14ac:dyDescent="0.3">
      <c r="A788" t="s">
        <v>628</v>
      </c>
      <c r="B788" t="s">
        <v>3702</v>
      </c>
      <c r="C788" t="s">
        <v>3703</v>
      </c>
      <c r="D788" t="s">
        <v>3704</v>
      </c>
      <c r="E788" t="s">
        <v>16</v>
      </c>
      <c r="F788" t="s">
        <v>1451</v>
      </c>
      <c r="G788" s="2">
        <v>0.41666666666666669</v>
      </c>
      <c r="H788" t="s">
        <v>1200</v>
      </c>
      <c r="I788" t="s">
        <v>1201</v>
      </c>
      <c r="M788" t="s">
        <v>1309</v>
      </c>
      <c r="X788" t="s">
        <v>1100</v>
      </c>
      <c r="Y788">
        <v>2</v>
      </c>
      <c r="Z788" t="s">
        <v>1245</v>
      </c>
      <c r="AB788" t="s">
        <v>498</v>
      </c>
      <c r="AC788">
        <v>4</v>
      </c>
      <c r="AD788" t="s">
        <v>1217</v>
      </c>
    </row>
    <row r="789" spans="1:33" x14ac:dyDescent="0.3">
      <c r="A789" t="s">
        <v>628</v>
      </c>
      <c r="B789" t="s">
        <v>3705</v>
      </c>
      <c r="C789" t="s">
        <v>3706</v>
      </c>
      <c r="D789" t="s">
        <v>3707</v>
      </c>
      <c r="E789" t="s">
        <v>16</v>
      </c>
      <c r="F789" t="s">
        <v>1455</v>
      </c>
      <c r="G789" s="2">
        <v>0.40972222222222227</v>
      </c>
      <c r="H789" t="s">
        <v>1200</v>
      </c>
      <c r="I789" t="s">
        <v>1201</v>
      </c>
      <c r="K789" t="s">
        <v>1250</v>
      </c>
      <c r="X789" t="s">
        <v>1100</v>
      </c>
      <c r="Y789">
        <v>2</v>
      </c>
      <c r="Z789" t="s">
        <v>1228</v>
      </c>
      <c r="AB789" t="s">
        <v>498</v>
      </c>
      <c r="AC789">
        <v>4</v>
      </c>
      <c r="AD789" t="s">
        <v>1228</v>
      </c>
    </row>
    <row r="790" spans="1:33" x14ac:dyDescent="0.3">
      <c r="A790" t="s">
        <v>628</v>
      </c>
      <c r="B790" t="s">
        <v>3708</v>
      </c>
      <c r="C790" t="s">
        <v>3709</v>
      </c>
      <c r="D790" t="s">
        <v>3710</v>
      </c>
      <c r="E790" t="s">
        <v>16</v>
      </c>
      <c r="F790" t="s">
        <v>1459</v>
      </c>
      <c r="G790" s="2">
        <v>0.40277777777777773</v>
      </c>
      <c r="H790" t="s">
        <v>1200</v>
      </c>
      <c r="I790" t="s">
        <v>1201</v>
      </c>
      <c r="M790" t="s">
        <v>1292</v>
      </c>
      <c r="X790" t="s">
        <v>1100</v>
      </c>
      <c r="Y790">
        <v>2</v>
      </c>
      <c r="Z790" t="s">
        <v>1245</v>
      </c>
      <c r="AB790" t="s">
        <v>498</v>
      </c>
      <c r="AC790">
        <v>4</v>
      </c>
      <c r="AD790" t="s">
        <v>1228</v>
      </c>
    </row>
    <row r="791" spans="1:33" x14ac:dyDescent="0.3">
      <c r="A791" t="s">
        <v>628</v>
      </c>
      <c r="B791" t="s">
        <v>3711</v>
      </c>
      <c r="C791" t="s">
        <v>3712</v>
      </c>
      <c r="D791" t="s">
        <v>3713</v>
      </c>
      <c r="E791" t="s">
        <v>16</v>
      </c>
      <c r="F791" t="s">
        <v>1463</v>
      </c>
      <c r="G791" s="2">
        <v>0.39583333333333331</v>
      </c>
      <c r="H791" t="s">
        <v>1200</v>
      </c>
      <c r="I791" t="s">
        <v>1201</v>
      </c>
      <c r="K791" t="s">
        <v>1250</v>
      </c>
      <c r="X791" t="s">
        <v>1100</v>
      </c>
      <c r="Y791">
        <v>2</v>
      </c>
      <c r="Z791" t="s">
        <v>1245</v>
      </c>
      <c r="AB791" t="s">
        <v>498</v>
      </c>
      <c r="AC791">
        <v>4</v>
      </c>
      <c r="AD791" t="s">
        <v>1228</v>
      </c>
    </row>
    <row r="792" spans="1:33" x14ac:dyDescent="0.3">
      <c r="A792" t="s">
        <v>628</v>
      </c>
      <c r="B792" t="s">
        <v>3714</v>
      </c>
      <c r="C792" t="s">
        <v>3715</v>
      </c>
      <c r="D792" t="s">
        <v>3716</v>
      </c>
      <c r="E792" t="s">
        <v>16</v>
      </c>
      <c r="F792" t="s">
        <v>1469</v>
      </c>
      <c r="G792" s="2">
        <v>0.3888888888888889</v>
      </c>
      <c r="H792" t="s">
        <v>1200</v>
      </c>
      <c r="I792" t="s">
        <v>1201</v>
      </c>
      <c r="L792" t="s">
        <v>1202</v>
      </c>
      <c r="R792" t="s">
        <v>3669</v>
      </c>
      <c r="X792" t="s">
        <v>1100</v>
      </c>
      <c r="Y792">
        <v>4</v>
      </c>
      <c r="Z792" t="s">
        <v>3670</v>
      </c>
      <c r="AB792" t="s">
        <v>498</v>
      </c>
      <c r="AC792">
        <v>6</v>
      </c>
      <c r="AD792" t="s">
        <v>1203</v>
      </c>
    </row>
    <row r="793" spans="1:33" x14ac:dyDescent="0.3">
      <c r="A793" t="s">
        <v>628</v>
      </c>
      <c r="B793" t="s">
        <v>3717</v>
      </c>
      <c r="C793" t="s">
        <v>3718</v>
      </c>
      <c r="D793" t="s">
        <v>3719</v>
      </c>
      <c r="E793" t="s">
        <v>16</v>
      </c>
      <c r="F793" t="s">
        <v>1473</v>
      </c>
      <c r="G793" s="2">
        <v>0.38194444444444442</v>
      </c>
      <c r="H793" t="s">
        <v>1200</v>
      </c>
      <c r="I793" t="s">
        <v>1201</v>
      </c>
      <c r="L793" t="s">
        <v>1202</v>
      </c>
      <c r="X793" t="s">
        <v>1100</v>
      </c>
      <c r="Y793">
        <v>4</v>
      </c>
      <c r="Z793" t="s">
        <v>3670</v>
      </c>
      <c r="AB793" t="s">
        <v>498</v>
      </c>
      <c r="AC793">
        <v>6</v>
      </c>
      <c r="AD793" t="s">
        <v>1203</v>
      </c>
    </row>
    <row r="794" spans="1:33" x14ac:dyDescent="0.3">
      <c r="A794" t="s">
        <v>628</v>
      </c>
      <c r="B794" t="s">
        <v>3720</v>
      </c>
      <c r="C794" t="s">
        <v>3721</v>
      </c>
      <c r="D794" t="s">
        <v>3722</v>
      </c>
      <c r="E794" t="s">
        <v>16</v>
      </c>
      <c r="F794" t="s">
        <v>1477</v>
      </c>
      <c r="G794" s="2">
        <v>0.375</v>
      </c>
      <c r="H794" t="s">
        <v>1200</v>
      </c>
      <c r="I794" t="s">
        <v>1201</v>
      </c>
      <c r="K794" t="s">
        <v>1250</v>
      </c>
      <c r="X794" t="s">
        <v>1100</v>
      </c>
      <c r="Y794">
        <v>2</v>
      </c>
      <c r="Z794" t="s">
        <v>1266</v>
      </c>
      <c r="AB794" t="s">
        <v>498</v>
      </c>
      <c r="AC794">
        <v>3</v>
      </c>
      <c r="AD794" t="s">
        <v>1717</v>
      </c>
    </row>
    <row r="795" spans="1:33" x14ac:dyDescent="0.3">
      <c r="A795" t="s">
        <v>628</v>
      </c>
      <c r="B795" t="s">
        <v>3723</v>
      </c>
      <c r="C795" t="s">
        <v>3724</v>
      </c>
      <c r="D795" t="s">
        <v>3725</v>
      </c>
      <c r="E795" t="s">
        <v>16</v>
      </c>
      <c r="F795" t="s">
        <v>1482</v>
      </c>
      <c r="G795" s="2">
        <v>0.36805555555555558</v>
      </c>
      <c r="H795" t="s">
        <v>1200</v>
      </c>
      <c r="I795" t="s">
        <v>1201</v>
      </c>
      <c r="K795" t="s">
        <v>1250</v>
      </c>
      <c r="X795" t="s">
        <v>1100</v>
      </c>
      <c r="Y795">
        <v>1</v>
      </c>
      <c r="Z795" t="s">
        <v>1266</v>
      </c>
      <c r="AB795" t="s">
        <v>498</v>
      </c>
      <c r="AC795">
        <v>2</v>
      </c>
      <c r="AD795" t="s">
        <v>1717</v>
      </c>
    </row>
    <row r="796" spans="1:33" x14ac:dyDescent="0.3">
      <c r="A796" t="s">
        <v>628</v>
      </c>
      <c r="B796" t="s">
        <v>3726</v>
      </c>
      <c r="C796" t="s">
        <v>3727</v>
      </c>
      <c r="D796" t="s">
        <v>3728</v>
      </c>
      <c r="E796" t="s">
        <v>16</v>
      </c>
      <c r="F796" t="s">
        <v>1486</v>
      </c>
      <c r="G796" s="2">
        <v>0.3611111111111111</v>
      </c>
      <c r="H796" t="s">
        <v>1200</v>
      </c>
      <c r="I796" t="s">
        <v>1201</v>
      </c>
      <c r="L796" t="s">
        <v>1222</v>
      </c>
      <c r="X796" t="s">
        <v>1100</v>
      </c>
      <c r="Y796">
        <v>1</v>
      </c>
      <c r="Z796" t="s">
        <v>1228</v>
      </c>
      <c r="AB796" t="s">
        <v>498</v>
      </c>
      <c r="AC796">
        <v>2</v>
      </c>
      <c r="AD796" t="s">
        <v>1228</v>
      </c>
    </row>
    <row r="797" spans="1:33" x14ac:dyDescent="0.3">
      <c r="A797" t="s">
        <v>628</v>
      </c>
      <c r="B797" t="s">
        <v>3729</v>
      </c>
      <c r="C797" t="s">
        <v>3730</v>
      </c>
      <c r="D797" t="s">
        <v>3731</v>
      </c>
      <c r="E797" t="s">
        <v>16</v>
      </c>
      <c r="F797" t="s">
        <v>1490</v>
      </c>
      <c r="G797" s="2">
        <v>0.35416666666666669</v>
      </c>
      <c r="H797" t="s">
        <v>1200</v>
      </c>
      <c r="I797" t="s">
        <v>1201</v>
      </c>
      <c r="R797" t="s">
        <v>1681</v>
      </c>
      <c r="X797" t="s">
        <v>1100</v>
      </c>
      <c r="Y797">
        <v>1</v>
      </c>
      <c r="Z797" t="s">
        <v>1228</v>
      </c>
      <c r="AB797" t="s">
        <v>498</v>
      </c>
      <c r="AC797">
        <v>2</v>
      </c>
      <c r="AD797" t="s">
        <v>1595</v>
      </c>
    </row>
    <row r="798" spans="1:33" x14ac:dyDescent="0.3">
      <c r="A798" t="s">
        <v>628</v>
      </c>
      <c r="B798" t="s">
        <v>3732</v>
      </c>
      <c r="C798" t="s">
        <v>3733</v>
      </c>
      <c r="D798" t="s">
        <v>3734</v>
      </c>
      <c r="E798" t="s">
        <v>16</v>
      </c>
      <c r="F798" t="s">
        <v>1495</v>
      </c>
      <c r="G798" s="2">
        <v>0.34722222222222227</v>
      </c>
      <c r="H798" t="s">
        <v>1200</v>
      </c>
      <c r="I798" t="s">
        <v>1201</v>
      </c>
      <c r="K798" t="s">
        <v>1250</v>
      </c>
      <c r="X798" t="s">
        <v>1100</v>
      </c>
      <c r="Y798">
        <v>1</v>
      </c>
      <c r="Z798" t="s">
        <v>1266</v>
      </c>
      <c r="AB798" t="s">
        <v>498</v>
      </c>
      <c r="AC798">
        <v>3</v>
      </c>
      <c r="AD798" t="s">
        <v>1266</v>
      </c>
    </row>
    <row r="799" spans="1:33" x14ac:dyDescent="0.3">
      <c r="A799" t="s">
        <v>638</v>
      </c>
      <c r="B799" t="s">
        <v>3735</v>
      </c>
      <c r="C799" t="s">
        <v>3736</v>
      </c>
      <c r="D799" t="s">
        <v>3737</v>
      </c>
      <c r="E799" t="s">
        <v>16</v>
      </c>
      <c r="F799" t="s">
        <v>1321</v>
      </c>
      <c r="G799" s="2">
        <v>0.68055555555555547</v>
      </c>
      <c r="H799" t="s">
        <v>1200</v>
      </c>
      <c r="I799" t="s">
        <v>1201</v>
      </c>
      <c r="M799" t="s">
        <v>1292</v>
      </c>
      <c r="X799" t="s">
        <v>1100</v>
      </c>
      <c r="Y799">
        <v>2</v>
      </c>
      <c r="Z799" t="s">
        <v>1245</v>
      </c>
      <c r="AB799" t="s">
        <v>498</v>
      </c>
      <c r="AC799">
        <v>3</v>
      </c>
      <c r="AD799" t="s">
        <v>1717</v>
      </c>
    </row>
    <row r="800" spans="1:33" x14ac:dyDescent="0.3">
      <c r="A800" t="s">
        <v>638</v>
      </c>
      <c r="B800" t="s">
        <v>3738</v>
      </c>
      <c r="C800" t="s">
        <v>3739</v>
      </c>
      <c r="D800" t="s">
        <v>3740</v>
      </c>
      <c r="E800" t="s">
        <v>16</v>
      </c>
      <c r="F800" t="s">
        <v>1325</v>
      </c>
      <c r="G800" s="2">
        <v>0.67361111111111116</v>
      </c>
      <c r="H800" t="s">
        <v>1200</v>
      </c>
      <c r="I800" t="s">
        <v>1201</v>
      </c>
      <c r="K800" t="s">
        <v>1250</v>
      </c>
      <c r="X800" t="s">
        <v>1100</v>
      </c>
      <c r="Y800">
        <v>2</v>
      </c>
      <c r="Z800" t="s">
        <v>1266</v>
      </c>
      <c r="AB800" t="s">
        <v>546</v>
      </c>
      <c r="AC800">
        <v>2</v>
      </c>
      <c r="AD800" t="s">
        <v>1266</v>
      </c>
      <c r="AE800" t="s">
        <v>498</v>
      </c>
      <c r="AF800">
        <v>3</v>
      </c>
      <c r="AG800" t="s">
        <v>1228</v>
      </c>
    </row>
    <row r="801" spans="1:33" x14ac:dyDescent="0.3">
      <c r="A801" t="s">
        <v>638</v>
      </c>
      <c r="B801" t="s">
        <v>3741</v>
      </c>
      <c r="C801" t="s">
        <v>3742</v>
      </c>
      <c r="D801" t="s">
        <v>3743</v>
      </c>
      <c r="E801" t="s">
        <v>16</v>
      </c>
      <c r="F801" t="s">
        <v>3744</v>
      </c>
      <c r="G801" s="2">
        <v>0.66666666666666663</v>
      </c>
      <c r="H801" t="s">
        <v>1200</v>
      </c>
      <c r="I801" t="s">
        <v>3191</v>
      </c>
      <c r="M801" t="s">
        <v>1292</v>
      </c>
      <c r="X801" t="s">
        <v>1100</v>
      </c>
      <c r="Y801">
        <v>1</v>
      </c>
      <c r="Z801" t="s">
        <v>1245</v>
      </c>
      <c r="AB801" t="s">
        <v>546</v>
      </c>
      <c r="AC801">
        <v>2</v>
      </c>
      <c r="AD801" t="s">
        <v>1217</v>
      </c>
    </row>
    <row r="802" spans="1:33" x14ac:dyDescent="0.3">
      <c r="A802" t="s">
        <v>638</v>
      </c>
      <c r="B802" t="s">
        <v>3745</v>
      </c>
      <c r="C802" t="s">
        <v>3746</v>
      </c>
      <c r="D802" t="s">
        <v>3747</v>
      </c>
      <c r="E802" t="s">
        <v>16</v>
      </c>
      <c r="F802" t="s">
        <v>1333</v>
      </c>
      <c r="G802" s="2">
        <v>0.65972222222222221</v>
      </c>
      <c r="H802" t="s">
        <v>1200</v>
      </c>
      <c r="I802" t="s">
        <v>1201</v>
      </c>
      <c r="M802" t="s">
        <v>1292</v>
      </c>
      <c r="X802" t="s">
        <v>1100</v>
      </c>
      <c r="Y802">
        <v>1</v>
      </c>
      <c r="Z802" t="s">
        <v>1245</v>
      </c>
      <c r="AB802" t="s">
        <v>498</v>
      </c>
      <c r="AC802">
        <v>3</v>
      </c>
      <c r="AD802" t="s">
        <v>2390</v>
      </c>
      <c r="AE802" t="s">
        <v>546</v>
      </c>
      <c r="AF802">
        <v>4</v>
      </c>
      <c r="AG802" t="s">
        <v>1245</v>
      </c>
    </row>
    <row r="803" spans="1:33" x14ac:dyDescent="0.3">
      <c r="A803" t="s">
        <v>638</v>
      </c>
      <c r="B803" t="s">
        <v>3748</v>
      </c>
      <c r="C803" t="s">
        <v>3749</v>
      </c>
      <c r="D803" t="s">
        <v>3750</v>
      </c>
      <c r="E803" t="s">
        <v>16</v>
      </c>
      <c r="F803" t="s">
        <v>1338</v>
      </c>
      <c r="G803" s="2">
        <v>0.65277777777777779</v>
      </c>
      <c r="H803" t="s">
        <v>1200</v>
      </c>
      <c r="I803" t="s">
        <v>1201</v>
      </c>
      <c r="L803" t="s">
        <v>1283</v>
      </c>
      <c r="X803" t="s">
        <v>1100</v>
      </c>
      <c r="Y803">
        <v>1</v>
      </c>
      <c r="Z803" t="s">
        <v>2390</v>
      </c>
      <c r="AB803" t="s">
        <v>498</v>
      </c>
      <c r="AC803">
        <v>3</v>
      </c>
      <c r="AD803" t="s">
        <v>1266</v>
      </c>
      <c r="AE803" t="s">
        <v>546</v>
      </c>
      <c r="AF803">
        <v>3</v>
      </c>
      <c r="AG803" t="s">
        <v>1266</v>
      </c>
    </row>
    <row r="804" spans="1:33" x14ac:dyDescent="0.3">
      <c r="A804" t="s">
        <v>638</v>
      </c>
      <c r="B804" t="s">
        <v>3751</v>
      </c>
      <c r="C804" t="s">
        <v>3752</v>
      </c>
      <c r="D804" t="s">
        <v>3753</v>
      </c>
      <c r="E804" t="s">
        <v>16</v>
      </c>
      <c r="F804" t="s">
        <v>1342</v>
      </c>
      <c r="G804" s="2">
        <v>0.64583333333333337</v>
      </c>
      <c r="H804" t="s">
        <v>1200</v>
      </c>
      <c r="I804" t="s">
        <v>1201</v>
      </c>
      <c r="K804" t="s">
        <v>1250</v>
      </c>
      <c r="X804" t="s">
        <v>1100</v>
      </c>
      <c r="Y804">
        <v>2</v>
      </c>
      <c r="Z804" t="s">
        <v>1266</v>
      </c>
      <c r="AB804" t="s">
        <v>498</v>
      </c>
      <c r="AC804">
        <v>4</v>
      </c>
      <c r="AD804" t="s">
        <v>1245</v>
      </c>
      <c r="AE804" t="s">
        <v>546</v>
      </c>
      <c r="AF804">
        <v>4</v>
      </c>
      <c r="AG804" t="s">
        <v>1245</v>
      </c>
    </row>
    <row r="805" spans="1:33" x14ac:dyDescent="0.3">
      <c r="A805" t="s">
        <v>638</v>
      </c>
      <c r="B805" t="s">
        <v>3754</v>
      </c>
      <c r="C805" t="s">
        <v>3755</v>
      </c>
      <c r="D805" t="s">
        <v>3756</v>
      </c>
      <c r="E805" t="s">
        <v>16</v>
      </c>
      <c r="F805" t="s">
        <v>1346</v>
      </c>
      <c r="G805" s="2">
        <v>0.63888888888888895</v>
      </c>
      <c r="H805" t="s">
        <v>1200</v>
      </c>
      <c r="I805" t="s">
        <v>1201</v>
      </c>
      <c r="K805" t="s">
        <v>1250</v>
      </c>
      <c r="X805" t="s">
        <v>1100</v>
      </c>
      <c r="Y805">
        <v>3</v>
      </c>
      <c r="Z805" t="s">
        <v>1266</v>
      </c>
      <c r="AB805" t="s">
        <v>498</v>
      </c>
      <c r="AC805">
        <v>3</v>
      </c>
      <c r="AD805" t="s">
        <v>1266</v>
      </c>
      <c r="AE805" t="s">
        <v>546</v>
      </c>
      <c r="AF805">
        <v>2</v>
      </c>
      <c r="AG805" t="s">
        <v>1266</v>
      </c>
    </row>
    <row r="806" spans="1:33" x14ac:dyDescent="0.3">
      <c r="A806" t="s">
        <v>638</v>
      </c>
      <c r="B806" t="s">
        <v>3757</v>
      </c>
      <c r="C806" t="s">
        <v>3758</v>
      </c>
      <c r="D806" t="s">
        <v>3759</v>
      </c>
      <c r="E806" t="s">
        <v>16</v>
      </c>
      <c r="F806" t="s">
        <v>1350</v>
      </c>
      <c r="G806" s="2">
        <v>0.63194444444444442</v>
      </c>
      <c r="H806" t="s">
        <v>1200</v>
      </c>
      <c r="I806" t="s">
        <v>1201</v>
      </c>
      <c r="K806" t="s">
        <v>1250</v>
      </c>
      <c r="X806" t="s">
        <v>1100</v>
      </c>
      <c r="Y806">
        <v>2</v>
      </c>
      <c r="Z806" t="s">
        <v>1266</v>
      </c>
      <c r="AB806" t="s">
        <v>498</v>
      </c>
      <c r="AC806">
        <v>3</v>
      </c>
      <c r="AD806" t="s">
        <v>1266</v>
      </c>
      <c r="AE806" t="s">
        <v>546</v>
      </c>
      <c r="AF806">
        <v>3</v>
      </c>
      <c r="AG806" t="s">
        <v>1266</v>
      </c>
    </row>
    <row r="807" spans="1:33" x14ac:dyDescent="0.3">
      <c r="A807" t="s">
        <v>638</v>
      </c>
      <c r="B807" t="s">
        <v>3760</v>
      </c>
      <c r="C807" t="s">
        <v>3761</v>
      </c>
      <c r="D807" t="s">
        <v>3762</v>
      </c>
      <c r="E807" t="s">
        <v>16</v>
      </c>
      <c r="F807" t="s">
        <v>1354</v>
      </c>
      <c r="G807" s="2">
        <v>0.625</v>
      </c>
      <c r="H807" t="s">
        <v>1200</v>
      </c>
      <c r="I807" t="s">
        <v>1201</v>
      </c>
      <c r="K807" t="s">
        <v>1250</v>
      </c>
      <c r="X807" t="s">
        <v>1100</v>
      </c>
      <c r="Y807">
        <v>1</v>
      </c>
      <c r="Z807" t="s">
        <v>1228</v>
      </c>
      <c r="AB807" t="s">
        <v>498</v>
      </c>
      <c r="AC807">
        <v>2</v>
      </c>
      <c r="AD807" t="s">
        <v>1717</v>
      </c>
      <c r="AE807" t="s">
        <v>546</v>
      </c>
      <c r="AF807">
        <v>3</v>
      </c>
      <c r="AG807" t="s">
        <v>1717</v>
      </c>
    </row>
    <row r="808" spans="1:33" x14ac:dyDescent="0.3">
      <c r="A808" t="s">
        <v>638</v>
      </c>
      <c r="B808" t="s">
        <v>3763</v>
      </c>
      <c r="C808" t="s">
        <v>3764</v>
      </c>
      <c r="D808" t="s">
        <v>3765</v>
      </c>
      <c r="E808" t="s">
        <v>16</v>
      </c>
      <c r="F808" t="s">
        <v>1558</v>
      </c>
      <c r="G808" s="2">
        <v>0.61805555555555558</v>
      </c>
      <c r="H808" t="s">
        <v>1200</v>
      </c>
      <c r="I808" t="s">
        <v>1201</v>
      </c>
      <c r="K808" t="s">
        <v>1250</v>
      </c>
      <c r="X808" t="s">
        <v>1100</v>
      </c>
      <c r="Y808">
        <v>2</v>
      </c>
      <c r="Z808" t="s">
        <v>1266</v>
      </c>
      <c r="AB808" t="s">
        <v>498</v>
      </c>
      <c r="AC808">
        <v>2</v>
      </c>
      <c r="AD808" t="s">
        <v>1266</v>
      </c>
      <c r="AE808" t="s">
        <v>546</v>
      </c>
      <c r="AF808">
        <v>3</v>
      </c>
      <c r="AG808" t="s">
        <v>1266</v>
      </c>
    </row>
    <row r="809" spans="1:33" x14ac:dyDescent="0.3">
      <c r="A809" t="s">
        <v>638</v>
      </c>
      <c r="B809" t="s">
        <v>3766</v>
      </c>
      <c r="C809" t="s">
        <v>3767</v>
      </c>
      <c r="D809" t="s">
        <v>3768</v>
      </c>
      <c r="E809" t="s">
        <v>16</v>
      </c>
      <c r="F809" t="s">
        <v>1358</v>
      </c>
      <c r="G809" s="2">
        <v>0.61111111111111105</v>
      </c>
      <c r="H809" t="s">
        <v>1200</v>
      </c>
      <c r="I809" t="s">
        <v>1201</v>
      </c>
      <c r="M809" t="s">
        <v>1292</v>
      </c>
      <c r="X809" t="s">
        <v>1100</v>
      </c>
      <c r="Y809">
        <v>1</v>
      </c>
      <c r="Z809" t="s">
        <v>1203</v>
      </c>
      <c r="AB809" t="s">
        <v>498</v>
      </c>
      <c r="AC809">
        <v>2</v>
      </c>
      <c r="AD809" t="s">
        <v>1203</v>
      </c>
    </row>
    <row r="810" spans="1:33" x14ac:dyDescent="0.3">
      <c r="A810" t="s">
        <v>638</v>
      </c>
      <c r="B810" t="s">
        <v>3769</v>
      </c>
      <c r="C810" t="s">
        <v>3770</v>
      </c>
      <c r="D810" t="s">
        <v>3771</v>
      </c>
      <c r="E810" t="s">
        <v>16</v>
      </c>
      <c r="F810" t="s">
        <v>1362</v>
      </c>
      <c r="G810" s="2">
        <v>0.60416666666666663</v>
      </c>
      <c r="H810" t="s">
        <v>1200</v>
      </c>
      <c r="I810" t="s">
        <v>1201</v>
      </c>
      <c r="K810" t="s">
        <v>1250</v>
      </c>
      <c r="X810" t="s">
        <v>1100</v>
      </c>
      <c r="Y810">
        <v>1</v>
      </c>
      <c r="Z810" t="s">
        <v>1266</v>
      </c>
      <c r="AB810" t="s">
        <v>498</v>
      </c>
      <c r="AC810">
        <v>3</v>
      </c>
      <c r="AD810" t="s">
        <v>1266</v>
      </c>
      <c r="AE810" t="s">
        <v>546</v>
      </c>
      <c r="AF810">
        <v>3</v>
      </c>
      <c r="AG810" t="s">
        <v>1266</v>
      </c>
    </row>
    <row r="811" spans="1:33" x14ac:dyDescent="0.3">
      <c r="A811" t="s">
        <v>638</v>
      </c>
      <c r="B811" t="s">
        <v>3772</v>
      </c>
      <c r="C811" t="s">
        <v>3773</v>
      </c>
      <c r="D811" t="s">
        <v>3774</v>
      </c>
      <c r="E811" t="s">
        <v>16</v>
      </c>
      <c r="F811" t="s">
        <v>1367</v>
      </c>
      <c r="G811" s="2">
        <v>0.59722222222222221</v>
      </c>
      <c r="H811" t="s">
        <v>1200</v>
      </c>
      <c r="I811" t="s">
        <v>1201</v>
      </c>
      <c r="M811" t="s">
        <v>1292</v>
      </c>
      <c r="X811" t="s">
        <v>1100</v>
      </c>
      <c r="Y811">
        <v>1</v>
      </c>
      <c r="Z811" t="s">
        <v>1245</v>
      </c>
      <c r="AB811" t="s">
        <v>498</v>
      </c>
      <c r="AC811">
        <v>4</v>
      </c>
      <c r="AD811" t="s">
        <v>1245</v>
      </c>
      <c r="AE811" t="s">
        <v>498</v>
      </c>
      <c r="AF811">
        <v>6</v>
      </c>
      <c r="AG811" t="s">
        <v>1245</v>
      </c>
    </row>
    <row r="812" spans="1:33" x14ac:dyDescent="0.3">
      <c r="A812" t="s">
        <v>638</v>
      </c>
      <c r="B812" t="s">
        <v>3775</v>
      </c>
      <c r="C812" t="s">
        <v>3776</v>
      </c>
      <c r="D812" t="s">
        <v>3777</v>
      </c>
      <c r="E812" t="s">
        <v>16</v>
      </c>
      <c r="F812" t="s">
        <v>1371</v>
      </c>
      <c r="G812" s="2">
        <v>0.59027777777777779</v>
      </c>
      <c r="H812" t="s">
        <v>1200</v>
      </c>
      <c r="I812" t="s">
        <v>1201</v>
      </c>
      <c r="K812" t="s">
        <v>1250</v>
      </c>
      <c r="X812" t="s">
        <v>1100</v>
      </c>
      <c r="Y812">
        <v>2</v>
      </c>
      <c r="Z812" t="s">
        <v>1266</v>
      </c>
      <c r="AB812" t="s">
        <v>546</v>
      </c>
      <c r="AC812">
        <v>2</v>
      </c>
      <c r="AD812" t="s">
        <v>1266</v>
      </c>
      <c r="AE812" t="s">
        <v>1100</v>
      </c>
      <c r="AF812">
        <v>4</v>
      </c>
      <c r="AG812" t="s">
        <v>1228</v>
      </c>
    </row>
    <row r="813" spans="1:33" x14ac:dyDescent="0.3">
      <c r="A813" t="s">
        <v>638</v>
      </c>
      <c r="B813" t="s">
        <v>3778</v>
      </c>
      <c r="C813" t="s">
        <v>3779</v>
      </c>
      <c r="D813" t="s">
        <v>3780</v>
      </c>
      <c r="E813" t="s">
        <v>16</v>
      </c>
      <c r="F813" t="s">
        <v>1199</v>
      </c>
      <c r="G813" s="2">
        <v>0.58333333333333337</v>
      </c>
      <c r="H813" t="s">
        <v>1200</v>
      </c>
      <c r="I813" t="s">
        <v>1201</v>
      </c>
      <c r="K813" t="s">
        <v>1250</v>
      </c>
      <c r="X813" t="s">
        <v>1100</v>
      </c>
      <c r="Y813">
        <v>2</v>
      </c>
      <c r="Z813" t="s">
        <v>1266</v>
      </c>
      <c r="AB813" t="s">
        <v>546</v>
      </c>
      <c r="AC813">
        <v>3</v>
      </c>
      <c r="AD813" t="s">
        <v>1266</v>
      </c>
      <c r="AE813" t="s">
        <v>1100</v>
      </c>
      <c r="AF813">
        <v>4</v>
      </c>
      <c r="AG813" t="s">
        <v>1245</v>
      </c>
    </row>
    <row r="814" spans="1:33" x14ac:dyDescent="0.3">
      <c r="A814" t="s">
        <v>638</v>
      </c>
      <c r="B814" t="s">
        <v>3781</v>
      </c>
      <c r="C814" t="s">
        <v>3782</v>
      </c>
      <c r="D814" t="s">
        <v>3783</v>
      </c>
      <c r="E814" t="s">
        <v>16</v>
      </c>
      <c r="F814" t="s">
        <v>1207</v>
      </c>
      <c r="G814" s="2">
        <v>0.57638888888888895</v>
      </c>
      <c r="H814" t="s">
        <v>1200</v>
      </c>
      <c r="I814" t="s">
        <v>1201</v>
      </c>
      <c r="K814" t="s">
        <v>1250</v>
      </c>
      <c r="X814" t="s">
        <v>1100</v>
      </c>
      <c r="Y814">
        <v>2</v>
      </c>
      <c r="Z814" t="s">
        <v>1266</v>
      </c>
      <c r="AB814" t="s">
        <v>546</v>
      </c>
      <c r="AC814">
        <v>3</v>
      </c>
      <c r="AD814" t="s">
        <v>1266</v>
      </c>
      <c r="AE814" t="s">
        <v>1100</v>
      </c>
      <c r="AF814">
        <v>3</v>
      </c>
      <c r="AG814" t="s">
        <v>1266</v>
      </c>
    </row>
    <row r="815" spans="1:33" x14ac:dyDescent="0.3">
      <c r="A815" t="s">
        <v>638</v>
      </c>
      <c r="B815" t="s">
        <v>3784</v>
      </c>
      <c r="C815" t="s">
        <v>3785</v>
      </c>
      <c r="D815" t="s">
        <v>3786</v>
      </c>
      <c r="E815" t="s">
        <v>16</v>
      </c>
      <c r="F815" t="s">
        <v>1211</v>
      </c>
      <c r="G815" s="2">
        <v>0.56944444444444442</v>
      </c>
      <c r="H815" t="s">
        <v>1200</v>
      </c>
      <c r="I815" t="s">
        <v>1201</v>
      </c>
      <c r="M815" t="s">
        <v>1216</v>
      </c>
      <c r="X815" t="s">
        <v>1100</v>
      </c>
      <c r="Y815">
        <v>3</v>
      </c>
      <c r="Z815" t="s">
        <v>1266</v>
      </c>
      <c r="AB815" t="s">
        <v>546</v>
      </c>
      <c r="AC815">
        <v>3</v>
      </c>
      <c r="AD815" t="s">
        <v>1245</v>
      </c>
    </row>
    <row r="816" spans="1:33" x14ac:dyDescent="0.3">
      <c r="A816" t="s">
        <v>638</v>
      </c>
      <c r="B816" t="s">
        <v>3787</v>
      </c>
      <c r="C816" t="s">
        <v>3788</v>
      </c>
      <c r="D816" t="s">
        <v>3789</v>
      </c>
      <c r="E816" t="s">
        <v>16</v>
      </c>
      <c r="F816" t="s">
        <v>1215</v>
      </c>
      <c r="G816" s="2">
        <v>0.5625</v>
      </c>
      <c r="H816" t="s">
        <v>1200</v>
      </c>
      <c r="I816" t="s">
        <v>1201</v>
      </c>
      <c r="K816" t="s">
        <v>1250</v>
      </c>
      <c r="X816" t="s">
        <v>1100</v>
      </c>
      <c r="Y816">
        <v>2</v>
      </c>
      <c r="Z816" t="s">
        <v>1266</v>
      </c>
      <c r="AB816" t="s">
        <v>498</v>
      </c>
      <c r="AC816">
        <v>4</v>
      </c>
      <c r="AD816" t="s">
        <v>1266</v>
      </c>
    </row>
    <row r="817" spans="1:33" x14ac:dyDescent="0.3">
      <c r="A817" t="s">
        <v>642</v>
      </c>
      <c r="B817" t="s">
        <v>3790</v>
      </c>
      <c r="C817" t="s">
        <v>3791</v>
      </c>
      <c r="D817" t="s">
        <v>3792</v>
      </c>
      <c r="E817" t="s">
        <v>16</v>
      </c>
      <c r="F817" t="s">
        <v>3793</v>
      </c>
      <c r="G817" s="2">
        <v>0.74305555555555547</v>
      </c>
      <c r="H817" t="s">
        <v>1200</v>
      </c>
      <c r="I817" t="s">
        <v>1201</v>
      </c>
      <c r="L817" t="s">
        <v>1202</v>
      </c>
    </row>
    <row r="818" spans="1:33" x14ac:dyDescent="0.3">
      <c r="A818" t="s">
        <v>642</v>
      </c>
      <c r="B818" t="s">
        <v>3794</v>
      </c>
      <c r="C818" t="s">
        <v>3795</v>
      </c>
      <c r="D818" t="s">
        <v>3796</v>
      </c>
      <c r="E818" t="s">
        <v>16</v>
      </c>
      <c r="F818" s="2">
        <v>0.73611111111111116</v>
      </c>
      <c r="G818" s="2">
        <v>0.73611111111111116</v>
      </c>
      <c r="H818" t="s">
        <v>1668</v>
      </c>
    </row>
    <row r="819" spans="1:33" x14ac:dyDescent="0.3">
      <c r="A819" t="s">
        <v>642</v>
      </c>
      <c r="B819" t="s">
        <v>3797</v>
      </c>
      <c r="C819" t="s">
        <v>3798</v>
      </c>
      <c r="D819" t="s">
        <v>3799</v>
      </c>
      <c r="E819" t="s">
        <v>16</v>
      </c>
      <c r="F819" t="s">
        <v>1506</v>
      </c>
      <c r="G819" s="2">
        <v>0.72916666666666663</v>
      </c>
      <c r="H819" t="s">
        <v>1200</v>
      </c>
      <c r="I819" t="s">
        <v>1201</v>
      </c>
      <c r="K819" t="s">
        <v>1250</v>
      </c>
    </row>
    <row r="820" spans="1:33" x14ac:dyDescent="0.3">
      <c r="A820" t="s">
        <v>642</v>
      </c>
      <c r="B820" t="s">
        <v>3800</v>
      </c>
      <c r="C820" t="s">
        <v>3801</v>
      </c>
      <c r="D820" t="s">
        <v>3802</v>
      </c>
      <c r="E820" t="s">
        <v>16</v>
      </c>
      <c r="F820" t="s">
        <v>1510</v>
      </c>
      <c r="G820" s="2">
        <v>0.72222222222222221</v>
      </c>
      <c r="H820" t="s">
        <v>1200</v>
      </c>
      <c r="I820" t="s">
        <v>1201</v>
      </c>
      <c r="M820" t="s">
        <v>1501</v>
      </c>
      <c r="X820" t="s">
        <v>1100</v>
      </c>
      <c r="Y820">
        <v>2</v>
      </c>
      <c r="Z820" t="s">
        <v>1502</v>
      </c>
      <c r="AB820" t="s">
        <v>498</v>
      </c>
      <c r="AC820">
        <v>2</v>
      </c>
      <c r="AD820" t="s">
        <v>1502</v>
      </c>
    </row>
    <row r="821" spans="1:33" x14ac:dyDescent="0.3">
      <c r="A821" t="s">
        <v>642</v>
      </c>
      <c r="B821" s="3" t="s">
        <v>3803</v>
      </c>
      <c r="C821" t="s">
        <v>3804</v>
      </c>
      <c r="D821" t="s">
        <v>3805</v>
      </c>
      <c r="E821" t="s">
        <v>16</v>
      </c>
      <c r="F821" t="s">
        <v>1514</v>
      </c>
      <c r="G821" s="2">
        <v>0.71527777777777779</v>
      </c>
      <c r="H821" t="s">
        <v>1200</v>
      </c>
      <c r="I821" t="s">
        <v>1201</v>
      </c>
      <c r="M821" t="s">
        <v>1501</v>
      </c>
      <c r="X821" t="s">
        <v>498</v>
      </c>
      <c r="Y821">
        <v>1</v>
      </c>
      <c r="Z821" t="s">
        <v>1502</v>
      </c>
      <c r="AB821" t="s">
        <v>1100</v>
      </c>
      <c r="AC821">
        <v>2</v>
      </c>
      <c r="AD821" t="s">
        <v>1502</v>
      </c>
    </row>
    <row r="822" spans="1:33" x14ac:dyDescent="0.3">
      <c r="A822" t="s">
        <v>642</v>
      </c>
      <c r="B822" t="s">
        <v>3806</v>
      </c>
      <c r="C822" t="s">
        <v>3807</v>
      </c>
      <c r="D822" t="s">
        <v>3808</v>
      </c>
      <c r="E822" t="s">
        <v>16</v>
      </c>
      <c r="F822" t="s">
        <v>1304</v>
      </c>
      <c r="G822" s="2">
        <v>0.70833333333333337</v>
      </c>
      <c r="H822" t="s">
        <v>1200</v>
      </c>
      <c r="I822" t="s">
        <v>1201</v>
      </c>
      <c r="M822" t="s">
        <v>1501</v>
      </c>
      <c r="X822" t="s">
        <v>498</v>
      </c>
      <c r="Y822">
        <v>1</v>
      </c>
      <c r="Z822" t="s">
        <v>1502</v>
      </c>
      <c r="AB822" t="s">
        <v>1100</v>
      </c>
      <c r="AC822">
        <v>3</v>
      </c>
      <c r="AD822" t="s">
        <v>1502</v>
      </c>
    </row>
    <row r="823" spans="1:33" x14ac:dyDescent="0.3">
      <c r="A823" t="s">
        <v>642</v>
      </c>
      <c r="B823" t="s">
        <v>3809</v>
      </c>
      <c r="C823" t="s">
        <v>3810</v>
      </c>
      <c r="D823" t="s">
        <v>3811</v>
      </c>
      <c r="E823" t="s">
        <v>16</v>
      </c>
      <c r="F823" t="s">
        <v>1308</v>
      </c>
      <c r="G823" s="2">
        <v>0.70138888888888884</v>
      </c>
      <c r="H823" t="s">
        <v>1200</v>
      </c>
      <c r="I823" t="s">
        <v>1201</v>
      </c>
      <c r="L823" t="s">
        <v>1255</v>
      </c>
      <c r="X823" t="s">
        <v>1100</v>
      </c>
      <c r="Y823">
        <v>1</v>
      </c>
      <c r="Z823" t="s">
        <v>3670</v>
      </c>
      <c r="AB823" t="s">
        <v>546</v>
      </c>
      <c r="AC823">
        <v>3</v>
      </c>
      <c r="AD823" t="s">
        <v>1496</v>
      </c>
      <c r="AE823" t="s">
        <v>1100</v>
      </c>
      <c r="AF823">
        <v>3</v>
      </c>
      <c r="AG823" t="s">
        <v>1203</v>
      </c>
    </row>
    <row r="824" spans="1:33" x14ac:dyDescent="0.3">
      <c r="A824" t="s">
        <v>642</v>
      </c>
      <c r="B824" t="s">
        <v>3812</v>
      </c>
      <c r="C824" t="s">
        <v>3813</v>
      </c>
      <c r="D824" t="s">
        <v>3814</v>
      </c>
      <c r="E824" t="s">
        <v>16</v>
      </c>
      <c r="F824" t="s">
        <v>1313</v>
      </c>
      <c r="G824" s="2">
        <v>0.69444444444444453</v>
      </c>
      <c r="H824" t="s">
        <v>1200</v>
      </c>
      <c r="I824" t="s">
        <v>1201</v>
      </c>
      <c r="M824" t="s">
        <v>1640</v>
      </c>
      <c r="X824" t="s">
        <v>1100</v>
      </c>
      <c r="Y824">
        <v>1</v>
      </c>
      <c r="Z824" t="s">
        <v>1266</v>
      </c>
      <c r="AB824" t="s">
        <v>546</v>
      </c>
      <c r="AC824">
        <v>3</v>
      </c>
      <c r="AD824" t="s">
        <v>2047</v>
      </c>
      <c r="AE824" t="s">
        <v>1100</v>
      </c>
      <c r="AF824">
        <v>2</v>
      </c>
      <c r="AG824" t="s">
        <v>1203</v>
      </c>
    </row>
    <row r="825" spans="1:33" x14ac:dyDescent="0.3">
      <c r="A825" t="s">
        <v>642</v>
      </c>
      <c r="B825" t="s">
        <v>3815</v>
      </c>
      <c r="C825" t="s">
        <v>3816</v>
      </c>
      <c r="D825" t="s">
        <v>3817</v>
      </c>
      <c r="E825" t="s">
        <v>16</v>
      </c>
      <c r="F825" t="s">
        <v>1317</v>
      </c>
      <c r="G825" s="2">
        <v>0.6875</v>
      </c>
      <c r="H825" t="s">
        <v>1200</v>
      </c>
      <c r="I825" t="s">
        <v>1201</v>
      </c>
      <c r="M825" t="s">
        <v>1640</v>
      </c>
      <c r="X825" t="s">
        <v>1100</v>
      </c>
      <c r="Y825">
        <v>2</v>
      </c>
      <c r="Z825" t="s">
        <v>2047</v>
      </c>
      <c r="AB825" t="s">
        <v>498</v>
      </c>
      <c r="AC825">
        <v>3</v>
      </c>
      <c r="AD825" t="s">
        <v>1245</v>
      </c>
      <c r="AE825" t="s">
        <v>546</v>
      </c>
      <c r="AF825">
        <v>4</v>
      </c>
      <c r="AG825" t="s">
        <v>1245</v>
      </c>
    </row>
    <row r="826" spans="1:33" x14ac:dyDescent="0.3">
      <c r="A826" t="s">
        <v>642</v>
      </c>
      <c r="B826" t="s">
        <v>3818</v>
      </c>
      <c r="C826" t="s">
        <v>3819</v>
      </c>
      <c r="D826" t="s">
        <v>3820</v>
      </c>
      <c r="E826" t="s">
        <v>16</v>
      </c>
      <c r="F826" t="s">
        <v>1321</v>
      </c>
      <c r="G826" s="2">
        <v>0.68055555555555547</v>
      </c>
      <c r="H826" t="s">
        <v>1200</v>
      </c>
      <c r="I826" t="s">
        <v>1201</v>
      </c>
      <c r="M826" t="s">
        <v>1640</v>
      </c>
      <c r="X826" t="s">
        <v>1100</v>
      </c>
      <c r="Y826">
        <v>2</v>
      </c>
      <c r="Z826" t="s">
        <v>1203</v>
      </c>
      <c r="AB826" t="s">
        <v>498</v>
      </c>
      <c r="AC826">
        <v>4</v>
      </c>
      <c r="AD826" t="s">
        <v>1228</v>
      </c>
      <c r="AE826" t="s">
        <v>546</v>
      </c>
      <c r="AF826">
        <v>4</v>
      </c>
      <c r="AG826" t="s">
        <v>1266</v>
      </c>
    </row>
    <row r="827" spans="1:33" x14ac:dyDescent="0.3">
      <c r="A827" t="s">
        <v>642</v>
      </c>
      <c r="B827" t="s">
        <v>3821</v>
      </c>
      <c r="C827" t="s">
        <v>3822</v>
      </c>
      <c r="D827" t="s">
        <v>3823</v>
      </c>
      <c r="E827" t="s">
        <v>16</v>
      </c>
      <c r="F827" t="s">
        <v>1325</v>
      </c>
      <c r="G827" s="2">
        <v>0.67361111111111116</v>
      </c>
      <c r="H827" t="s">
        <v>1200</v>
      </c>
      <c r="I827" t="s">
        <v>1201</v>
      </c>
      <c r="K827" t="s">
        <v>1250</v>
      </c>
      <c r="X827" t="s">
        <v>1100</v>
      </c>
      <c r="Y827">
        <v>3</v>
      </c>
      <c r="Z827" t="s">
        <v>1266</v>
      </c>
      <c r="AB827" t="s">
        <v>498</v>
      </c>
      <c r="AC827">
        <v>3</v>
      </c>
      <c r="AD827" t="s">
        <v>1266</v>
      </c>
      <c r="AE827" t="s">
        <v>1100</v>
      </c>
      <c r="AF827">
        <v>4</v>
      </c>
      <c r="AG827" t="s">
        <v>1266</v>
      </c>
    </row>
    <row r="828" spans="1:33" x14ac:dyDescent="0.3">
      <c r="A828" t="s">
        <v>642</v>
      </c>
      <c r="B828" t="s">
        <v>3824</v>
      </c>
      <c r="C828" t="s">
        <v>3825</v>
      </c>
      <c r="D828" t="s">
        <v>3826</v>
      </c>
      <c r="E828" t="s">
        <v>16</v>
      </c>
      <c r="F828" t="s">
        <v>1329</v>
      </c>
      <c r="G828" s="2">
        <v>0.66666666666666663</v>
      </c>
      <c r="H828" t="s">
        <v>1200</v>
      </c>
      <c r="I828" t="s">
        <v>1201</v>
      </c>
      <c r="K828" t="s">
        <v>1250</v>
      </c>
      <c r="X828" t="s">
        <v>1100</v>
      </c>
      <c r="Y828">
        <v>2</v>
      </c>
      <c r="Z828" t="s">
        <v>1228</v>
      </c>
      <c r="AB828" t="s">
        <v>498</v>
      </c>
      <c r="AC828">
        <v>3</v>
      </c>
      <c r="AD828" t="s">
        <v>1228</v>
      </c>
      <c r="AE828" t="s">
        <v>546</v>
      </c>
      <c r="AF828">
        <v>5</v>
      </c>
      <c r="AG828" t="s">
        <v>1228</v>
      </c>
    </row>
    <row r="829" spans="1:33" x14ac:dyDescent="0.3">
      <c r="A829" t="s">
        <v>647</v>
      </c>
      <c r="B829" t="s">
        <v>3827</v>
      </c>
      <c r="C829" t="s">
        <v>3828</v>
      </c>
      <c r="D829" t="s">
        <v>3829</v>
      </c>
      <c r="E829" t="s">
        <v>16</v>
      </c>
      <c r="F829" t="s">
        <v>1333</v>
      </c>
      <c r="G829" s="2">
        <v>0.65972222222222221</v>
      </c>
      <c r="H829" t="s">
        <v>1200</v>
      </c>
      <c r="I829" t="s">
        <v>1201</v>
      </c>
      <c r="L829" t="s">
        <v>1222</v>
      </c>
    </row>
    <row r="830" spans="1:33" x14ac:dyDescent="0.3">
      <c r="A830" t="s">
        <v>647</v>
      </c>
      <c r="B830" t="s">
        <v>3830</v>
      </c>
      <c r="C830" t="s">
        <v>3831</v>
      </c>
      <c r="D830" t="s">
        <v>3832</v>
      </c>
      <c r="E830" t="s">
        <v>16</v>
      </c>
      <c r="F830" t="s">
        <v>1338</v>
      </c>
      <c r="G830" s="2">
        <v>0.65277777777777779</v>
      </c>
      <c r="H830" t="s">
        <v>1200</v>
      </c>
      <c r="I830" t="s">
        <v>1201</v>
      </c>
      <c r="L830" t="s">
        <v>1363</v>
      </c>
    </row>
    <row r="831" spans="1:33" x14ac:dyDescent="0.3">
      <c r="A831" t="s">
        <v>647</v>
      </c>
      <c r="B831" t="s">
        <v>3833</v>
      </c>
      <c r="C831" t="s">
        <v>3834</v>
      </c>
      <c r="D831" t="s">
        <v>3835</v>
      </c>
      <c r="E831" t="s">
        <v>16</v>
      </c>
      <c r="F831" t="s">
        <v>1342</v>
      </c>
      <c r="G831" s="2">
        <v>0.64583333333333337</v>
      </c>
      <c r="H831" t="s">
        <v>1200</v>
      </c>
      <c r="I831" t="s">
        <v>1201</v>
      </c>
      <c r="L831" t="s">
        <v>1363</v>
      </c>
    </row>
    <row r="832" spans="1:33" x14ac:dyDescent="0.3">
      <c r="A832" t="s">
        <v>647</v>
      </c>
      <c r="B832" t="s">
        <v>3836</v>
      </c>
      <c r="C832" t="s">
        <v>3837</v>
      </c>
      <c r="D832" t="s">
        <v>3838</v>
      </c>
      <c r="E832" t="s">
        <v>16</v>
      </c>
      <c r="F832" t="s">
        <v>1346</v>
      </c>
      <c r="G832" s="2">
        <v>0.63888888888888895</v>
      </c>
      <c r="H832" t="s">
        <v>1200</v>
      </c>
      <c r="I832" t="s">
        <v>1201</v>
      </c>
      <c r="L832" t="s">
        <v>1363</v>
      </c>
    </row>
    <row r="833" spans="1:33" x14ac:dyDescent="0.3">
      <c r="A833" t="s">
        <v>647</v>
      </c>
      <c r="B833" t="s">
        <v>3839</v>
      </c>
      <c r="C833" t="s">
        <v>3840</v>
      </c>
      <c r="D833" t="s">
        <v>3841</v>
      </c>
      <c r="E833" t="s">
        <v>16</v>
      </c>
      <c r="F833" t="s">
        <v>1350</v>
      </c>
      <c r="G833" s="2">
        <v>0.63194444444444442</v>
      </c>
      <c r="H833" t="s">
        <v>1200</v>
      </c>
      <c r="I833" t="s">
        <v>1201</v>
      </c>
      <c r="L833" t="s">
        <v>1363</v>
      </c>
    </row>
    <row r="834" spans="1:33" x14ac:dyDescent="0.3">
      <c r="A834" t="s">
        <v>647</v>
      </c>
      <c r="B834" t="s">
        <v>3842</v>
      </c>
      <c r="C834" t="s">
        <v>3843</v>
      </c>
      <c r="D834" t="s">
        <v>3844</v>
      </c>
      <c r="E834" t="s">
        <v>16</v>
      </c>
      <c r="F834" t="s">
        <v>1354</v>
      </c>
      <c r="G834" s="2">
        <v>0.625</v>
      </c>
      <c r="H834" t="s">
        <v>1200</v>
      </c>
      <c r="I834" t="s">
        <v>1201</v>
      </c>
      <c r="L834" t="s">
        <v>1202</v>
      </c>
    </row>
    <row r="835" spans="1:33" x14ac:dyDescent="0.3">
      <c r="A835" t="s">
        <v>647</v>
      </c>
      <c r="B835" t="s">
        <v>3845</v>
      </c>
      <c r="C835" t="s">
        <v>3846</v>
      </c>
      <c r="D835" t="s">
        <v>3847</v>
      </c>
      <c r="E835" t="s">
        <v>16</v>
      </c>
      <c r="F835" t="s">
        <v>1558</v>
      </c>
      <c r="G835" s="2">
        <v>0.61805555555555558</v>
      </c>
      <c r="H835" t="s">
        <v>1200</v>
      </c>
      <c r="I835" t="s">
        <v>1201</v>
      </c>
      <c r="L835" t="s">
        <v>1202</v>
      </c>
    </row>
    <row r="836" spans="1:33" x14ac:dyDescent="0.3">
      <c r="A836" t="s">
        <v>647</v>
      </c>
      <c r="B836" t="s">
        <v>3848</v>
      </c>
      <c r="C836" t="s">
        <v>3849</v>
      </c>
      <c r="D836" t="s">
        <v>3850</v>
      </c>
      <c r="E836" t="s">
        <v>16</v>
      </c>
      <c r="F836" t="s">
        <v>1358</v>
      </c>
      <c r="G836" s="2">
        <v>0.61111111111111105</v>
      </c>
      <c r="H836" t="s">
        <v>1200</v>
      </c>
      <c r="I836" t="s">
        <v>1201</v>
      </c>
      <c r="M836" t="s">
        <v>1640</v>
      </c>
      <c r="X836" t="s">
        <v>1100</v>
      </c>
      <c r="Y836">
        <v>1</v>
      </c>
      <c r="Z836" t="s">
        <v>1203</v>
      </c>
      <c r="AB836" t="s">
        <v>546</v>
      </c>
      <c r="AC836">
        <v>4</v>
      </c>
      <c r="AD836" t="s">
        <v>1266</v>
      </c>
    </row>
    <row r="837" spans="1:33" x14ac:dyDescent="0.3">
      <c r="A837" t="s">
        <v>647</v>
      </c>
      <c r="B837" t="s">
        <v>3851</v>
      </c>
      <c r="C837" t="s">
        <v>3852</v>
      </c>
      <c r="D837" t="s">
        <v>3853</v>
      </c>
      <c r="E837" t="s">
        <v>16</v>
      </c>
      <c r="F837" t="s">
        <v>1362</v>
      </c>
      <c r="G837" s="2">
        <v>0.60416666666666663</v>
      </c>
      <c r="H837" t="s">
        <v>1200</v>
      </c>
      <c r="I837" t="s">
        <v>1201</v>
      </c>
      <c r="M837" t="s">
        <v>1640</v>
      </c>
      <c r="X837" t="s">
        <v>1100</v>
      </c>
      <c r="Y837">
        <v>2</v>
      </c>
      <c r="Z837" t="s">
        <v>1203</v>
      </c>
      <c r="AB837" t="s">
        <v>546</v>
      </c>
      <c r="AC837">
        <v>3</v>
      </c>
      <c r="AD837" t="s">
        <v>1203</v>
      </c>
    </row>
    <row r="838" spans="1:33" x14ac:dyDescent="0.3">
      <c r="A838" t="s">
        <v>647</v>
      </c>
      <c r="B838" t="s">
        <v>3854</v>
      </c>
      <c r="C838" t="s">
        <v>3855</v>
      </c>
      <c r="D838" t="s">
        <v>3856</v>
      </c>
      <c r="E838" t="s">
        <v>16</v>
      </c>
      <c r="F838" t="s">
        <v>1367</v>
      </c>
      <c r="G838" s="2">
        <v>0.59722222222222221</v>
      </c>
      <c r="H838" t="s">
        <v>1200</v>
      </c>
      <c r="I838" t="s">
        <v>1201</v>
      </c>
      <c r="M838" t="s">
        <v>1640</v>
      </c>
      <c r="X838" t="s">
        <v>1100</v>
      </c>
      <c r="Y838">
        <v>2</v>
      </c>
      <c r="Z838" t="s">
        <v>2047</v>
      </c>
      <c r="AB838" t="s">
        <v>546</v>
      </c>
      <c r="AC838">
        <v>3</v>
      </c>
      <c r="AD838" t="s">
        <v>1203</v>
      </c>
    </row>
    <row r="839" spans="1:33" x14ac:dyDescent="0.3">
      <c r="A839" t="s">
        <v>647</v>
      </c>
      <c r="B839" s="3" t="s">
        <v>3857</v>
      </c>
      <c r="C839" t="s">
        <v>3858</v>
      </c>
      <c r="D839" t="s">
        <v>3859</v>
      </c>
      <c r="E839" t="s">
        <v>16</v>
      </c>
      <c r="F839" t="s">
        <v>1371</v>
      </c>
      <c r="G839" s="2">
        <v>0.59027777777777779</v>
      </c>
      <c r="H839" t="s">
        <v>1200</v>
      </c>
      <c r="I839" t="s">
        <v>1201</v>
      </c>
      <c r="M839" t="s">
        <v>1640</v>
      </c>
      <c r="X839" t="s">
        <v>1100</v>
      </c>
      <c r="Y839">
        <v>3</v>
      </c>
      <c r="Z839" t="s">
        <v>1245</v>
      </c>
      <c r="AB839" t="s">
        <v>546</v>
      </c>
      <c r="AC839">
        <v>5</v>
      </c>
      <c r="AD839" t="s">
        <v>1245</v>
      </c>
    </row>
    <row r="840" spans="1:33" x14ac:dyDescent="0.3">
      <c r="A840" t="s">
        <v>647</v>
      </c>
      <c r="B840" t="s">
        <v>3860</v>
      </c>
      <c r="C840" t="s">
        <v>3861</v>
      </c>
      <c r="D840" t="s">
        <v>3862</v>
      </c>
      <c r="E840" t="s">
        <v>16</v>
      </c>
      <c r="F840" t="s">
        <v>1199</v>
      </c>
      <c r="G840" s="2">
        <v>0.58333333333333337</v>
      </c>
      <c r="H840" t="s">
        <v>1200</v>
      </c>
      <c r="I840" t="s">
        <v>1201</v>
      </c>
      <c r="M840" t="s">
        <v>1640</v>
      </c>
      <c r="X840" t="s">
        <v>1100</v>
      </c>
      <c r="Y840">
        <v>2</v>
      </c>
      <c r="Z840" t="s">
        <v>1245</v>
      </c>
      <c r="AB840" t="s">
        <v>546</v>
      </c>
      <c r="AC840">
        <v>3</v>
      </c>
      <c r="AD840" t="s">
        <v>2047</v>
      </c>
    </row>
    <row r="841" spans="1:33" x14ac:dyDescent="0.3">
      <c r="A841" t="s">
        <v>647</v>
      </c>
      <c r="B841" t="s">
        <v>3863</v>
      </c>
      <c r="C841" t="s">
        <v>3864</v>
      </c>
      <c r="D841" t="s">
        <v>3865</v>
      </c>
      <c r="E841" t="s">
        <v>16</v>
      </c>
      <c r="F841" t="s">
        <v>1207</v>
      </c>
      <c r="G841" s="2">
        <v>0.57638888888888895</v>
      </c>
      <c r="H841" t="s">
        <v>1200</v>
      </c>
      <c r="I841" t="s">
        <v>1201</v>
      </c>
      <c r="M841" t="s">
        <v>1640</v>
      </c>
      <c r="X841" t="s">
        <v>1100</v>
      </c>
      <c r="Y841">
        <v>3</v>
      </c>
      <c r="Z841" t="s">
        <v>1245</v>
      </c>
      <c r="AB841" t="s">
        <v>546</v>
      </c>
      <c r="AC841">
        <v>3</v>
      </c>
      <c r="AD841" t="s">
        <v>2047</v>
      </c>
    </row>
    <row r="842" spans="1:33" x14ac:dyDescent="0.3">
      <c r="A842" t="s">
        <v>647</v>
      </c>
      <c r="B842" t="s">
        <v>3866</v>
      </c>
      <c r="C842" t="s">
        <v>3867</v>
      </c>
      <c r="D842" t="s">
        <v>3868</v>
      </c>
      <c r="E842" t="s">
        <v>16</v>
      </c>
      <c r="F842" t="s">
        <v>1211</v>
      </c>
      <c r="G842" s="2">
        <v>0.56944444444444442</v>
      </c>
      <c r="H842" t="s">
        <v>1200</v>
      </c>
      <c r="I842" t="s">
        <v>1201</v>
      </c>
      <c r="K842" t="s">
        <v>1250</v>
      </c>
      <c r="X842" t="s">
        <v>1100</v>
      </c>
      <c r="Y842">
        <v>2</v>
      </c>
      <c r="Z842" t="s">
        <v>1266</v>
      </c>
      <c r="AB842" t="s">
        <v>546</v>
      </c>
      <c r="AC842">
        <v>3</v>
      </c>
      <c r="AD842" t="s">
        <v>1266</v>
      </c>
    </row>
    <row r="843" spans="1:33" x14ac:dyDescent="0.3">
      <c r="A843" t="s">
        <v>647</v>
      </c>
      <c r="B843" t="s">
        <v>3869</v>
      </c>
      <c r="C843" t="s">
        <v>3870</v>
      </c>
      <c r="D843" t="s">
        <v>3871</v>
      </c>
      <c r="E843" t="s">
        <v>16</v>
      </c>
      <c r="F843" t="s">
        <v>1215</v>
      </c>
      <c r="G843" s="2">
        <v>0.5625</v>
      </c>
      <c r="H843" t="s">
        <v>1200</v>
      </c>
      <c r="I843" t="s">
        <v>1201</v>
      </c>
      <c r="K843" t="s">
        <v>1250</v>
      </c>
      <c r="X843" t="s">
        <v>546</v>
      </c>
      <c r="Y843">
        <v>5</v>
      </c>
      <c r="Z843" t="s">
        <v>1266</v>
      </c>
      <c r="AB843" t="s">
        <v>1100</v>
      </c>
      <c r="AC843">
        <v>4</v>
      </c>
      <c r="AD843" t="s">
        <v>1266</v>
      </c>
      <c r="AE843" t="s">
        <v>546</v>
      </c>
      <c r="AF843">
        <v>5</v>
      </c>
      <c r="AG843" t="s">
        <v>1266</v>
      </c>
    </row>
    <row r="844" spans="1:33" x14ac:dyDescent="0.3">
      <c r="A844" t="s">
        <v>647</v>
      </c>
      <c r="B844" t="s">
        <v>3872</v>
      </c>
      <c r="C844" t="s">
        <v>3873</v>
      </c>
      <c r="D844" t="s">
        <v>3874</v>
      </c>
      <c r="E844" t="s">
        <v>16</v>
      </c>
      <c r="F844" t="s">
        <v>1221</v>
      </c>
      <c r="G844" s="2">
        <v>0.55555555555555558</v>
      </c>
      <c r="H844" t="s">
        <v>1200</v>
      </c>
      <c r="I844" t="s">
        <v>1201</v>
      </c>
      <c r="K844" t="s">
        <v>1250</v>
      </c>
      <c r="X844" t="s">
        <v>546</v>
      </c>
      <c r="Y844">
        <v>3</v>
      </c>
      <c r="Z844" t="s">
        <v>1266</v>
      </c>
      <c r="AB844" t="s">
        <v>1100</v>
      </c>
      <c r="AC844">
        <v>3</v>
      </c>
      <c r="AD844" t="s">
        <v>1245</v>
      </c>
    </row>
    <row r="845" spans="1:33" x14ac:dyDescent="0.3">
      <c r="A845" t="s">
        <v>647</v>
      </c>
      <c r="B845" t="s">
        <v>3875</v>
      </c>
      <c r="C845" t="s">
        <v>3876</v>
      </c>
      <c r="D845" t="s">
        <v>3877</v>
      </c>
      <c r="E845" t="s">
        <v>16</v>
      </c>
      <c r="F845" t="s">
        <v>1232</v>
      </c>
      <c r="G845" s="2">
        <v>0.54861111111111105</v>
      </c>
      <c r="H845" t="s">
        <v>1200</v>
      </c>
      <c r="I845" t="s">
        <v>1201</v>
      </c>
      <c r="L845" t="s">
        <v>1222</v>
      </c>
      <c r="R845" t="s">
        <v>1536</v>
      </c>
      <c r="X845" t="s">
        <v>546</v>
      </c>
      <c r="Y845">
        <v>5</v>
      </c>
      <c r="Z845" t="s">
        <v>3670</v>
      </c>
      <c r="AB845" t="s">
        <v>1100</v>
      </c>
      <c r="AC845">
        <v>7</v>
      </c>
      <c r="AD845" t="s">
        <v>3670</v>
      </c>
    </row>
    <row r="846" spans="1:33" x14ac:dyDescent="0.3">
      <c r="A846" t="s">
        <v>647</v>
      </c>
      <c r="B846" t="s">
        <v>3878</v>
      </c>
      <c r="C846" t="s">
        <v>3879</v>
      </c>
      <c r="D846" t="s">
        <v>3880</v>
      </c>
      <c r="E846" t="s">
        <v>16</v>
      </c>
      <c r="F846" t="s">
        <v>1236</v>
      </c>
      <c r="G846" s="2">
        <v>0.54166666666666663</v>
      </c>
      <c r="H846" t="s">
        <v>1200</v>
      </c>
      <c r="I846" t="s">
        <v>1201</v>
      </c>
      <c r="L846" t="s">
        <v>1222</v>
      </c>
      <c r="X846" t="s">
        <v>546</v>
      </c>
      <c r="Y846">
        <v>4</v>
      </c>
      <c r="Z846" t="s">
        <v>3670</v>
      </c>
      <c r="AB846" t="s">
        <v>1100</v>
      </c>
      <c r="AC846">
        <v>6</v>
      </c>
      <c r="AD846" t="s">
        <v>3670</v>
      </c>
    </row>
    <row r="847" spans="1:33" x14ac:dyDescent="0.3">
      <c r="A847" t="s">
        <v>647</v>
      </c>
      <c r="B847" t="s">
        <v>3881</v>
      </c>
      <c r="C847" t="s">
        <v>3882</v>
      </c>
      <c r="D847" t="s">
        <v>3883</v>
      </c>
      <c r="E847" t="s">
        <v>16</v>
      </c>
      <c r="F847" t="s">
        <v>1240</v>
      </c>
      <c r="G847" s="2">
        <v>0.53472222222222221</v>
      </c>
      <c r="H847" t="s">
        <v>1200</v>
      </c>
      <c r="I847" t="s">
        <v>1201</v>
      </c>
      <c r="M847" t="s">
        <v>1292</v>
      </c>
      <c r="X847" t="s">
        <v>546</v>
      </c>
      <c r="Y847">
        <v>3</v>
      </c>
      <c r="Z847" t="s">
        <v>1245</v>
      </c>
      <c r="AB847" t="s">
        <v>1100</v>
      </c>
      <c r="AC847">
        <v>4</v>
      </c>
      <c r="AD847" t="s">
        <v>1245</v>
      </c>
    </row>
    <row r="848" spans="1:33" x14ac:dyDescent="0.3">
      <c r="A848" t="s">
        <v>647</v>
      </c>
      <c r="B848" t="s">
        <v>3884</v>
      </c>
      <c r="C848" t="s">
        <v>3885</v>
      </c>
      <c r="D848" t="s">
        <v>3886</v>
      </c>
      <c r="E848" t="s">
        <v>16</v>
      </c>
      <c r="F848" t="s">
        <v>1244</v>
      </c>
      <c r="G848" s="2">
        <v>0.52777777777777779</v>
      </c>
      <c r="H848" t="s">
        <v>1200</v>
      </c>
      <c r="I848" t="s">
        <v>1201</v>
      </c>
      <c r="K848" t="s">
        <v>1250</v>
      </c>
      <c r="X848" t="s">
        <v>546</v>
      </c>
      <c r="Y848">
        <v>4</v>
      </c>
      <c r="Z848" t="s">
        <v>1266</v>
      </c>
      <c r="AB848" t="s">
        <v>1100</v>
      </c>
      <c r="AC848">
        <v>4</v>
      </c>
      <c r="AD848" t="s">
        <v>3670</v>
      </c>
    </row>
    <row r="849" spans="1:33" x14ac:dyDescent="0.3">
      <c r="A849" t="s">
        <v>647</v>
      </c>
      <c r="B849" t="s">
        <v>3887</v>
      </c>
      <c r="C849" t="s">
        <v>3888</v>
      </c>
      <c r="D849" t="s">
        <v>3889</v>
      </c>
      <c r="E849" t="s">
        <v>16</v>
      </c>
      <c r="F849" t="s">
        <v>1249</v>
      </c>
      <c r="G849" s="2">
        <v>0.52083333333333337</v>
      </c>
      <c r="H849" t="s">
        <v>1200</v>
      </c>
      <c r="I849" t="s">
        <v>1201</v>
      </c>
      <c r="K849" t="s">
        <v>1250</v>
      </c>
      <c r="X849" t="s">
        <v>546</v>
      </c>
      <c r="Y849">
        <v>3</v>
      </c>
      <c r="Z849" t="s">
        <v>1266</v>
      </c>
      <c r="AB849" t="s">
        <v>1100</v>
      </c>
      <c r="AC849">
        <v>4</v>
      </c>
      <c r="AD849" t="s">
        <v>1266</v>
      </c>
    </row>
    <row r="850" spans="1:33" x14ac:dyDescent="0.3">
      <c r="A850" t="s">
        <v>647</v>
      </c>
      <c r="B850" t="s">
        <v>3890</v>
      </c>
      <c r="C850" t="s">
        <v>3891</v>
      </c>
      <c r="D850" t="s">
        <v>3892</v>
      </c>
      <c r="E850" t="s">
        <v>16</v>
      </c>
      <c r="F850" t="s">
        <v>1406</v>
      </c>
      <c r="G850" s="2">
        <v>0.51388888888888895</v>
      </c>
      <c r="H850" t="s">
        <v>1200</v>
      </c>
      <c r="I850" t="s">
        <v>1201</v>
      </c>
      <c r="K850" t="s">
        <v>1250</v>
      </c>
      <c r="X850" t="s">
        <v>498</v>
      </c>
      <c r="Y850">
        <v>3</v>
      </c>
      <c r="Z850" t="s">
        <v>1266</v>
      </c>
      <c r="AB850" t="s">
        <v>546</v>
      </c>
      <c r="AC850">
        <v>4</v>
      </c>
      <c r="AD850" t="s">
        <v>1266</v>
      </c>
      <c r="AE850" t="s">
        <v>1100</v>
      </c>
      <c r="AF850">
        <v>4</v>
      </c>
      <c r="AG850" t="s">
        <v>1266</v>
      </c>
    </row>
    <row r="851" spans="1:33" x14ac:dyDescent="0.3">
      <c r="A851" t="s">
        <v>647</v>
      </c>
      <c r="B851" t="s">
        <v>3893</v>
      </c>
      <c r="C851" t="s">
        <v>3894</v>
      </c>
      <c r="D851" t="s">
        <v>3895</v>
      </c>
      <c r="E851" t="s">
        <v>16</v>
      </c>
      <c r="F851" t="s">
        <v>1254</v>
      </c>
      <c r="G851" s="2">
        <v>0.50694444444444442</v>
      </c>
      <c r="H851" t="s">
        <v>1200</v>
      </c>
      <c r="I851" t="s">
        <v>1201</v>
      </c>
      <c r="K851" t="s">
        <v>1250</v>
      </c>
      <c r="X851" t="s">
        <v>546</v>
      </c>
      <c r="Y851">
        <v>1</v>
      </c>
      <c r="Z851" t="s">
        <v>1266</v>
      </c>
      <c r="AB851" t="s">
        <v>1100</v>
      </c>
      <c r="AC851">
        <v>4</v>
      </c>
      <c r="AD851" t="s">
        <v>1266</v>
      </c>
    </row>
    <row r="852" spans="1:33" x14ac:dyDescent="0.3">
      <c r="A852" t="s">
        <v>647</v>
      </c>
      <c r="B852" t="s">
        <v>3896</v>
      </c>
      <c r="C852" t="s">
        <v>3897</v>
      </c>
      <c r="D852" t="s">
        <v>3898</v>
      </c>
      <c r="E852" t="s">
        <v>16</v>
      </c>
      <c r="F852" t="s">
        <v>1259</v>
      </c>
      <c r="G852" s="2">
        <v>0.5</v>
      </c>
      <c r="H852" t="s">
        <v>1200</v>
      </c>
      <c r="I852" t="s">
        <v>1201</v>
      </c>
      <c r="K852" t="s">
        <v>1250</v>
      </c>
      <c r="X852" t="s">
        <v>546</v>
      </c>
      <c r="Y852">
        <v>3</v>
      </c>
      <c r="Z852" t="s">
        <v>1266</v>
      </c>
      <c r="AB852" t="s">
        <v>1100</v>
      </c>
      <c r="AC852">
        <v>5</v>
      </c>
      <c r="AD852" t="s">
        <v>1266</v>
      </c>
    </row>
    <row r="853" spans="1:33" x14ac:dyDescent="0.3">
      <c r="A853" t="s">
        <v>651</v>
      </c>
      <c r="B853" t="s">
        <v>3899</v>
      </c>
      <c r="C853" t="s">
        <v>3900</v>
      </c>
      <c r="D853" t="s">
        <v>3901</v>
      </c>
      <c r="E853" t="s">
        <v>16</v>
      </c>
      <c r="F853" t="s">
        <v>3793</v>
      </c>
      <c r="G853" s="2">
        <v>0.74305555555555547</v>
      </c>
      <c r="H853" t="s">
        <v>1200</v>
      </c>
      <c r="I853" t="s">
        <v>1201</v>
      </c>
      <c r="L853" t="s">
        <v>1202</v>
      </c>
      <c r="X853" t="s">
        <v>1100</v>
      </c>
      <c r="Y853">
        <v>1</v>
      </c>
      <c r="Z853" t="s">
        <v>1203</v>
      </c>
      <c r="AB853" t="s">
        <v>546</v>
      </c>
      <c r="AC853">
        <v>3</v>
      </c>
      <c r="AD853" t="s">
        <v>1203</v>
      </c>
      <c r="AE853" t="s">
        <v>1100</v>
      </c>
      <c r="AF853">
        <v>4</v>
      </c>
      <c r="AG853" t="s">
        <v>1245</v>
      </c>
    </row>
    <row r="854" spans="1:33" x14ac:dyDescent="0.3">
      <c r="A854" t="s">
        <v>651</v>
      </c>
      <c r="B854" t="s">
        <v>3902</v>
      </c>
      <c r="C854" t="s">
        <v>3903</v>
      </c>
      <c r="D854" t="s">
        <v>3904</v>
      </c>
      <c r="E854" t="s">
        <v>16</v>
      </c>
      <c r="F854" t="s">
        <v>3169</v>
      </c>
      <c r="G854" s="2">
        <v>0.73611111111111116</v>
      </c>
      <c r="H854" t="s">
        <v>1200</v>
      </c>
      <c r="I854" t="s">
        <v>1201</v>
      </c>
      <c r="M854" t="s">
        <v>1292</v>
      </c>
    </row>
    <row r="855" spans="1:33" x14ac:dyDescent="0.3">
      <c r="A855" t="s">
        <v>651</v>
      </c>
      <c r="B855" t="s">
        <v>3905</v>
      </c>
      <c r="C855" t="s">
        <v>3906</v>
      </c>
      <c r="D855" t="s">
        <v>3907</v>
      </c>
      <c r="E855" t="s">
        <v>16</v>
      </c>
      <c r="F855" t="s">
        <v>1506</v>
      </c>
      <c r="G855" s="2">
        <v>0.72916666666666663</v>
      </c>
      <c r="H855" t="s">
        <v>1200</v>
      </c>
      <c r="I855" t="s">
        <v>1201</v>
      </c>
      <c r="M855" t="s">
        <v>1292</v>
      </c>
      <c r="X855" t="s">
        <v>1100</v>
      </c>
      <c r="Y855">
        <v>2</v>
      </c>
      <c r="Z855" t="s">
        <v>1266</v>
      </c>
      <c r="AB855" t="s">
        <v>498</v>
      </c>
      <c r="AC855">
        <v>3</v>
      </c>
      <c r="AD855" t="s">
        <v>1203</v>
      </c>
      <c r="AE855" t="s">
        <v>546</v>
      </c>
      <c r="AF855">
        <v>4</v>
      </c>
      <c r="AG855" t="s">
        <v>1245</v>
      </c>
    </row>
    <row r="856" spans="1:33" x14ac:dyDescent="0.3">
      <c r="A856" t="s">
        <v>651</v>
      </c>
      <c r="B856" t="s">
        <v>3908</v>
      </c>
      <c r="C856" t="s">
        <v>3909</v>
      </c>
      <c r="D856" t="s">
        <v>3910</v>
      </c>
      <c r="E856" t="s">
        <v>16</v>
      </c>
      <c r="F856" t="s">
        <v>1510</v>
      </c>
      <c r="G856" s="2">
        <v>0.72222222222222221</v>
      </c>
      <c r="H856" t="s">
        <v>1200</v>
      </c>
      <c r="I856" t="s">
        <v>1201</v>
      </c>
      <c r="M856" t="s">
        <v>1292</v>
      </c>
      <c r="X856" t="s">
        <v>1100</v>
      </c>
      <c r="Y856">
        <v>2</v>
      </c>
      <c r="Z856" t="s">
        <v>1245</v>
      </c>
      <c r="AB856" t="s">
        <v>498</v>
      </c>
      <c r="AC856">
        <v>3</v>
      </c>
      <c r="AD856" t="s">
        <v>1203</v>
      </c>
      <c r="AE856" t="s">
        <v>546</v>
      </c>
      <c r="AF856">
        <v>4</v>
      </c>
      <c r="AG856" t="s">
        <v>1245</v>
      </c>
    </row>
    <row r="857" spans="1:33" x14ac:dyDescent="0.3">
      <c r="A857" t="s">
        <v>651</v>
      </c>
      <c r="B857" t="s">
        <v>3911</v>
      </c>
      <c r="C857" t="s">
        <v>3912</v>
      </c>
      <c r="D857" t="s">
        <v>3913</v>
      </c>
      <c r="E857" t="s">
        <v>16</v>
      </c>
      <c r="F857" t="s">
        <v>1514</v>
      </c>
      <c r="G857" s="2">
        <v>0.71527777777777779</v>
      </c>
      <c r="H857" t="s">
        <v>1200</v>
      </c>
      <c r="I857" t="s">
        <v>1201</v>
      </c>
      <c r="M857" t="s">
        <v>1292</v>
      </c>
      <c r="X857" t="s">
        <v>1100</v>
      </c>
      <c r="Y857">
        <v>3</v>
      </c>
      <c r="Z857" t="s">
        <v>1266</v>
      </c>
      <c r="AB857" t="s">
        <v>498</v>
      </c>
      <c r="AC857">
        <v>2</v>
      </c>
      <c r="AD857" t="s">
        <v>1245</v>
      </c>
      <c r="AE857" t="s">
        <v>546</v>
      </c>
      <c r="AF857">
        <v>4</v>
      </c>
      <c r="AG857" t="s">
        <v>1717</v>
      </c>
    </row>
    <row r="858" spans="1:33" x14ac:dyDescent="0.3">
      <c r="A858" t="s">
        <v>651</v>
      </c>
      <c r="B858" t="s">
        <v>3914</v>
      </c>
      <c r="C858" t="s">
        <v>3915</v>
      </c>
      <c r="D858" t="s">
        <v>3916</v>
      </c>
      <c r="E858" t="s">
        <v>16</v>
      </c>
      <c r="F858" t="s">
        <v>1304</v>
      </c>
      <c r="G858" s="2">
        <v>0.70833333333333337</v>
      </c>
      <c r="H858" t="s">
        <v>1200</v>
      </c>
      <c r="I858" t="s">
        <v>1201</v>
      </c>
      <c r="M858" t="s">
        <v>1292</v>
      </c>
      <c r="X858" t="s">
        <v>1100</v>
      </c>
      <c r="Y858">
        <v>1</v>
      </c>
      <c r="Z858" t="s">
        <v>1245</v>
      </c>
      <c r="AB858" t="s">
        <v>546</v>
      </c>
      <c r="AC858">
        <v>3</v>
      </c>
      <c r="AD858" t="s">
        <v>1717</v>
      </c>
      <c r="AE858" t="s">
        <v>1100</v>
      </c>
      <c r="AF858">
        <v>3</v>
      </c>
      <c r="AG858" t="s">
        <v>3917</v>
      </c>
    </row>
    <row r="859" spans="1:33" x14ac:dyDescent="0.3">
      <c r="A859" t="s">
        <v>651</v>
      </c>
      <c r="B859" t="s">
        <v>3918</v>
      </c>
      <c r="C859" t="s">
        <v>3919</v>
      </c>
      <c r="D859" t="s">
        <v>3920</v>
      </c>
      <c r="E859" t="s">
        <v>16</v>
      </c>
      <c r="F859" t="s">
        <v>1308</v>
      </c>
      <c r="G859" s="2">
        <v>0.70138888888888884</v>
      </c>
      <c r="H859" t="s">
        <v>1200</v>
      </c>
      <c r="I859" t="s">
        <v>1201</v>
      </c>
      <c r="M859" t="s">
        <v>1292</v>
      </c>
      <c r="X859" t="s">
        <v>1100</v>
      </c>
      <c r="Y859">
        <v>2</v>
      </c>
      <c r="Z859" t="s">
        <v>1266</v>
      </c>
      <c r="AB859" t="s">
        <v>546</v>
      </c>
      <c r="AC859">
        <v>3</v>
      </c>
      <c r="AD859" t="s">
        <v>1245</v>
      </c>
      <c r="AE859" t="s">
        <v>1100</v>
      </c>
      <c r="AF859">
        <v>3</v>
      </c>
      <c r="AG859" t="s">
        <v>1496</v>
      </c>
    </row>
    <row r="860" spans="1:33" x14ac:dyDescent="0.3">
      <c r="A860" t="s">
        <v>651</v>
      </c>
      <c r="B860" t="s">
        <v>3921</v>
      </c>
      <c r="C860" t="s">
        <v>3922</v>
      </c>
      <c r="D860" t="s">
        <v>3923</v>
      </c>
      <c r="E860" t="s">
        <v>16</v>
      </c>
      <c r="F860" t="s">
        <v>1313</v>
      </c>
      <c r="G860" s="2">
        <v>0.69444444444444453</v>
      </c>
      <c r="H860" t="s">
        <v>1200</v>
      </c>
      <c r="I860" t="s">
        <v>1201</v>
      </c>
      <c r="M860" t="s">
        <v>1292</v>
      </c>
      <c r="X860" t="s">
        <v>1100</v>
      </c>
      <c r="Y860">
        <v>1</v>
      </c>
      <c r="Z860" t="s">
        <v>1245</v>
      </c>
      <c r="AB860" t="s">
        <v>546</v>
      </c>
      <c r="AC860">
        <v>3</v>
      </c>
      <c r="AD860" t="s">
        <v>1245</v>
      </c>
      <c r="AE860" t="s">
        <v>1100</v>
      </c>
      <c r="AF860">
        <v>3</v>
      </c>
      <c r="AG860" t="s">
        <v>1245</v>
      </c>
    </row>
    <row r="861" spans="1:33" x14ac:dyDescent="0.3">
      <c r="A861" t="s">
        <v>651</v>
      </c>
      <c r="B861" t="s">
        <v>3924</v>
      </c>
      <c r="C861" t="s">
        <v>3925</v>
      </c>
      <c r="D861" t="s">
        <v>3926</v>
      </c>
      <c r="E861" t="s">
        <v>16</v>
      </c>
      <c r="F861" t="s">
        <v>1317</v>
      </c>
      <c r="G861" s="2">
        <v>0.6875</v>
      </c>
      <c r="H861" t="s">
        <v>1200</v>
      </c>
      <c r="I861" t="s">
        <v>1201</v>
      </c>
      <c r="M861" t="s">
        <v>1292</v>
      </c>
      <c r="X861" t="s">
        <v>1100</v>
      </c>
      <c r="Y861">
        <v>1</v>
      </c>
      <c r="Z861" t="s">
        <v>1245</v>
      </c>
      <c r="AB861" t="s">
        <v>546</v>
      </c>
      <c r="AC861">
        <v>4</v>
      </c>
      <c r="AD861" t="s">
        <v>1245</v>
      </c>
      <c r="AE861" t="s">
        <v>1100</v>
      </c>
      <c r="AF861">
        <v>2</v>
      </c>
      <c r="AG861" t="s">
        <v>1717</v>
      </c>
    </row>
    <row r="862" spans="1:33" x14ac:dyDescent="0.3">
      <c r="A862" t="s">
        <v>651</v>
      </c>
      <c r="B862" t="s">
        <v>3927</v>
      </c>
      <c r="C862" t="s">
        <v>3928</v>
      </c>
      <c r="D862" t="s">
        <v>3929</v>
      </c>
      <c r="E862" t="s">
        <v>16</v>
      </c>
      <c r="F862" t="s">
        <v>1321</v>
      </c>
      <c r="G862" s="2">
        <v>0.68055555555555547</v>
      </c>
      <c r="H862" t="s">
        <v>1200</v>
      </c>
      <c r="I862" t="s">
        <v>1201</v>
      </c>
      <c r="M862" t="s">
        <v>1292</v>
      </c>
      <c r="X862" t="s">
        <v>1100</v>
      </c>
      <c r="Y862">
        <v>2</v>
      </c>
      <c r="Z862" t="s">
        <v>1245</v>
      </c>
      <c r="AB862" t="s">
        <v>546</v>
      </c>
      <c r="AC862">
        <v>3</v>
      </c>
      <c r="AD862" t="s">
        <v>1245</v>
      </c>
      <c r="AE862" t="s">
        <v>1100</v>
      </c>
      <c r="AF862">
        <v>4</v>
      </c>
      <c r="AG862" t="s">
        <v>1266</v>
      </c>
    </row>
    <row r="863" spans="1:33" x14ac:dyDescent="0.3">
      <c r="A863" t="s">
        <v>651</v>
      </c>
      <c r="B863" t="s">
        <v>3930</v>
      </c>
      <c r="C863" t="s">
        <v>3931</v>
      </c>
      <c r="D863" t="s">
        <v>3932</v>
      </c>
      <c r="E863" t="s">
        <v>16</v>
      </c>
      <c r="F863" t="s">
        <v>1325</v>
      </c>
      <c r="G863" s="2">
        <v>0.67361111111111116</v>
      </c>
      <c r="H863" t="s">
        <v>1200</v>
      </c>
      <c r="I863" t="s">
        <v>1201</v>
      </c>
      <c r="K863" t="s">
        <v>1250</v>
      </c>
      <c r="X863" t="s">
        <v>1100</v>
      </c>
      <c r="Y863">
        <v>1</v>
      </c>
      <c r="Z863" t="s">
        <v>1266</v>
      </c>
      <c r="AB863" t="s">
        <v>546</v>
      </c>
      <c r="AC863">
        <v>3</v>
      </c>
      <c r="AD863" t="s">
        <v>1266</v>
      </c>
      <c r="AE863" t="s">
        <v>1100</v>
      </c>
      <c r="AF863">
        <v>3</v>
      </c>
      <c r="AG863" t="s">
        <v>1266</v>
      </c>
    </row>
    <row r="864" spans="1:33" x14ac:dyDescent="0.3">
      <c r="A864" t="s">
        <v>651</v>
      </c>
      <c r="B864" t="s">
        <v>3933</v>
      </c>
      <c r="C864" t="s">
        <v>3934</v>
      </c>
      <c r="D864" t="s">
        <v>3935</v>
      </c>
      <c r="E864" t="s">
        <v>16</v>
      </c>
      <c r="F864" t="s">
        <v>1329</v>
      </c>
      <c r="G864" s="2">
        <v>0.66666666666666663</v>
      </c>
      <c r="H864" t="s">
        <v>1200</v>
      </c>
      <c r="I864" t="s">
        <v>1201</v>
      </c>
      <c r="K864" t="s">
        <v>1250</v>
      </c>
      <c r="X864" t="s">
        <v>1100</v>
      </c>
      <c r="Y864">
        <v>1</v>
      </c>
      <c r="Z864" t="s">
        <v>3670</v>
      </c>
      <c r="AB864" t="s">
        <v>546</v>
      </c>
      <c r="AC864">
        <v>4</v>
      </c>
      <c r="AD864" t="s">
        <v>1245</v>
      </c>
      <c r="AE864" t="s">
        <v>1100</v>
      </c>
      <c r="AF864">
        <v>5</v>
      </c>
      <c r="AG864" t="s">
        <v>1245</v>
      </c>
    </row>
    <row r="865" spans="1:33" x14ac:dyDescent="0.3">
      <c r="A865" t="s">
        <v>651</v>
      </c>
      <c r="B865" t="s">
        <v>3936</v>
      </c>
      <c r="C865" t="s">
        <v>3937</v>
      </c>
      <c r="D865" t="s">
        <v>3938</v>
      </c>
      <c r="E865" t="s">
        <v>16</v>
      </c>
      <c r="F865" t="s">
        <v>1333</v>
      </c>
      <c r="G865" s="2">
        <v>0.65972222222222221</v>
      </c>
      <c r="H865" t="s">
        <v>1200</v>
      </c>
      <c r="I865" t="s">
        <v>1201</v>
      </c>
      <c r="M865" t="s">
        <v>1292</v>
      </c>
      <c r="X865" t="s">
        <v>1100</v>
      </c>
      <c r="Y865">
        <v>2</v>
      </c>
      <c r="Z865" t="s">
        <v>1245</v>
      </c>
      <c r="AB865" t="s">
        <v>546</v>
      </c>
      <c r="AC865">
        <v>3</v>
      </c>
      <c r="AD865" t="s">
        <v>1245</v>
      </c>
      <c r="AE865" t="s">
        <v>546</v>
      </c>
      <c r="AF865">
        <v>3</v>
      </c>
      <c r="AG865" t="s">
        <v>1245</v>
      </c>
    </row>
    <row r="866" spans="1:33" x14ac:dyDescent="0.3">
      <c r="A866" t="s">
        <v>651</v>
      </c>
      <c r="B866" t="s">
        <v>3939</v>
      </c>
      <c r="C866" t="s">
        <v>3940</v>
      </c>
      <c r="D866" t="s">
        <v>3941</v>
      </c>
      <c r="E866" t="s">
        <v>16</v>
      </c>
      <c r="F866" t="s">
        <v>1338</v>
      </c>
      <c r="G866" s="2">
        <v>0.65277777777777779</v>
      </c>
      <c r="H866" t="s">
        <v>1200</v>
      </c>
      <c r="I866" t="s">
        <v>1201</v>
      </c>
      <c r="M866" t="s">
        <v>1292</v>
      </c>
      <c r="X866" t="s">
        <v>1100</v>
      </c>
      <c r="Y866">
        <v>2</v>
      </c>
      <c r="Z866" t="s">
        <v>1245</v>
      </c>
      <c r="AB866" t="s">
        <v>546</v>
      </c>
      <c r="AC866">
        <v>3</v>
      </c>
      <c r="AD866" t="s">
        <v>1245</v>
      </c>
      <c r="AE866" t="s">
        <v>546</v>
      </c>
      <c r="AF866">
        <v>3</v>
      </c>
      <c r="AG866" t="s">
        <v>1245</v>
      </c>
    </row>
    <row r="867" spans="1:33" x14ac:dyDescent="0.3">
      <c r="A867" t="s">
        <v>651</v>
      </c>
      <c r="B867" t="s">
        <v>3942</v>
      </c>
      <c r="C867" t="s">
        <v>3943</v>
      </c>
      <c r="D867" t="s">
        <v>3944</v>
      </c>
      <c r="E867" t="s">
        <v>16</v>
      </c>
      <c r="F867" t="s">
        <v>1342</v>
      </c>
      <c r="G867" s="2">
        <v>0.64583333333333337</v>
      </c>
      <c r="H867" t="s">
        <v>1200</v>
      </c>
      <c r="I867" t="s">
        <v>1201</v>
      </c>
      <c r="K867" t="s">
        <v>1250</v>
      </c>
      <c r="S867" t="s">
        <v>1224</v>
      </c>
      <c r="T867" t="s">
        <v>1676</v>
      </c>
      <c r="V867" t="s">
        <v>2121</v>
      </c>
      <c r="W867" t="s">
        <v>1227</v>
      </c>
      <c r="X867" t="s">
        <v>1100</v>
      </c>
      <c r="Y867">
        <v>2</v>
      </c>
      <c r="Z867" t="s">
        <v>1266</v>
      </c>
    </row>
    <row r="868" spans="1:33" x14ac:dyDescent="0.3">
      <c r="A868" t="s">
        <v>651</v>
      </c>
      <c r="B868" t="s">
        <v>3945</v>
      </c>
      <c r="C868" t="s">
        <v>3946</v>
      </c>
      <c r="D868" t="s">
        <v>3947</v>
      </c>
      <c r="E868" t="s">
        <v>16</v>
      </c>
      <c r="F868" t="s">
        <v>1346</v>
      </c>
      <c r="G868" s="2">
        <v>0.63888888888888895</v>
      </c>
      <c r="H868" t="s">
        <v>1200</v>
      </c>
      <c r="I868" t="s">
        <v>1201</v>
      </c>
      <c r="L868" t="s">
        <v>1222</v>
      </c>
      <c r="S868" t="s">
        <v>1224</v>
      </c>
      <c r="T868" t="s">
        <v>1676</v>
      </c>
      <c r="V868" t="s">
        <v>2121</v>
      </c>
      <c r="W868" t="s">
        <v>1227</v>
      </c>
      <c r="X868" t="s">
        <v>1100</v>
      </c>
      <c r="Y868">
        <v>1</v>
      </c>
      <c r="Z868" t="s">
        <v>1228</v>
      </c>
      <c r="AB868" t="s">
        <v>498</v>
      </c>
      <c r="AC868">
        <v>3</v>
      </c>
      <c r="AD868" t="s">
        <v>1228</v>
      </c>
    </row>
    <row r="869" spans="1:33" x14ac:dyDescent="0.3">
      <c r="A869" t="s">
        <v>651</v>
      </c>
      <c r="B869" t="s">
        <v>3948</v>
      </c>
      <c r="C869" t="s">
        <v>3949</v>
      </c>
      <c r="D869" t="s">
        <v>3950</v>
      </c>
      <c r="E869" t="s">
        <v>16</v>
      </c>
      <c r="F869" t="s">
        <v>1350</v>
      </c>
      <c r="G869" s="2">
        <v>0.63194444444444442</v>
      </c>
      <c r="H869" t="s">
        <v>1200</v>
      </c>
      <c r="I869" t="s">
        <v>1201</v>
      </c>
      <c r="L869" t="s">
        <v>1222</v>
      </c>
      <c r="S869" t="s">
        <v>1224</v>
      </c>
      <c r="T869" t="s">
        <v>1676</v>
      </c>
      <c r="V869" t="s">
        <v>1226</v>
      </c>
      <c r="W869" t="s">
        <v>1677</v>
      </c>
      <c r="X869" t="s">
        <v>1100</v>
      </c>
      <c r="Y869">
        <v>1</v>
      </c>
      <c r="Z869" t="s">
        <v>1203</v>
      </c>
      <c r="AB869" t="s">
        <v>498</v>
      </c>
      <c r="AC869">
        <v>6</v>
      </c>
      <c r="AD869" t="s">
        <v>1228</v>
      </c>
    </row>
    <row r="870" spans="1:33" x14ac:dyDescent="0.3">
      <c r="A870" t="s">
        <v>651</v>
      </c>
      <c r="B870" t="s">
        <v>3951</v>
      </c>
      <c r="C870" t="s">
        <v>3952</v>
      </c>
      <c r="D870" t="s">
        <v>3953</v>
      </c>
      <c r="E870" t="s">
        <v>16</v>
      </c>
      <c r="F870" t="s">
        <v>1354</v>
      </c>
      <c r="G870" s="2">
        <v>0.625</v>
      </c>
      <c r="H870" t="s">
        <v>1200</v>
      </c>
      <c r="I870" t="s">
        <v>1201</v>
      </c>
      <c r="L870" t="s">
        <v>1222</v>
      </c>
      <c r="S870" t="s">
        <v>1224</v>
      </c>
      <c r="T870" t="s">
        <v>1676</v>
      </c>
      <c r="V870" t="s">
        <v>1226</v>
      </c>
      <c r="W870" t="s">
        <v>1677</v>
      </c>
      <c r="X870" t="s">
        <v>1100</v>
      </c>
      <c r="Y870">
        <v>1</v>
      </c>
      <c r="Z870" t="s">
        <v>1203</v>
      </c>
    </row>
    <row r="871" spans="1:33" x14ac:dyDescent="0.3">
      <c r="A871" t="s">
        <v>651</v>
      </c>
      <c r="B871" t="s">
        <v>3954</v>
      </c>
      <c r="C871" t="s">
        <v>3955</v>
      </c>
      <c r="D871" t="s">
        <v>3956</v>
      </c>
      <c r="E871" t="s">
        <v>16</v>
      </c>
      <c r="F871" t="s">
        <v>1558</v>
      </c>
      <c r="G871" s="2">
        <v>0.61805555555555558</v>
      </c>
      <c r="H871" t="s">
        <v>1200</v>
      </c>
      <c r="I871" t="s">
        <v>1201</v>
      </c>
      <c r="L871" t="s">
        <v>1222</v>
      </c>
      <c r="X871" t="s">
        <v>1100</v>
      </c>
      <c r="Y871">
        <v>0</v>
      </c>
      <c r="Z871" t="s">
        <v>1203</v>
      </c>
    </row>
    <row r="872" spans="1:33" x14ac:dyDescent="0.3">
      <c r="A872" t="s">
        <v>651</v>
      </c>
      <c r="B872" t="s">
        <v>3957</v>
      </c>
      <c r="C872" t="s">
        <v>3958</v>
      </c>
      <c r="D872" t="s">
        <v>3959</v>
      </c>
      <c r="E872" t="s">
        <v>16</v>
      </c>
      <c r="F872" t="s">
        <v>1358</v>
      </c>
      <c r="G872" s="2">
        <v>0.61111111111111105</v>
      </c>
      <c r="H872" t="s">
        <v>1200</v>
      </c>
      <c r="I872" t="s">
        <v>1201</v>
      </c>
      <c r="L872" t="s">
        <v>1222</v>
      </c>
      <c r="X872" t="s">
        <v>1100</v>
      </c>
      <c r="Y872">
        <v>0</v>
      </c>
      <c r="Z872" t="s">
        <v>1203</v>
      </c>
    </row>
    <row r="873" spans="1:33" x14ac:dyDescent="0.3">
      <c r="A873" t="s">
        <v>651</v>
      </c>
      <c r="B873" t="s">
        <v>3960</v>
      </c>
      <c r="C873" t="s">
        <v>3961</v>
      </c>
      <c r="D873" t="s">
        <v>3962</v>
      </c>
      <c r="E873" t="s">
        <v>16</v>
      </c>
      <c r="F873" t="s">
        <v>1362</v>
      </c>
      <c r="G873" s="2">
        <v>0.60416666666666663</v>
      </c>
      <c r="H873" t="s">
        <v>1200</v>
      </c>
      <c r="I873" t="s">
        <v>1201</v>
      </c>
      <c r="L873" t="s">
        <v>1363</v>
      </c>
      <c r="X873" t="s">
        <v>1100</v>
      </c>
      <c r="Y873">
        <v>0</v>
      </c>
      <c r="Z873" t="s">
        <v>1396</v>
      </c>
    </row>
    <row r="874" spans="1:33" x14ac:dyDescent="0.3">
      <c r="A874" t="s">
        <v>651</v>
      </c>
      <c r="B874" t="s">
        <v>3963</v>
      </c>
      <c r="C874" t="s">
        <v>3964</v>
      </c>
      <c r="D874" t="s">
        <v>3965</v>
      </c>
      <c r="E874" t="s">
        <v>16</v>
      </c>
      <c r="F874" t="s">
        <v>1367</v>
      </c>
      <c r="G874" s="2">
        <v>0.59722222222222221</v>
      </c>
      <c r="H874" t="s">
        <v>1200</v>
      </c>
      <c r="I874" t="s">
        <v>1201</v>
      </c>
      <c r="L874" t="s">
        <v>1363</v>
      </c>
      <c r="X874" t="s">
        <v>1100</v>
      </c>
      <c r="Y874">
        <v>0</v>
      </c>
      <c r="Z874" t="s">
        <v>1396</v>
      </c>
    </row>
    <row r="875" spans="1:33" x14ac:dyDescent="0.3">
      <c r="A875" t="s">
        <v>651</v>
      </c>
      <c r="B875" t="s">
        <v>3966</v>
      </c>
      <c r="C875" t="s">
        <v>3967</v>
      </c>
      <c r="D875" t="s">
        <v>3968</v>
      </c>
      <c r="E875" t="s">
        <v>16</v>
      </c>
      <c r="F875" t="s">
        <v>1371</v>
      </c>
      <c r="G875" s="2">
        <v>0.59027777777777779</v>
      </c>
      <c r="H875" t="s">
        <v>1200</v>
      </c>
      <c r="I875" t="s">
        <v>1201</v>
      </c>
      <c r="N875" t="s">
        <v>3969</v>
      </c>
      <c r="O875" t="s">
        <v>3970</v>
      </c>
      <c r="P875" t="s">
        <v>3971</v>
      </c>
      <c r="X875" t="s">
        <v>1100</v>
      </c>
      <c r="Y875">
        <v>0</v>
      </c>
      <c r="Z875" t="s">
        <v>2521</v>
      </c>
    </row>
    <row r="876" spans="1:33" x14ac:dyDescent="0.3">
      <c r="A876" t="s">
        <v>651</v>
      </c>
      <c r="B876" t="s">
        <v>3972</v>
      </c>
      <c r="C876" t="s">
        <v>3973</v>
      </c>
      <c r="D876" t="s">
        <v>3974</v>
      </c>
      <c r="E876" t="s">
        <v>16</v>
      </c>
      <c r="F876" t="s">
        <v>1199</v>
      </c>
      <c r="G876" s="2">
        <v>0.58333333333333337</v>
      </c>
      <c r="H876" t="s">
        <v>1200</v>
      </c>
      <c r="I876" t="s">
        <v>1201</v>
      </c>
      <c r="L876" t="s">
        <v>1202</v>
      </c>
      <c r="X876" t="s">
        <v>1100</v>
      </c>
      <c r="Y876">
        <v>1</v>
      </c>
      <c r="Z876" t="s">
        <v>1203</v>
      </c>
    </row>
    <row r="877" spans="1:33" x14ac:dyDescent="0.3">
      <c r="A877" t="s">
        <v>651</v>
      </c>
      <c r="B877" t="s">
        <v>3975</v>
      </c>
      <c r="C877" t="s">
        <v>3976</v>
      </c>
      <c r="D877" t="s">
        <v>3977</v>
      </c>
      <c r="E877" t="s">
        <v>16</v>
      </c>
      <c r="F877" t="s">
        <v>1207</v>
      </c>
      <c r="G877" s="2">
        <v>0.57638888888888895</v>
      </c>
      <c r="H877" t="s">
        <v>1200</v>
      </c>
      <c r="I877" t="s">
        <v>1201</v>
      </c>
      <c r="K877" t="s">
        <v>1250</v>
      </c>
      <c r="X877" t="s">
        <v>1100</v>
      </c>
      <c r="Y877">
        <v>2</v>
      </c>
      <c r="Z877" t="s">
        <v>1266</v>
      </c>
      <c r="AB877" t="s">
        <v>752</v>
      </c>
      <c r="AC877">
        <v>4</v>
      </c>
      <c r="AD877" t="s">
        <v>1203</v>
      </c>
    </row>
    <row r="878" spans="1:33" x14ac:dyDescent="0.3">
      <c r="A878" t="s">
        <v>651</v>
      </c>
      <c r="B878" t="s">
        <v>3978</v>
      </c>
      <c r="C878" t="s">
        <v>3979</v>
      </c>
      <c r="D878" t="s">
        <v>3980</v>
      </c>
      <c r="E878" t="s">
        <v>16</v>
      </c>
      <c r="F878" t="s">
        <v>1211</v>
      </c>
      <c r="G878" s="2">
        <v>0.56944444444444442</v>
      </c>
      <c r="H878" t="s">
        <v>1200</v>
      </c>
      <c r="I878" t="s">
        <v>1201</v>
      </c>
      <c r="M878" t="s">
        <v>1640</v>
      </c>
      <c r="X878" t="s">
        <v>1100</v>
      </c>
      <c r="Y878">
        <v>3</v>
      </c>
      <c r="Z878" t="s">
        <v>1245</v>
      </c>
      <c r="AB878" t="s">
        <v>498</v>
      </c>
      <c r="AC878">
        <v>3</v>
      </c>
      <c r="AD878" t="s">
        <v>1245</v>
      </c>
    </row>
    <row r="879" spans="1:33" x14ac:dyDescent="0.3">
      <c r="A879" t="s">
        <v>651</v>
      </c>
      <c r="B879" t="s">
        <v>3981</v>
      </c>
      <c r="C879" t="s">
        <v>3982</v>
      </c>
      <c r="D879" t="s">
        <v>3983</v>
      </c>
      <c r="E879" t="s">
        <v>16</v>
      </c>
      <c r="F879" t="s">
        <v>1215</v>
      </c>
      <c r="G879" s="2">
        <v>0.5625</v>
      </c>
      <c r="H879" t="s">
        <v>1200</v>
      </c>
      <c r="I879" t="s">
        <v>1201</v>
      </c>
      <c r="M879" t="s">
        <v>1640</v>
      </c>
      <c r="X879" t="s">
        <v>498</v>
      </c>
      <c r="Y879">
        <v>2</v>
      </c>
      <c r="Z879" t="s">
        <v>2047</v>
      </c>
      <c r="AB879" t="s">
        <v>1100</v>
      </c>
      <c r="AC879">
        <v>3</v>
      </c>
      <c r="AD879" t="s">
        <v>1245</v>
      </c>
    </row>
    <row r="880" spans="1:33" x14ac:dyDescent="0.3">
      <c r="A880" t="s">
        <v>651</v>
      </c>
      <c r="B880" t="s">
        <v>3984</v>
      </c>
      <c r="C880" t="s">
        <v>3985</v>
      </c>
      <c r="D880" t="s">
        <v>3986</v>
      </c>
      <c r="E880" t="s">
        <v>16</v>
      </c>
      <c r="F880" t="s">
        <v>1221</v>
      </c>
      <c r="G880" s="2">
        <v>0.55555555555555558</v>
      </c>
      <c r="H880" t="s">
        <v>1200</v>
      </c>
      <c r="I880" t="s">
        <v>1201</v>
      </c>
      <c r="K880" t="s">
        <v>1250</v>
      </c>
      <c r="S880" t="s">
        <v>1224</v>
      </c>
      <c r="T880" t="s">
        <v>1703</v>
      </c>
      <c r="V880" t="s">
        <v>1226</v>
      </c>
      <c r="W880" t="s">
        <v>2149</v>
      </c>
      <c r="X880" t="s">
        <v>1100</v>
      </c>
      <c r="Y880">
        <v>2</v>
      </c>
      <c r="Z880" t="s">
        <v>1496</v>
      </c>
      <c r="AB880" t="s">
        <v>546</v>
      </c>
      <c r="AC880">
        <v>4</v>
      </c>
      <c r="AD880" t="s">
        <v>1496</v>
      </c>
    </row>
    <row r="881" spans="1:33" x14ac:dyDescent="0.3">
      <c r="A881" t="s">
        <v>651</v>
      </c>
      <c r="B881" t="s">
        <v>3987</v>
      </c>
      <c r="C881" t="s">
        <v>3988</v>
      </c>
      <c r="D881" t="s">
        <v>3989</v>
      </c>
      <c r="E881" t="s">
        <v>16</v>
      </c>
      <c r="F881" t="s">
        <v>1232</v>
      </c>
      <c r="G881" s="2">
        <v>0.54861111111111105</v>
      </c>
      <c r="H881" t="s">
        <v>1200</v>
      </c>
      <c r="I881" t="s">
        <v>1201</v>
      </c>
      <c r="K881" t="s">
        <v>1250</v>
      </c>
      <c r="S881" t="s">
        <v>1224</v>
      </c>
      <c r="T881" t="s">
        <v>1703</v>
      </c>
      <c r="V881" t="s">
        <v>1226</v>
      </c>
      <c r="W881" t="s">
        <v>2149</v>
      </c>
      <c r="X881" t="s">
        <v>1100</v>
      </c>
      <c r="Y881">
        <v>2</v>
      </c>
      <c r="Z881" t="s">
        <v>1266</v>
      </c>
      <c r="AB881" t="s">
        <v>498</v>
      </c>
      <c r="AC881">
        <v>3</v>
      </c>
      <c r="AD881" t="s">
        <v>3990</v>
      </c>
    </row>
    <row r="882" spans="1:33" x14ac:dyDescent="0.3">
      <c r="A882" t="s">
        <v>651</v>
      </c>
      <c r="B882" t="s">
        <v>3991</v>
      </c>
      <c r="C882" t="s">
        <v>3992</v>
      </c>
      <c r="D882" t="s">
        <v>3993</v>
      </c>
      <c r="E882" t="s">
        <v>16</v>
      </c>
      <c r="F882" t="s">
        <v>1236</v>
      </c>
      <c r="G882" s="2">
        <v>0.54166666666666663</v>
      </c>
      <c r="H882" t="s">
        <v>1200</v>
      </c>
      <c r="I882" t="s">
        <v>1201</v>
      </c>
      <c r="K882" t="s">
        <v>1250</v>
      </c>
      <c r="S882" t="s">
        <v>1224</v>
      </c>
      <c r="T882" t="s">
        <v>1703</v>
      </c>
      <c r="V882" t="s">
        <v>1226</v>
      </c>
      <c r="W882" t="s">
        <v>2149</v>
      </c>
      <c r="X882" t="s">
        <v>1100</v>
      </c>
      <c r="Y882">
        <v>1</v>
      </c>
      <c r="Z882" t="s">
        <v>1266</v>
      </c>
      <c r="AB882" t="s">
        <v>546</v>
      </c>
      <c r="AC882">
        <v>4</v>
      </c>
      <c r="AD882" t="s">
        <v>1228</v>
      </c>
      <c r="AE882" t="s">
        <v>1100</v>
      </c>
      <c r="AF882">
        <v>4</v>
      </c>
      <c r="AG882" t="s">
        <v>1228</v>
      </c>
    </row>
    <row r="883" spans="1:33" x14ac:dyDescent="0.3">
      <c r="A883" t="s">
        <v>651</v>
      </c>
      <c r="B883" t="s">
        <v>3994</v>
      </c>
      <c r="C883" t="s">
        <v>3995</v>
      </c>
      <c r="D883" t="s">
        <v>3996</v>
      </c>
      <c r="E883" t="s">
        <v>16</v>
      </c>
      <c r="F883" t="s">
        <v>1240</v>
      </c>
      <c r="G883" s="2">
        <v>0.53472222222222221</v>
      </c>
      <c r="H883" t="s">
        <v>1200</v>
      </c>
      <c r="I883" t="s">
        <v>1201</v>
      </c>
      <c r="K883" t="s">
        <v>1250</v>
      </c>
      <c r="X883" t="s">
        <v>1100</v>
      </c>
      <c r="Y883">
        <v>1</v>
      </c>
      <c r="Z883" t="s">
        <v>1266</v>
      </c>
      <c r="AB883" t="s">
        <v>546</v>
      </c>
      <c r="AC883">
        <v>5</v>
      </c>
      <c r="AD883" t="s">
        <v>1245</v>
      </c>
    </row>
    <row r="884" spans="1:33" x14ac:dyDescent="0.3">
      <c r="A884" t="s">
        <v>651</v>
      </c>
      <c r="B884" t="s">
        <v>3997</v>
      </c>
      <c r="C884" t="s">
        <v>3998</v>
      </c>
      <c r="D884" t="s">
        <v>3999</v>
      </c>
      <c r="E884" t="s">
        <v>16</v>
      </c>
      <c r="F884" t="s">
        <v>1244</v>
      </c>
      <c r="G884" s="2">
        <v>0.52777777777777779</v>
      </c>
      <c r="H884" t="s">
        <v>1200</v>
      </c>
      <c r="I884" t="s">
        <v>1201</v>
      </c>
      <c r="K884" t="s">
        <v>1250</v>
      </c>
      <c r="X884" t="s">
        <v>1100</v>
      </c>
      <c r="Y884">
        <v>2</v>
      </c>
      <c r="Z884" t="s">
        <v>1266</v>
      </c>
      <c r="AB884" t="s">
        <v>752</v>
      </c>
      <c r="AC884">
        <v>3</v>
      </c>
      <c r="AD884" t="s">
        <v>1266</v>
      </c>
    </row>
    <row r="885" spans="1:33" x14ac:dyDescent="0.3">
      <c r="A885" t="s">
        <v>651</v>
      </c>
      <c r="B885" t="s">
        <v>4000</v>
      </c>
      <c r="C885" t="s">
        <v>4001</v>
      </c>
      <c r="D885" t="s">
        <v>4002</v>
      </c>
      <c r="E885" t="s">
        <v>16</v>
      </c>
      <c r="F885" t="s">
        <v>1249</v>
      </c>
      <c r="G885" s="2">
        <v>0.52083333333333337</v>
      </c>
      <c r="H885" t="s">
        <v>1200</v>
      </c>
      <c r="I885" t="s">
        <v>1201</v>
      </c>
      <c r="L885" t="s">
        <v>1202</v>
      </c>
      <c r="X885" t="s">
        <v>1100</v>
      </c>
      <c r="Y885">
        <v>2</v>
      </c>
      <c r="Z885" t="s">
        <v>1496</v>
      </c>
      <c r="AB885" t="s">
        <v>498</v>
      </c>
      <c r="AC885">
        <v>3</v>
      </c>
      <c r="AD885" t="s">
        <v>1228</v>
      </c>
    </row>
    <row r="886" spans="1:33" x14ac:dyDescent="0.3">
      <c r="A886" t="s">
        <v>651</v>
      </c>
      <c r="B886" t="s">
        <v>4003</v>
      </c>
      <c r="C886" t="s">
        <v>4004</v>
      </c>
      <c r="D886" t="s">
        <v>4005</v>
      </c>
      <c r="E886" t="s">
        <v>16</v>
      </c>
      <c r="F886" t="s">
        <v>1406</v>
      </c>
      <c r="G886" s="2">
        <v>0.51388888888888895</v>
      </c>
      <c r="H886" t="s">
        <v>1200</v>
      </c>
      <c r="I886" t="s">
        <v>1201</v>
      </c>
      <c r="L886" t="s">
        <v>1202</v>
      </c>
      <c r="X886" t="s">
        <v>1100</v>
      </c>
      <c r="Y886">
        <v>2</v>
      </c>
      <c r="Z886" t="s">
        <v>1203</v>
      </c>
      <c r="AB886" t="s">
        <v>498</v>
      </c>
      <c r="AC886">
        <v>3</v>
      </c>
      <c r="AD886" t="s">
        <v>1496</v>
      </c>
    </row>
    <row r="887" spans="1:33" x14ac:dyDescent="0.3">
      <c r="A887" t="s">
        <v>651</v>
      </c>
      <c r="B887" t="s">
        <v>4006</v>
      </c>
      <c r="C887" t="s">
        <v>4007</v>
      </c>
      <c r="D887" t="s">
        <v>4008</v>
      </c>
      <c r="E887" t="s">
        <v>16</v>
      </c>
      <c r="F887" t="s">
        <v>1254</v>
      </c>
      <c r="G887" s="2">
        <v>0.50694444444444442</v>
      </c>
      <c r="H887" t="s">
        <v>1200</v>
      </c>
      <c r="I887" t="s">
        <v>1201</v>
      </c>
      <c r="L887" t="s">
        <v>1202</v>
      </c>
      <c r="X887" t="s">
        <v>1100</v>
      </c>
      <c r="Y887">
        <v>2</v>
      </c>
      <c r="Z887" t="s">
        <v>1203</v>
      </c>
      <c r="AB887" t="s">
        <v>498</v>
      </c>
      <c r="AC887">
        <v>3</v>
      </c>
      <c r="AD887" t="s">
        <v>1203</v>
      </c>
    </row>
    <row r="888" spans="1:33" x14ac:dyDescent="0.3">
      <c r="A888" t="s">
        <v>651</v>
      </c>
      <c r="B888" t="s">
        <v>4009</v>
      </c>
      <c r="C888" t="s">
        <v>4010</v>
      </c>
      <c r="D888" t="s">
        <v>4011</v>
      </c>
      <c r="E888" t="s">
        <v>16</v>
      </c>
      <c r="F888" t="s">
        <v>1259</v>
      </c>
      <c r="G888" s="2">
        <v>0.5</v>
      </c>
      <c r="H888" t="s">
        <v>1200</v>
      </c>
      <c r="I888" t="s">
        <v>1201</v>
      </c>
      <c r="L888" t="s">
        <v>1202</v>
      </c>
      <c r="R888" t="s">
        <v>1223</v>
      </c>
      <c r="X888" t="s">
        <v>1100</v>
      </c>
      <c r="Y888">
        <v>2</v>
      </c>
      <c r="Z888" t="s">
        <v>1203</v>
      </c>
      <c r="AB888" t="s">
        <v>498</v>
      </c>
      <c r="AC888">
        <v>3</v>
      </c>
      <c r="AD888" t="s">
        <v>1228</v>
      </c>
    </row>
    <row r="889" spans="1:33" x14ac:dyDescent="0.3">
      <c r="A889" t="s">
        <v>651</v>
      </c>
      <c r="B889" t="s">
        <v>4012</v>
      </c>
      <c r="C889" t="s">
        <v>4013</v>
      </c>
      <c r="D889" t="s">
        <v>4014</v>
      </c>
      <c r="E889" t="s">
        <v>16</v>
      </c>
      <c r="F889" t="s">
        <v>1265</v>
      </c>
      <c r="G889" s="2">
        <v>0.49305555555555558</v>
      </c>
      <c r="H889" t="s">
        <v>1200</v>
      </c>
      <c r="I889" t="s">
        <v>1201</v>
      </c>
      <c r="L889" t="s">
        <v>1202</v>
      </c>
      <c r="R889" t="s">
        <v>1223</v>
      </c>
      <c r="X889" t="s">
        <v>1100</v>
      </c>
      <c r="Y889">
        <v>2</v>
      </c>
      <c r="Z889" t="s">
        <v>1203</v>
      </c>
      <c r="AB889" t="s">
        <v>498</v>
      </c>
      <c r="AC889">
        <v>4</v>
      </c>
      <c r="AD889" t="s">
        <v>1228</v>
      </c>
    </row>
    <row r="890" spans="1:33" x14ac:dyDescent="0.3">
      <c r="A890" t="s">
        <v>651</v>
      </c>
      <c r="B890" t="s">
        <v>4015</v>
      </c>
      <c r="C890" t="s">
        <v>4016</v>
      </c>
      <c r="D890" t="s">
        <v>4017</v>
      </c>
      <c r="E890" t="s">
        <v>16</v>
      </c>
      <c r="F890" t="s">
        <v>1270</v>
      </c>
      <c r="G890" s="2">
        <v>0.4861111111111111</v>
      </c>
      <c r="H890" t="s">
        <v>1200</v>
      </c>
      <c r="I890" t="s">
        <v>1201</v>
      </c>
      <c r="L890" t="s">
        <v>1202</v>
      </c>
      <c r="R890" t="s">
        <v>1223</v>
      </c>
      <c r="X890" t="s">
        <v>1100</v>
      </c>
      <c r="Y890">
        <v>2</v>
      </c>
      <c r="Z890" t="s">
        <v>1203</v>
      </c>
      <c r="AB890" t="s">
        <v>498</v>
      </c>
      <c r="AC890">
        <v>4</v>
      </c>
      <c r="AD890" t="s">
        <v>1228</v>
      </c>
    </row>
    <row r="891" spans="1:33" x14ac:dyDescent="0.3">
      <c r="A891" t="s">
        <v>651</v>
      </c>
      <c r="B891" t="s">
        <v>4018</v>
      </c>
      <c r="C891" t="s">
        <v>4019</v>
      </c>
      <c r="D891" t="s">
        <v>4020</v>
      </c>
      <c r="E891" t="s">
        <v>16</v>
      </c>
      <c r="F891" t="s">
        <v>1278</v>
      </c>
      <c r="G891" s="2">
        <v>0.47222222222222227</v>
      </c>
      <c r="H891" t="s">
        <v>1200</v>
      </c>
      <c r="I891" t="s">
        <v>1201</v>
      </c>
      <c r="L891" t="s">
        <v>1363</v>
      </c>
      <c r="X891" t="s">
        <v>1100</v>
      </c>
      <c r="Y891">
        <v>1</v>
      </c>
      <c r="Z891" t="s">
        <v>1396</v>
      </c>
      <c r="AB891" t="s">
        <v>498</v>
      </c>
      <c r="AC891">
        <v>2</v>
      </c>
      <c r="AD891" t="s">
        <v>1396</v>
      </c>
    </row>
    <row r="892" spans="1:33" x14ac:dyDescent="0.3">
      <c r="A892" t="s">
        <v>651</v>
      </c>
      <c r="B892" t="s">
        <v>4021</v>
      </c>
      <c r="C892" t="s">
        <v>4022</v>
      </c>
      <c r="D892" t="s">
        <v>4023</v>
      </c>
      <c r="E892" t="s">
        <v>16</v>
      </c>
      <c r="F892" t="s">
        <v>1282</v>
      </c>
      <c r="G892" s="2">
        <v>0.46527777777777773</v>
      </c>
      <c r="H892" t="s">
        <v>1200</v>
      </c>
      <c r="I892" t="s">
        <v>1201</v>
      </c>
      <c r="L892" t="s">
        <v>1363</v>
      </c>
      <c r="X892" t="s">
        <v>1100</v>
      </c>
      <c r="Y892">
        <v>1</v>
      </c>
      <c r="Z892" t="s">
        <v>1396</v>
      </c>
      <c r="AB892" t="s">
        <v>498</v>
      </c>
      <c r="AC892">
        <v>3</v>
      </c>
      <c r="AD892" t="s">
        <v>1396</v>
      </c>
    </row>
    <row r="893" spans="1:33" x14ac:dyDescent="0.3">
      <c r="A893" t="s">
        <v>651</v>
      </c>
      <c r="B893" t="s">
        <v>4024</v>
      </c>
      <c r="C893" t="s">
        <v>4025</v>
      </c>
      <c r="D893" t="s">
        <v>4026</v>
      </c>
      <c r="E893" t="s">
        <v>16</v>
      </c>
      <c r="F893" t="s">
        <v>1287</v>
      </c>
      <c r="G893" s="2">
        <v>0.45833333333333331</v>
      </c>
      <c r="H893" t="s">
        <v>1200</v>
      </c>
      <c r="I893" t="s">
        <v>1201</v>
      </c>
      <c r="L893" t="s">
        <v>1363</v>
      </c>
      <c r="X893" t="s">
        <v>1100</v>
      </c>
      <c r="Y893">
        <v>1</v>
      </c>
      <c r="Z893" t="s">
        <v>1396</v>
      </c>
      <c r="AB893" t="s">
        <v>498</v>
      </c>
      <c r="AC893">
        <v>2</v>
      </c>
      <c r="AD893" t="s">
        <v>1396</v>
      </c>
    </row>
    <row r="894" spans="1:33" x14ac:dyDescent="0.3">
      <c r="A894" t="s">
        <v>651</v>
      </c>
      <c r="B894" t="s">
        <v>4027</v>
      </c>
      <c r="C894" t="s">
        <v>4028</v>
      </c>
      <c r="D894" t="s">
        <v>4029</v>
      </c>
      <c r="E894" t="s">
        <v>16</v>
      </c>
      <c r="F894" t="s">
        <v>1291</v>
      </c>
      <c r="G894" s="2">
        <v>0.4513888888888889</v>
      </c>
      <c r="H894" t="s">
        <v>1200</v>
      </c>
      <c r="I894" t="s">
        <v>1201</v>
      </c>
      <c r="L894" t="s">
        <v>1363</v>
      </c>
      <c r="X894" t="s">
        <v>1100</v>
      </c>
      <c r="Y894">
        <v>1</v>
      </c>
      <c r="Z894" t="s">
        <v>1396</v>
      </c>
      <c r="AB894" t="s">
        <v>498</v>
      </c>
      <c r="AC894">
        <v>3</v>
      </c>
      <c r="AD894" t="s">
        <v>1396</v>
      </c>
    </row>
    <row r="895" spans="1:33" x14ac:dyDescent="0.3">
      <c r="A895" t="s">
        <v>651</v>
      </c>
      <c r="B895" t="s">
        <v>4030</v>
      </c>
      <c r="C895" t="s">
        <v>4031</v>
      </c>
      <c r="D895" t="s">
        <v>4032</v>
      </c>
      <c r="E895" t="s">
        <v>16</v>
      </c>
      <c r="F895" t="s">
        <v>1296</v>
      </c>
      <c r="G895" s="2">
        <v>0.44444444444444442</v>
      </c>
      <c r="H895" t="s">
        <v>1200</v>
      </c>
      <c r="I895" t="s">
        <v>1201</v>
      </c>
      <c r="L895" t="s">
        <v>1202</v>
      </c>
      <c r="X895" t="s">
        <v>1100</v>
      </c>
      <c r="Y895">
        <v>1</v>
      </c>
      <c r="Z895" t="s">
        <v>1203</v>
      </c>
      <c r="AB895" t="s">
        <v>498</v>
      </c>
      <c r="AC895">
        <v>3</v>
      </c>
      <c r="AD895" t="s">
        <v>1203</v>
      </c>
    </row>
    <row r="896" spans="1:33" x14ac:dyDescent="0.3">
      <c r="A896" t="s">
        <v>651</v>
      </c>
      <c r="B896" t="s">
        <v>4033</v>
      </c>
      <c r="C896" t="s">
        <v>4034</v>
      </c>
      <c r="D896" t="s">
        <v>4035</v>
      </c>
      <c r="E896" t="s">
        <v>16</v>
      </c>
      <c r="F896" t="s">
        <v>1300</v>
      </c>
      <c r="G896" s="2">
        <v>0.4375</v>
      </c>
      <c r="H896" t="s">
        <v>1200</v>
      </c>
      <c r="I896" t="s">
        <v>1201</v>
      </c>
      <c r="L896" t="s">
        <v>1255</v>
      </c>
      <c r="X896" t="s">
        <v>498</v>
      </c>
      <c r="Y896">
        <v>2</v>
      </c>
      <c r="Z896" t="s">
        <v>1245</v>
      </c>
      <c r="AB896" t="s">
        <v>1100</v>
      </c>
      <c r="AC896">
        <v>3</v>
      </c>
      <c r="AD896" t="s">
        <v>1245</v>
      </c>
    </row>
    <row r="897" spans="1:33" x14ac:dyDescent="0.3">
      <c r="A897" t="s">
        <v>651</v>
      </c>
      <c r="B897" t="s">
        <v>4036</v>
      </c>
      <c r="C897" t="s">
        <v>4037</v>
      </c>
      <c r="D897" t="s">
        <v>4038</v>
      </c>
      <c r="E897" t="s">
        <v>16</v>
      </c>
      <c r="F897" t="s">
        <v>1443</v>
      </c>
      <c r="G897" s="2">
        <v>0.43055555555555558</v>
      </c>
      <c r="H897" t="s">
        <v>1200</v>
      </c>
      <c r="I897" t="s">
        <v>1201</v>
      </c>
      <c r="L897" t="s">
        <v>1255</v>
      </c>
      <c r="X897" t="s">
        <v>498</v>
      </c>
      <c r="Y897">
        <v>2</v>
      </c>
      <c r="Z897" t="s">
        <v>1228</v>
      </c>
      <c r="AB897" t="s">
        <v>1100</v>
      </c>
      <c r="AC897">
        <v>2</v>
      </c>
      <c r="AD897" t="s">
        <v>1245</v>
      </c>
    </row>
    <row r="898" spans="1:33" x14ac:dyDescent="0.3">
      <c r="A898" t="s">
        <v>656</v>
      </c>
      <c r="B898" t="s">
        <v>4039</v>
      </c>
      <c r="C898" t="s">
        <v>4040</v>
      </c>
      <c r="D898" t="s">
        <v>4041</v>
      </c>
      <c r="E898" t="s">
        <v>16</v>
      </c>
      <c r="F898" t="s">
        <v>1451</v>
      </c>
      <c r="G898" s="2">
        <v>0.41666666666666669</v>
      </c>
      <c r="H898" t="s">
        <v>1200</v>
      </c>
      <c r="I898" t="s">
        <v>1201</v>
      </c>
      <c r="L898" t="s">
        <v>1222</v>
      </c>
      <c r="X898" t="s">
        <v>546</v>
      </c>
      <c r="Y898">
        <v>5</v>
      </c>
      <c r="Z898" t="s">
        <v>1266</v>
      </c>
      <c r="AB898" t="s">
        <v>1100</v>
      </c>
      <c r="AC898">
        <v>6</v>
      </c>
      <c r="AD898" t="s">
        <v>3670</v>
      </c>
    </row>
    <row r="899" spans="1:33" x14ac:dyDescent="0.3">
      <c r="A899" t="s">
        <v>656</v>
      </c>
      <c r="B899" t="s">
        <v>4042</v>
      </c>
      <c r="C899" t="s">
        <v>4043</v>
      </c>
      <c r="D899" t="s">
        <v>4044</v>
      </c>
      <c r="E899" t="s">
        <v>16</v>
      </c>
      <c r="F899" t="s">
        <v>1455</v>
      </c>
      <c r="G899" s="2">
        <v>0.40972222222222227</v>
      </c>
      <c r="H899" t="s">
        <v>1200</v>
      </c>
      <c r="I899" t="s">
        <v>1201</v>
      </c>
      <c r="L899" t="s">
        <v>1222</v>
      </c>
      <c r="X899" t="s">
        <v>546</v>
      </c>
      <c r="Y899">
        <v>2</v>
      </c>
      <c r="Z899" t="s">
        <v>1228</v>
      </c>
      <c r="AB899" t="s">
        <v>1100</v>
      </c>
      <c r="AC899">
        <v>3</v>
      </c>
      <c r="AD899" t="s">
        <v>1203</v>
      </c>
      <c r="AE899" t="s">
        <v>498</v>
      </c>
      <c r="AF899">
        <v>3</v>
      </c>
      <c r="AG899" t="s">
        <v>2609</v>
      </c>
    </row>
    <row r="900" spans="1:33" x14ac:dyDescent="0.3">
      <c r="A900" t="s">
        <v>656</v>
      </c>
      <c r="B900" t="s">
        <v>4045</v>
      </c>
      <c r="C900" t="s">
        <v>4046</v>
      </c>
      <c r="D900" t="s">
        <v>4047</v>
      </c>
      <c r="E900" t="s">
        <v>16</v>
      </c>
      <c r="F900" t="s">
        <v>1459</v>
      </c>
      <c r="G900" s="2">
        <v>0.40277777777777773</v>
      </c>
      <c r="H900" t="s">
        <v>1200</v>
      </c>
      <c r="I900" t="s">
        <v>1201</v>
      </c>
      <c r="L900" t="s">
        <v>1222</v>
      </c>
      <c r="X900" t="s">
        <v>546</v>
      </c>
      <c r="Y900">
        <v>3</v>
      </c>
      <c r="Z900" t="s">
        <v>1228</v>
      </c>
      <c r="AB900" t="s">
        <v>1100</v>
      </c>
      <c r="AC900">
        <v>3</v>
      </c>
      <c r="AD900" t="s">
        <v>1496</v>
      </c>
    </row>
    <row r="901" spans="1:33" x14ac:dyDescent="0.3">
      <c r="A901" t="s">
        <v>656</v>
      </c>
      <c r="B901" t="s">
        <v>4048</v>
      </c>
      <c r="C901" t="s">
        <v>4049</v>
      </c>
      <c r="D901" t="s">
        <v>4050</v>
      </c>
      <c r="E901" t="s">
        <v>16</v>
      </c>
      <c r="F901" t="s">
        <v>1463</v>
      </c>
      <c r="G901" s="2">
        <v>0.39583333333333331</v>
      </c>
      <c r="H901" t="s">
        <v>1200</v>
      </c>
      <c r="I901" t="s">
        <v>1201</v>
      </c>
      <c r="L901" t="s">
        <v>1222</v>
      </c>
      <c r="X901" t="s">
        <v>546</v>
      </c>
      <c r="Y901">
        <v>2</v>
      </c>
      <c r="Z901" t="s">
        <v>1228</v>
      </c>
      <c r="AB901" t="s">
        <v>1100</v>
      </c>
      <c r="AC901">
        <v>3</v>
      </c>
      <c r="AD901" t="s">
        <v>1496</v>
      </c>
    </row>
    <row r="902" spans="1:33" x14ac:dyDescent="0.3">
      <c r="A902" t="s">
        <v>656</v>
      </c>
      <c r="B902" t="s">
        <v>4051</v>
      </c>
      <c r="C902" t="s">
        <v>4052</v>
      </c>
      <c r="D902" t="s">
        <v>4053</v>
      </c>
      <c r="E902" t="s">
        <v>16</v>
      </c>
      <c r="F902" t="s">
        <v>1469</v>
      </c>
      <c r="G902" s="2">
        <v>0.3888888888888889</v>
      </c>
      <c r="H902" t="s">
        <v>1200</v>
      </c>
      <c r="I902" t="s">
        <v>1201</v>
      </c>
      <c r="M902" t="s">
        <v>1292</v>
      </c>
      <c r="X902" t="s">
        <v>525</v>
      </c>
      <c r="Y902">
        <v>3</v>
      </c>
      <c r="Z902" t="s">
        <v>1228</v>
      </c>
      <c r="AB902" t="s">
        <v>1100</v>
      </c>
      <c r="AC902">
        <v>4</v>
      </c>
      <c r="AD902" t="s">
        <v>1245</v>
      </c>
      <c r="AE902" t="s">
        <v>1100</v>
      </c>
      <c r="AF902">
        <v>4</v>
      </c>
      <c r="AG902" t="s">
        <v>3670</v>
      </c>
    </row>
    <row r="903" spans="1:33" x14ac:dyDescent="0.3">
      <c r="A903" t="s">
        <v>656</v>
      </c>
      <c r="B903" t="s">
        <v>4054</v>
      </c>
      <c r="C903" t="s">
        <v>4055</v>
      </c>
      <c r="D903" t="s">
        <v>4056</v>
      </c>
      <c r="E903" t="s">
        <v>16</v>
      </c>
      <c r="F903" t="s">
        <v>1473</v>
      </c>
      <c r="G903" s="2">
        <v>0.38194444444444442</v>
      </c>
      <c r="H903" t="s">
        <v>1200</v>
      </c>
      <c r="I903" t="s">
        <v>1201</v>
      </c>
      <c r="K903" t="s">
        <v>1250</v>
      </c>
      <c r="X903" t="s">
        <v>546</v>
      </c>
      <c r="Y903">
        <v>2</v>
      </c>
      <c r="Z903" t="s">
        <v>1228</v>
      </c>
      <c r="AB903" t="s">
        <v>1100</v>
      </c>
      <c r="AC903">
        <v>2</v>
      </c>
      <c r="AD903" t="s">
        <v>1496</v>
      </c>
      <c r="AE903" t="s">
        <v>498</v>
      </c>
      <c r="AF903">
        <v>3</v>
      </c>
      <c r="AG903" t="s">
        <v>1266</v>
      </c>
    </row>
    <row r="904" spans="1:33" x14ac:dyDescent="0.3">
      <c r="A904" t="s">
        <v>656</v>
      </c>
      <c r="B904" t="s">
        <v>4057</v>
      </c>
      <c r="C904" t="s">
        <v>4058</v>
      </c>
      <c r="D904" t="s">
        <v>4059</v>
      </c>
      <c r="E904" t="s">
        <v>16</v>
      </c>
      <c r="F904" t="s">
        <v>1477</v>
      </c>
      <c r="G904" s="2">
        <v>0.375</v>
      </c>
      <c r="H904" t="s">
        <v>1200</v>
      </c>
      <c r="I904" t="s">
        <v>1201</v>
      </c>
      <c r="K904" t="s">
        <v>1250</v>
      </c>
      <c r="X904" t="s">
        <v>546</v>
      </c>
      <c r="Y904">
        <v>2</v>
      </c>
      <c r="Z904" t="s">
        <v>1245</v>
      </c>
      <c r="AB904" t="s">
        <v>1100</v>
      </c>
      <c r="AC904">
        <v>2</v>
      </c>
      <c r="AD904" t="s">
        <v>1245</v>
      </c>
    </row>
    <row r="905" spans="1:33" x14ac:dyDescent="0.3">
      <c r="A905" t="s">
        <v>656</v>
      </c>
      <c r="B905" t="s">
        <v>4060</v>
      </c>
      <c r="C905" t="s">
        <v>4061</v>
      </c>
      <c r="D905" t="s">
        <v>4062</v>
      </c>
      <c r="E905" t="s">
        <v>16</v>
      </c>
      <c r="F905" t="s">
        <v>1482</v>
      </c>
      <c r="G905" s="2">
        <v>0.36805555555555558</v>
      </c>
      <c r="H905" t="s">
        <v>1200</v>
      </c>
      <c r="I905" t="s">
        <v>1201</v>
      </c>
      <c r="K905" t="s">
        <v>1250</v>
      </c>
      <c r="X905" t="s">
        <v>546</v>
      </c>
      <c r="Y905">
        <v>3</v>
      </c>
      <c r="Z905" t="s">
        <v>1266</v>
      </c>
      <c r="AB905" t="s">
        <v>1100</v>
      </c>
      <c r="AC905">
        <v>3</v>
      </c>
      <c r="AD905" t="s">
        <v>1266</v>
      </c>
      <c r="AE905" t="s">
        <v>752</v>
      </c>
      <c r="AF905">
        <v>5</v>
      </c>
      <c r="AG905" t="s">
        <v>1266</v>
      </c>
    </row>
    <row r="906" spans="1:33" x14ac:dyDescent="0.3">
      <c r="A906" t="s">
        <v>656</v>
      </c>
      <c r="B906" t="s">
        <v>4063</v>
      </c>
      <c r="C906" t="s">
        <v>4064</v>
      </c>
      <c r="D906" t="s">
        <v>4065</v>
      </c>
      <c r="E906" t="s">
        <v>16</v>
      </c>
      <c r="F906" t="s">
        <v>1486</v>
      </c>
      <c r="G906" s="2">
        <v>0.3611111111111111</v>
      </c>
      <c r="H906" t="s">
        <v>1200</v>
      </c>
      <c r="I906" t="s">
        <v>1201</v>
      </c>
      <c r="K906" t="s">
        <v>1250</v>
      </c>
      <c r="X906" t="s">
        <v>546</v>
      </c>
      <c r="Y906">
        <v>2</v>
      </c>
      <c r="Z906" t="s">
        <v>1266</v>
      </c>
      <c r="AB906" t="s">
        <v>1100</v>
      </c>
      <c r="AC906">
        <v>2</v>
      </c>
      <c r="AD906" t="s">
        <v>1228</v>
      </c>
      <c r="AE906" t="s">
        <v>752</v>
      </c>
      <c r="AF906">
        <v>3</v>
      </c>
      <c r="AG906" t="s">
        <v>1228</v>
      </c>
    </row>
    <row r="907" spans="1:33" x14ac:dyDescent="0.3">
      <c r="A907" t="s">
        <v>660</v>
      </c>
      <c r="B907" t="s">
        <v>4066</v>
      </c>
      <c r="C907" t="s">
        <v>4067</v>
      </c>
      <c r="D907" t="s">
        <v>4068</v>
      </c>
      <c r="E907" t="s">
        <v>16</v>
      </c>
      <c r="F907" t="s">
        <v>1308</v>
      </c>
      <c r="G907" s="2">
        <v>0.70138888888888884</v>
      </c>
      <c r="H907" t="s">
        <v>1200</v>
      </c>
      <c r="I907" t="s">
        <v>1201</v>
      </c>
      <c r="M907" t="s">
        <v>1640</v>
      </c>
      <c r="X907" t="s">
        <v>1100</v>
      </c>
      <c r="Y907">
        <v>1</v>
      </c>
      <c r="Z907" t="s">
        <v>1496</v>
      </c>
      <c r="AB907" t="s">
        <v>498</v>
      </c>
      <c r="AC907">
        <v>2</v>
      </c>
      <c r="AD907" t="s">
        <v>1245</v>
      </c>
    </row>
    <row r="908" spans="1:33" x14ac:dyDescent="0.3">
      <c r="A908" t="s">
        <v>660</v>
      </c>
      <c r="B908" t="s">
        <v>4069</v>
      </c>
      <c r="C908" t="s">
        <v>4070</v>
      </c>
      <c r="D908" t="s">
        <v>4071</v>
      </c>
      <c r="E908" t="s">
        <v>16</v>
      </c>
      <c r="F908" t="s">
        <v>1313</v>
      </c>
      <c r="G908" s="2">
        <v>0.69444444444444453</v>
      </c>
      <c r="H908" t="s">
        <v>1200</v>
      </c>
      <c r="I908" t="s">
        <v>1201</v>
      </c>
      <c r="M908" t="s">
        <v>1640</v>
      </c>
      <c r="X908" t="s">
        <v>1100</v>
      </c>
      <c r="Y908">
        <v>2</v>
      </c>
      <c r="Z908" t="s">
        <v>2047</v>
      </c>
      <c r="AB908" t="s">
        <v>498</v>
      </c>
      <c r="AC908">
        <v>4</v>
      </c>
      <c r="AD908" t="s">
        <v>2047</v>
      </c>
    </row>
    <row r="909" spans="1:33" x14ac:dyDescent="0.3">
      <c r="A909" t="s">
        <v>660</v>
      </c>
      <c r="B909" t="s">
        <v>4072</v>
      </c>
      <c r="C909" t="s">
        <v>4073</v>
      </c>
      <c r="D909" t="s">
        <v>4074</v>
      </c>
      <c r="E909" t="s">
        <v>16</v>
      </c>
      <c r="F909" t="s">
        <v>1317</v>
      </c>
      <c r="G909" s="2">
        <v>0.6875</v>
      </c>
      <c r="H909" t="s">
        <v>1200</v>
      </c>
      <c r="I909" t="s">
        <v>1201</v>
      </c>
      <c r="M909" t="s">
        <v>1640</v>
      </c>
      <c r="X909" t="s">
        <v>1100</v>
      </c>
      <c r="Y909">
        <v>2</v>
      </c>
      <c r="Z909" t="s">
        <v>2047</v>
      </c>
      <c r="AB909" t="s">
        <v>498</v>
      </c>
      <c r="AC909">
        <v>3</v>
      </c>
      <c r="AD909" t="s">
        <v>2047</v>
      </c>
    </row>
    <row r="910" spans="1:33" x14ac:dyDescent="0.3">
      <c r="A910" t="s">
        <v>660</v>
      </c>
      <c r="B910" t="s">
        <v>4075</v>
      </c>
      <c r="C910" t="s">
        <v>4076</v>
      </c>
      <c r="D910" t="s">
        <v>4077</v>
      </c>
      <c r="E910" t="s">
        <v>16</v>
      </c>
      <c r="F910" t="s">
        <v>1321</v>
      </c>
      <c r="G910" s="2">
        <v>0.68055555555555547</v>
      </c>
      <c r="H910" t="s">
        <v>1200</v>
      </c>
      <c r="I910" t="s">
        <v>1201</v>
      </c>
      <c r="M910" t="s">
        <v>1640</v>
      </c>
      <c r="X910" t="s">
        <v>1100</v>
      </c>
      <c r="Y910">
        <v>2</v>
      </c>
      <c r="Z910" t="s">
        <v>2047</v>
      </c>
      <c r="AB910" t="s">
        <v>498</v>
      </c>
      <c r="AC910">
        <v>2</v>
      </c>
      <c r="AD910" t="s">
        <v>1245</v>
      </c>
    </row>
    <row r="911" spans="1:33" x14ac:dyDescent="0.3">
      <c r="A911" t="s">
        <v>660</v>
      </c>
      <c r="B911" t="s">
        <v>4078</v>
      </c>
      <c r="C911" t="s">
        <v>4079</v>
      </c>
      <c r="D911" t="s">
        <v>4080</v>
      </c>
      <c r="E911" t="s">
        <v>16</v>
      </c>
      <c r="F911" t="s">
        <v>1325</v>
      </c>
      <c r="G911" s="2">
        <v>0.67361111111111116</v>
      </c>
      <c r="H911" t="s">
        <v>1200</v>
      </c>
      <c r="I911" t="s">
        <v>1201</v>
      </c>
      <c r="M911" t="s">
        <v>1640</v>
      </c>
      <c r="X911" t="s">
        <v>1100</v>
      </c>
      <c r="Y911">
        <v>2</v>
      </c>
      <c r="Z911" t="s">
        <v>1245</v>
      </c>
      <c r="AB911" t="s">
        <v>498</v>
      </c>
      <c r="AC911">
        <v>2</v>
      </c>
      <c r="AD911" t="s">
        <v>2047</v>
      </c>
    </row>
    <row r="912" spans="1:33" x14ac:dyDescent="0.3">
      <c r="A912" t="s">
        <v>660</v>
      </c>
      <c r="B912" t="s">
        <v>4081</v>
      </c>
      <c r="C912" t="s">
        <v>4082</v>
      </c>
      <c r="D912" t="s">
        <v>4083</v>
      </c>
      <c r="E912" t="s">
        <v>16</v>
      </c>
      <c r="F912" t="s">
        <v>1329</v>
      </c>
      <c r="G912" s="2">
        <v>0.66666666666666663</v>
      </c>
      <c r="H912" t="s">
        <v>1200</v>
      </c>
      <c r="I912" t="s">
        <v>1201</v>
      </c>
      <c r="M912" t="s">
        <v>1640</v>
      </c>
      <c r="X912" t="s">
        <v>1100</v>
      </c>
      <c r="Y912">
        <v>1</v>
      </c>
      <c r="Z912" t="s">
        <v>1245</v>
      </c>
    </row>
    <row r="913" spans="1:26" x14ac:dyDescent="0.3">
      <c r="A913" t="s">
        <v>660</v>
      </c>
      <c r="B913" t="s">
        <v>4084</v>
      </c>
      <c r="C913" t="s">
        <v>4085</v>
      </c>
      <c r="D913" t="s">
        <v>4086</v>
      </c>
      <c r="E913" t="s">
        <v>16</v>
      </c>
      <c r="F913" t="s">
        <v>1333</v>
      </c>
      <c r="G913" s="2">
        <v>0.65972222222222221</v>
      </c>
      <c r="H913" t="s">
        <v>1200</v>
      </c>
      <c r="I913" t="s">
        <v>1201</v>
      </c>
      <c r="M913" t="s">
        <v>1640</v>
      </c>
      <c r="X913" t="s">
        <v>1100</v>
      </c>
      <c r="Y913">
        <v>1</v>
      </c>
      <c r="Z913" t="s">
        <v>1245</v>
      </c>
    </row>
    <row r="914" spans="1:26" x14ac:dyDescent="0.3">
      <c r="A914" t="s">
        <v>660</v>
      </c>
      <c r="B914" t="s">
        <v>4087</v>
      </c>
      <c r="C914" t="s">
        <v>4088</v>
      </c>
      <c r="D914" t="s">
        <v>4089</v>
      </c>
      <c r="E914" t="s">
        <v>16</v>
      </c>
      <c r="F914" t="s">
        <v>1338</v>
      </c>
      <c r="G914" s="2">
        <v>0.65277777777777779</v>
      </c>
      <c r="H914" t="s">
        <v>1200</v>
      </c>
      <c r="I914" t="s">
        <v>1201</v>
      </c>
      <c r="L914" t="s">
        <v>1202</v>
      </c>
      <c r="X914" t="s">
        <v>1100</v>
      </c>
      <c r="Y914">
        <v>2</v>
      </c>
      <c r="Z914" t="s">
        <v>2546</v>
      </c>
    </row>
    <row r="915" spans="1:26" x14ac:dyDescent="0.3">
      <c r="A915" t="s">
        <v>660</v>
      </c>
      <c r="B915" t="s">
        <v>4090</v>
      </c>
      <c r="C915" t="s">
        <v>4091</v>
      </c>
      <c r="D915" t="s">
        <v>4092</v>
      </c>
      <c r="E915" t="s">
        <v>16</v>
      </c>
      <c r="F915" t="s">
        <v>1342</v>
      </c>
      <c r="G915" s="2">
        <v>0.64583333333333337</v>
      </c>
      <c r="H915" t="s">
        <v>1200</v>
      </c>
      <c r="I915" t="s">
        <v>1201</v>
      </c>
      <c r="L915" t="s">
        <v>1202</v>
      </c>
      <c r="X915" t="s">
        <v>1100</v>
      </c>
      <c r="Y915">
        <v>2</v>
      </c>
      <c r="Z915" t="s">
        <v>2546</v>
      </c>
    </row>
    <row r="916" spans="1:26" x14ac:dyDescent="0.3">
      <c r="A916" t="s">
        <v>660</v>
      </c>
      <c r="B916" t="s">
        <v>4093</v>
      </c>
      <c r="C916" t="s">
        <v>4094</v>
      </c>
      <c r="D916" t="s">
        <v>4095</v>
      </c>
      <c r="E916" t="s">
        <v>16</v>
      </c>
      <c r="F916" t="s">
        <v>1346</v>
      </c>
      <c r="G916" s="2">
        <v>0.63888888888888895</v>
      </c>
      <c r="H916" t="s">
        <v>1200</v>
      </c>
      <c r="I916" t="s">
        <v>1201</v>
      </c>
      <c r="L916" t="s">
        <v>1363</v>
      </c>
      <c r="X916" t="s">
        <v>1100</v>
      </c>
      <c r="Y916">
        <v>1</v>
      </c>
      <c r="Z916" t="s">
        <v>1396</v>
      </c>
    </row>
    <row r="917" spans="1:26" x14ac:dyDescent="0.3">
      <c r="A917" t="s">
        <v>660</v>
      </c>
      <c r="B917" t="s">
        <v>4096</v>
      </c>
      <c r="C917" t="s">
        <v>4097</v>
      </c>
      <c r="D917" t="s">
        <v>4098</v>
      </c>
      <c r="E917" t="s">
        <v>16</v>
      </c>
      <c r="F917" t="s">
        <v>1350</v>
      </c>
      <c r="G917" s="2">
        <v>0.63194444444444442</v>
      </c>
      <c r="H917" t="s">
        <v>1200</v>
      </c>
      <c r="I917" t="s">
        <v>1201</v>
      </c>
      <c r="L917" t="s">
        <v>1363</v>
      </c>
      <c r="X917" t="s">
        <v>1100</v>
      </c>
      <c r="Y917">
        <v>1</v>
      </c>
      <c r="Z917" t="s">
        <v>1396</v>
      </c>
    </row>
    <row r="918" spans="1:26" x14ac:dyDescent="0.3">
      <c r="A918" t="s">
        <v>660</v>
      </c>
      <c r="B918" t="s">
        <v>4099</v>
      </c>
      <c r="C918" t="s">
        <v>4100</v>
      </c>
      <c r="D918" t="s">
        <v>4101</v>
      </c>
      <c r="E918" t="s">
        <v>16</v>
      </c>
      <c r="F918" t="s">
        <v>1354</v>
      </c>
      <c r="G918" s="2">
        <v>0.625</v>
      </c>
      <c r="H918" t="s">
        <v>1200</v>
      </c>
      <c r="I918" t="s">
        <v>1201</v>
      </c>
      <c r="L918" t="s">
        <v>1363</v>
      </c>
      <c r="X918" t="s">
        <v>1100</v>
      </c>
      <c r="Y918">
        <v>1</v>
      </c>
      <c r="Z918" t="s">
        <v>1396</v>
      </c>
    </row>
    <row r="919" spans="1:26" x14ac:dyDescent="0.3">
      <c r="A919" t="s">
        <v>660</v>
      </c>
      <c r="B919" t="s">
        <v>4102</v>
      </c>
      <c r="C919" t="s">
        <v>4103</v>
      </c>
      <c r="D919" t="s">
        <v>4104</v>
      </c>
      <c r="E919" t="s">
        <v>16</v>
      </c>
      <c r="F919" t="s">
        <v>1558</v>
      </c>
      <c r="G919" s="2">
        <v>0.61805555555555558</v>
      </c>
      <c r="H919" t="s">
        <v>1200</v>
      </c>
      <c r="I919" t="s">
        <v>1201</v>
      </c>
      <c r="L919" t="s">
        <v>1363</v>
      </c>
      <c r="X919" t="s">
        <v>1100</v>
      </c>
      <c r="Y919">
        <v>1</v>
      </c>
      <c r="Z919" t="s">
        <v>1396</v>
      </c>
    </row>
    <row r="920" spans="1:26" x14ac:dyDescent="0.3">
      <c r="A920" t="s">
        <v>660</v>
      </c>
      <c r="B920" t="s">
        <v>4105</v>
      </c>
      <c r="C920" t="s">
        <v>4106</v>
      </c>
      <c r="D920" t="s">
        <v>4107</v>
      </c>
      <c r="E920" t="s">
        <v>16</v>
      </c>
      <c r="F920" t="s">
        <v>1358</v>
      </c>
      <c r="G920" s="2">
        <v>0.61111111111111105</v>
      </c>
      <c r="H920" t="s">
        <v>1200</v>
      </c>
      <c r="I920" t="s">
        <v>1201</v>
      </c>
      <c r="L920" t="s">
        <v>1363</v>
      </c>
      <c r="X920" t="s">
        <v>1100</v>
      </c>
      <c r="Y920">
        <v>1</v>
      </c>
      <c r="Z920" t="s">
        <v>1396</v>
      </c>
    </row>
    <row r="921" spans="1:26" x14ac:dyDescent="0.3">
      <c r="A921" t="s">
        <v>660</v>
      </c>
      <c r="B921" t="s">
        <v>4108</v>
      </c>
      <c r="C921" t="s">
        <v>4109</v>
      </c>
      <c r="D921" t="s">
        <v>4110</v>
      </c>
      <c r="E921" t="s">
        <v>16</v>
      </c>
      <c r="F921" t="s">
        <v>1362</v>
      </c>
      <c r="G921" s="2">
        <v>0.60416666666666663</v>
      </c>
      <c r="H921" t="s">
        <v>1200</v>
      </c>
      <c r="I921" t="s">
        <v>1201</v>
      </c>
      <c r="L921" t="s">
        <v>1363</v>
      </c>
      <c r="X921" t="s">
        <v>1100</v>
      </c>
      <c r="Y921">
        <v>1</v>
      </c>
      <c r="Z921" t="s">
        <v>1396</v>
      </c>
    </row>
    <row r="922" spans="1:26" x14ac:dyDescent="0.3">
      <c r="A922" t="s">
        <v>660</v>
      </c>
      <c r="B922" t="s">
        <v>4111</v>
      </c>
      <c r="C922" t="s">
        <v>4112</v>
      </c>
      <c r="D922" t="s">
        <v>4113</v>
      </c>
      <c r="E922" t="s">
        <v>16</v>
      </c>
      <c r="F922" t="s">
        <v>1367</v>
      </c>
      <c r="G922" s="2">
        <v>0.59722222222222221</v>
      </c>
      <c r="H922" t="s">
        <v>1200</v>
      </c>
      <c r="I922" t="s">
        <v>1201</v>
      </c>
      <c r="L922" t="s">
        <v>1363</v>
      </c>
      <c r="X922" t="s">
        <v>1100</v>
      </c>
      <c r="Y922">
        <v>1</v>
      </c>
      <c r="Z922" t="s">
        <v>1396</v>
      </c>
    </row>
    <row r="923" spans="1:26" x14ac:dyDescent="0.3">
      <c r="A923" t="s">
        <v>660</v>
      </c>
      <c r="B923" t="s">
        <v>4114</v>
      </c>
      <c r="C923" t="s">
        <v>4115</v>
      </c>
      <c r="D923" t="s">
        <v>4116</v>
      </c>
      <c r="E923" t="s">
        <v>16</v>
      </c>
      <c r="F923" t="s">
        <v>1371</v>
      </c>
      <c r="G923" s="2">
        <v>0.59027777777777779</v>
      </c>
      <c r="H923" t="s">
        <v>1200</v>
      </c>
      <c r="I923" t="s">
        <v>1201</v>
      </c>
      <c r="L923" t="s">
        <v>1202</v>
      </c>
      <c r="X923" t="s">
        <v>1100</v>
      </c>
      <c r="Y923">
        <v>1</v>
      </c>
      <c r="Z923" t="s">
        <v>1396</v>
      </c>
    </row>
    <row r="924" spans="1:26" x14ac:dyDescent="0.3">
      <c r="A924" t="s">
        <v>660</v>
      </c>
      <c r="B924" t="s">
        <v>4117</v>
      </c>
      <c r="C924" t="s">
        <v>4118</v>
      </c>
      <c r="D924" t="s">
        <v>4119</v>
      </c>
      <c r="E924" t="s">
        <v>16</v>
      </c>
      <c r="F924" t="s">
        <v>1199</v>
      </c>
      <c r="G924" s="2">
        <v>0.58333333333333337</v>
      </c>
      <c r="H924" t="s">
        <v>1200</v>
      </c>
      <c r="I924" t="s">
        <v>1201</v>
      </c>
      <c r="L924" t="s">
        <v>1202</v>
      </c>
      <c r="X924" t="s">
        <v>1100</v>
      </c>
      <c r="Y924">
        <v>1</v>
      </c>
    </row>
    <row r="925" spans="1:26" x14ac:dyDescent="0.3">
      <c r="A925" t="s">
        <v>660</v>
      </c>
      <c r="B925" s="3" t="s">
        <v>4120</v>
      </c>
      <c r="C925" t="s">
        <v>4121</v>
      </c>
      <c r="D925" t="s">
        <v>4122</v>
      </c>
      <c r="E925" t="s">
        <v>16</v>
      </c>
      <c r="F925" t="s">
        <v>1207</v>
      </c>
      <c r="G925" s="2">
        <v>0.57638888888888895</v>
      </c>
      <c r="H925" t="s">
        <v>1200</v>
      </c>
      <c r="I925" t="s">
        <v>1201</v>
      </c>
      <c r="L925" t="s">
        <v>1363</v>
      </c>
      <c r="X925" t="s">
        <v>1100</v>
      </c>
      <c r="Y925">
        <v>1</v>
      </c>
      <c r="Z925" t="s">
        <v>1396</v>
      </c>
    </row>
    <row r="926" spans="1:26" x14ac:dyDescent="0.3">
      <c r="A926" t="s">
        <v>660</v>
      </c>
      <c r="B926" t="s">
        <v>4123</v>
      </c>
      <c r="C926" t="s">
        <v>4124</v>
      </c>
      <c r="D926" t="s">
        <v>4125</v>
      </c>
      <c r="E926" t="s">
        <v>16</v>
      </c>
      <c r="F926" t="s">
        <v>1211</v>
      </c>
      <c r="G926" s="2">
        <v>0.56944444444444442</v>
      </c>
      <c r="H926" t="s">
        <v>1200</v>
      </c>
      <c r="I926" t="s">
        <v>1201</v>
      </c>
      <c r="L926" t="s">
        <v>1363</v>
      </c>
      <c r="X926" t="s">
        <v>1100</v>
      </c>
      <c r="Y926">
        <v>1</v>
      </c>
      <c r="Z926" t="s">
        <v>1396</v>
      </c>
    </row>
    <row r="927" spans="1:26" x14ac:dyDescent="0.3">
      <c r="A927" t="s">
        <v>660</v>
      </c>
      <c r="B927" t="s">
        <v>4126</v>
      </c>
      <c r="C927" t="s">
        <v>4127</v>
      </c>
      <c r="D927" t="s">
        <v>4128</v>
      </c>
      <c r="E927" t="s">
        <v>16</v>
      </c>
      <c r="F927" t="s">
        <v>1215</v>
      </c>
      <c r="G927" s="2">
        <v>0.5625</v>
      </c>
      <c r="H927" t="s">
        <v>1200</v>
      </c>
      <c r="I927" t="s">
        <v>1201</v>
      </c>
      <c r="L927" t="s">
        <v>1363</v>
      </c>
      <c r="X927" t="s">
        <v>1100</v>
      </c>
      <c r="Y927">
        <v>1</v>
      </c>
      <c r="Z927" t="s">
        <v>1396</v>
      </c>
    </row>
    <row r="928" spans="1:26" x14ac:dyDescent="0.3">
      <c r="A928" t="s">
        <v>660</v>
      </c>
      <c r="B928" t="s">
        <v>4129</v>
      </c>
      <c r="C928" t="s">
        <v>4130</v>
      </c>
      <c r="D928" t="s">
        <v>4131</v>
      </c>
      <c r="E928" t="s">
        <v>16</v>
      </c>
      <c r="F928" t="s">
        <v>1221</v>
      </c>
      <c r="G928" s="2">
        <v>0.55555555555555558</v>
      </c>
      <c r="H928" t="s">
        <v>1200</v>
      </c>
      <c r="I928" t="s">
        <v>1201</v>
      </c>
      <c r="L928" t="s">
        <v>1363</v>
      </c>
      <c r="X928" t="s">
        <v>1100</v>
      </c>
      <c r="Y928">
        <v>1</v>
      </c>
      <c r="Z928" t="s">
        <v>1396</v>
      </c>
    </row>
    <row r="929" spans="1:33" x14ac:dyDescent="0.3">
      <c r="A929" t="s">
        <v>660</v>
      </c>
      <c r="B929" t="s">
        <v>4132</v>
      </c>
      <c r="C929" t="s">
        <v>4133</v>
      </c>
      <c r="D929" t="s">
        <v>4134</v>
      </c>
      <c r="E929" t="s">
        <v>16</v>
      </c>
      <c r="F929" t="s">
        <v>1232</v>
      </c>
      <c r="G929" s="2">
        <v>0.54861111111111105</v>
      </c>
      <c r="H929" t="s">
        <v>1200</v>
      </c>
      <c r="I929" t="s">
        <v>1201</v>
      </c>
      <c r="L929" t="s">
        <v>1363</v>
      </c>
      <c r="X929" t="s">
        <v>1100</v>
      </c>
      <c r="Y929">
        <v>1</v>
      </c>
      <c r="Z929" t="s">
        <v>1396</v>
      </c>
    </row>
    <row r="930" spans="1:33" x14ac:dyDescent="0.3">
      <c r="A930" t="s">
        <v>660</v>
      </c>
      <c r="B930" t="s">
        <v>4135</v>
      </c>
      <c r="C930" t="s">
        <v>4136</v>
      </c>
      <c r="D930" t="s">
        <v>4137</v>
      </c>
      <c r="E930" t="s">
        <v>16</v>
      </c>
      <c r="F930" t="s">
        <v>1236</v>
      </c>
      <c r="G930" s="2">
        <v>0.54166666666666663</v>
      </c>
      <c r="H930" t="s">
        <v>1200</v>
      </c>
      <c r="I930" t="s">
        <v>1201</v>
      </c>
      <c r="L930" t="s">
        <v>1363</v>
      </c>
      <c r="X930" t="s">
        <v>1100</v>
      </c>
      <c r="Y930">
        <v>1</v>
      </c>
    </row>
    <row r="931" spans="1:33" x14ac:dyDescent="0.3">
      <c r="A931" t="s">
        <v>660</v>
      </c>
      <c r="B931" t="s">
        <v>4138</v>
      </c>
      <c r="C931" t="s">
        <v>4139</v>
      </c>
      <c r="D931" t="s">
        <v>4140</v>
      </c>
      <c r="E931" t="s">
        <v>16</v>
      </c>
      <c r="F931" t="s">
        <v>1240</v>
      </c>
      <c r="G931" s="2">
        <v>0.53472222222222221</v>
      </c>
      <c r="H931" t="s">
        <v>1200</v>
      </c>
      <c r="I931" t="s">
        <v>1201</v>
      </c>
      <c r="L931" t="s">
        <v>1363</v>
      </c>
      <c r="X931" t="s">
        <v>1100</v>
      </c>
      <c r="Y931">
        <v>1</v>
      </c>
    </row>
    <row r="932" spans="1:33" x14ac:dyDescent="0.3">
      <c r="A932" t="s">
        <v>660</v>
      </c>
      <c r="B932" t="s">
        <v>4141</v>
      </c>
      <c r="C932" t="s">
        <v>4142</v>
      </c>
      <c r="D932" t="s">
        <v>4143</v>
      </c>
      <c r="E932" t="s">
        <v>16</v>
      </c>
      <c r="F932" t="s">
        <v>1244</v>
      </c>
      <c r="G932" s="2">
        <v>0.52777777777777779</v>
      </c>
      <c r="H932" t="s">
        <v>1200</v>
      </c>
      <c r="I932" t="s">
        <v>1201</v>
      </c>
      <c r="X932" t="s">
        <v>1100</v>
      </c>
      <c r="Y932">
        <v>1</v>
      </c>
      <c r="Z932" t="s">
        <v>1396</v>
      </c>
      <c r="AB932" t="s">
        <v>498</v>
      </c>
      <c r="AC932">
        <v>2</v>
      </c>
      <c r="AD932" t="s">
        <v>1396</v>
      </c>
    </row>
    <row r="933" spans="1:33" x14ac:dyDescent="0.3">
      <c r="A933" t="s">
        <v>660</v>
      </c>
      <c r="B933" t="s">
        <v>4144</v>
      </c>
      <c r="C933" t="s">
        <v>4145</v>
      </c>
      <c r="D933" t="s">
        <v>4146</v>
      </c>
      <c r="E933" t="s">
        <v>16</v>
      </c>
      <c r="F933" t="s">
        <v>1249</v>
      </c>
      <c r="G933" s="2">
        <v>0.52083333333333337</v>
      </c>
      <c r="H933" t="s">
        <v>1200</v>
      </c>
      <c r="I933" t="s">
        <v>1201</v>
      </c>
      <c r="L933" t="s">
        <v>1363</v>
      </c>
      <c r="X933" t="s">
        <v>1100</v>
      </c>
      <c r="Y933">
        <v>1</v>
      </c>
      <c r="Z933" t="s">
        <v>1496</v>
      </c>
      <c r="AB933" t="s">
        <v>498</v>
      </c>
      <c r="AC933">
        <v>3</v>
      </c>
      <c r="AD933" t="s">
        <v>1396</v>
      </c>
    </row>
    <row r="934" spans="1:33" x14ac:dyDescent="0.3">
      <c r="A934" t="s">
        <v>660</v>
      </c>
      <c r="B934" t="s">
        <v>4147</v>
      </c>
      <c r="C934" t="s">
        <v>4148</v>
      </c>
      <c r="D934" t="s">
        <v>4149</v>
      </c>
      <c r="E934" t="s">
        <v>16</v>
      </c>
      <c r="F934" t="s">
        <v>1406</v>
      </c>
      <c r="G934" s="2">
        <v>0.51388888888888895</v>
      </c>
      <c r="H934" t="s">
        <v>1200</v>
      </c>
      <c r="I934" t="s">
        <v>1201</v>
      </c>
      <c r="L934" t="s">
        <v>1202</v>
      </c>
      <c r="X934" t="s">
        <v>1100</v>
      </c>
      <c r="Y934">
        <v>1</v>
      </c>
      <c r="Z934" t="s">
        <v>1396</v>
      </c>
      <c r="AB934" t="s">
        <v>498</v>
      </c>
      <c r="AC934">
        <v>2</v>
      </c>
      <c r="AD934" t="s">
        <v>1396</v>
      </c>
    </row>
    <row r="935" spans="1:33" x14ac:dyDescent="0.3">
      <c r="A935" t="s">
        <v>660</v>
      </c>
      <c r="B935" t="s">
        <v>4150</v>
      </c>
      <c r="C935" t="s">
        <v>4151</v>
      </c>
      <c r="D935" t="s">
        <v>4152</v>
      </c>
      <c r="E935" t="s">
        <v>16</v>
      </c>
      <c r="F935" t="s">
        <v>1254</v>
      </c>
      <c r="G935" s="2">
        <v>0.50694444444444442</v>
      </c>
      <c r="H935" t="s">
        <v>1200</v>
      </c>
      <c r="I935" t="s">
        <v>1201</v>
      </c>
      <c r="L935" t="s">
        <v>1202</v>
      </c>
      <c r="X935" t="s">
        <v>1100</v>
      </c>
      <c r="Y935">
        <v>1</v>
      </c>
      <c r="Z935" t="s">
        <v>1203</v>
      </c>
      <c r="AB935" t="s">
        <v>498</v>
      </c>
      <c r="AC935">
        <v>2</v>
      </c>
      <c r="AD935" t="s">
        <v>1203</v>
      </c>
    </row>
    <row r="936" spans="1:33" x14ac:dyDescent="0.3">
      <c r="A936" t="s">
        <v>660</v>
      </c>
      <c r="B936" t="s">
        <v>4153</v>
      </c>
      <c r="C936" t="s">
        <v>4154</v>
      </c>
      <c r="D936" t="s">
        <v>4155</v>
      </c>
      <c r="E936" t="s">
        <v>16</v>
      </c>
      <c r="F936" t="s">
        <v>1259</v>
      </c>
      <c r="G936" s="2">
        <v>0.5</v>
      </c>
      <c r="H936" t="s">
        <v>1200</v>
      </c>
      <c r="I936" t="s">
        <v>1201</v>
      </c>
      <c r="L936" t="s">
        <v>1202</v>
      </c>
      <c r="X936" t="s">
        <v>1100</v>
      </c>
      <c r="Y936">
        <v>1</v>
      </c>
      <c r="Z936" t="s">
        <v>1203</v>
      </c>
      <c r="AB936" t="s">
        <v>498</v>
      </c>
      <c r="AC936">
        <v>2</v>
      </c>
      <c r="AD936" t="s">
        <v>1228</v>
      </c>
    </row>
    <row r="937" spans="1:33" x14ac:dyDescent="0.3">
      <c r="A937" t="s">
        <v>660</v>
      </c>
      <c r="B937" t="s">
        <v>4156</v>
      </c>
      <c r="C937" t="s">
        <v>4157</v>
      </c>
      <c r="D937" t="s">
        <v>4158</v>
      </c>
      <c r="E937" t="s">
        <v>16</v>
      </c>
      <c r="F937" t="s">
        <v>1265</v>
      </c>
      <c r="G937" s="2">
        <v>0.49305555555555558</v>
      </c>
      <c r="H937" t="s">
        <v>1200</v>
      </c>
      <c r="I937" t="s">
        <v>1201</v>
      </c>
      <c r="L937" t="s">
        <v>1202</v>
      </c>
      <c r="X937" t="s">
        <v>1100</v>
      </c>
      <c r="Y937">
        <v>1</v>
      </c>
      <c r="Z937" t="s">
        <v>1203</v>
      </c>
      <c r="AB937" t="s">
        <v>498</v>
      </c>
      <c r="AC937">
        <v>2</v>
      </c>
      <c r="AD937" t="s">
        <v>1228</v>
      </c>
    </row>
    <row r="938" spans="1:33" x14ac:dyDescent="0.3">
      <c r="A938" t="s">
        <v>660</v>
      </c>
      <c r="B938" t="s">
        <v>4159</v>
      </c>
      <c r="C938" t="s">
        <v>4160</v>
      </c>
      <c r="D938" t="s">
        <v>4161</v>
      </c>
      <c r="E938" t="s">
        <v>16</v>
      </c>
      <c r="F938" t="s">
        <v>1270</v>
      </c>
      <c r="G938" s="2">
        <v>0.4861111111111111</v>
      </c>
      <c r="H938" t="s">
        <v>1200</v>
      </c>
      <c r="I938" t="s">
        <v>1201</v>
      </c>
      <c r="L938" t="s">
        <v>1202</v>
      </c>
      <c r="X938" t="s">
        <v>1100</v>
      </c>
      <c r="Y938">
        <v>1</v>
      </c>
      <c r="Z938" t="s">
        <v>1203</v>
      </c>
      <c r="AB938" t="s">
        <v>498</v>
      </c>
      <c r="AC938">
        <v>2</v>
      </c>
      <c r="AD938" t="s">
        <v>1228</v>
      </c>
    </row>
    <row r="939" spans="1:33" x14ac:dyDescent="0.3">
      <c r="A939" t="s">
        <v>660</v>
      </c>
      <c r="B939" t="s">
        <v>4162</v>
      </c>
      <c r="C939" t="s">
        <v>4163</v>
      </c>
      <c r="D939" t="s">
        <v>4164</v>
      </c>
      <c r="E939" t="s">
        <v>16</v>
      </c>
      <c r="F939" t="s">
        <v>1274</v>
      </c>
      <c r="G939" s="2">
        <v>0.47916666666666669</v>
      </c>
      <c r="H939" t="s">
        <v>1200</v>
      </c>
      <c r="I939" t="s">
        <v>1201</v>
      </c>
      <c r="L939" t="s">
        <v>1202</v>
      </c>
      <c r="X939" t="s">
        <v>1100</v>
      </c>
      <c r="Y939">
        <v>1</v>
      </c>
      <c r="Z939" t="s">
        <v>1203</v>
      </c>
      <c r="AB939" t="s">
        <v>546</v>
      </c>
      <c r="AC939">
        <v>2</v>
      </c>
      <c r="AD939" t="s">
        <v>1203</v>
      </c>
      <c r="AE939" t="s">
        <v>498</v>
      </c>
      <c r="AF939">
        <v>3</v>
      </c>
      <c r="AG939" t="s">
        <v>1203</v>
      </c>
    </row>
    <row r="940" spans="1:33" x14ac:dyDescent="0.3">
      <c r="A940" t="s">
        <v>660</v>
      </c>
      <c r="B940" t="s">
        <v>4165</v>
      </c>
      <c r="C940" t="s">
        <v>4166</v>
      </c>
      <c r="D940" t="s">
        <v>4167</v>
      </c>
      <c r="E940" t="s">
        <v>16</v>
      </c>
      <c r="F940" t="s">
        <v>1278</v>
      </c>
      <c r="G940" s="2">
        <v>0.47222222222222227</v>
      </c>
      <c r="H940" t="s">
        <v>1200</v>
      </c>
      <c r="I940" t="s">
        <v>1201</v>
      </c>
      <c r="L940" t="s">
        <v>1202</v>
      </c>
      <c r="X940" t="s">
        <v>1100</v>
      </c>
      <c r="Y940">
        <v>1</v>
      </c>
      <c r="Z940" t="s">
        <v>1228</v>
      </c>
      <c r="AB940" t="s">
        <v>498</v>
      </c>
      <c r="AC940">
        <v>3</v>
      </c>
      <c r="AD940" t="s">
        <v>1228</v>
      </c>
    </row>
    <row r="941" spans="1:33" x14ac:dyDescent="0.3">
      <c r="A941" t="s">
        <v>660</v>
      </c>
      <c r="B941" t="s">
        <v>4168</v>
      </c>
      <c r="C941" t="s">
        <v>4169</v>
      </c>
      <c r="D941" t="s">
        <v>4170</v>
      </c>
      <c r="E941" t="s">
        <v>16</v>
      </c>
      <c r="F941" t="s">
        <v>1282</v>
      </c>
      <c r="G941" s="2">
        <v>0.46527777777777773</v>
      </c>
      <c r="H941" t="s">
        <v>1200</v>
      </c>
      <c r="I941" t="s">
        <v>1201</v>
      </c>
      <c r="M941" t="s">
        <v>1292</v>
      </c>
      <c r="X941" t="s">
        <v>1100</v>
      </c>
      <c r="Y941">
        <v>1</v>
      </c>
      <c r="Z941" t="s">
        <v>1245</v>
      </c>
      <c r="AB941" t="s">
        <v>498</v>
      </c>
      <c r="AC941">
        <v>3</v>
      </c>
      <c r="AD941" t="s">
        <v>1228</v>
      </c>
    </row>
    <row r="942" spans="1:33" x14ac:dyDescent="0.3">
      <c r="A942" t="s">
        <v>660</v>
      </c>
      <c r="B942" t="s">
        <v>4171</v>
      </c>
      <c r="C942" t="s">
        <v>4172</v>
      </c>
      <c r="D942" t="s">
        <v>4173</v>
      </c>
      <c r="E942" t="s">
        <v>16</v>
      </c>
      <c r="F942" t="s">
        <v>1287</v>
      </c>
      <c r="G942" s="2">
        <v>0.45833333333333331</v>
      </c>
      <c r="H942" t="s">
        <v>1200</v>
      </c>
      <c r="I942" t="s">
        <v>1201</v>
      </c>
      <c r="M942" t="s">
        <v>1292</v>
      </c>
      <c r="X942" t="s">
        <v>1100</v>
      </c>
      <c r="Y942">
        <v>2</v>
      </c>
      <c r="Z942" t="s">
        <v>1245</v>
      </c>
      <c r="AB942" t="s">
        <v>498</v>
      </c>
      <c r="AC942">
        <v>3</v>
      </c>
      <c r="AD942" t="s">
        <v>1228</v>
      </c>
      <c r="AE942" t="s">
        <v>546</v>
      </c>
      <c r="AF942">
        <v>3</v>
      </c>
      <c r="AG942" t="s">
        <v>1245</v>
      </c>
    </row>
    <row r="943" spans="1:33" x14ac:dyDescent="0.3">
      <c r="A943" t="s">
        <v>660</v>
      </c>
      <c r="B943" t="s">
        <v>4174</v>
      </c>
      <c r="C943" t="s">
        <v>4175</v>
      </c>
      <c r="D943" t="s">
        <v>4176</v>
      </c>
      <c r="E943" t="s">
        <v>16</v>
      </c>
      <c r="F943" t="s">
        <v>1291</v>
      </c>
      <c r="G943" s="2">
        <v>0.4513888888888889</v>
      </c>
      <c r="H943" t="s">
        <v>1200</v>
      </c>
      <c r="I943" t="s">
        <v>1201</v>
      </c>
      <c r="M943" t="s">
        <v>1292</v>
      </c>
      <c r="X943" t="s">
        <v>1100</v>
      </c>
      <c r="Y943">
        <v>2</v>
      </c>
      <c r="Z943" t="s">
        <v>1228</v>
      </c>
      <c r="AB943" t="s">
        <v>498</v>
      </c>
      <c r="AC943">
        <v>3</v>
      </c>
      <c r="AD943" t="s">
        <v>1245</v>
      </c>
      <c r="AE943" t="s">
        <v>546</v>
      </c>
      <c r="AF943">
        <v>4</v>
      </c>
      <c r="AG943" t="s">
        <v>1217</v>
      </c>
    </row>
    <row r="944" spans="1:33" x14ac:dyDescent="0.3">
      <c r="A944" t="s">
        <v>660</v>
      </c>
      <c r="B944" t="s">
        <v>4177</v>
      </c>
      <c r="C944" t="s">
        <v>4178</v>
      </c>
      <c r="D944" t="s">
        <v>4179</v>
      </c>
      <c r="E944" t="s">
        <v>16</v>
      </c>
      <c r="F944" t="s">
        <v>1296</v>
      </c>
      <c r="G944" s="2">
        <v>0.44444444444444442</v>
      </c>
      <c r="H944" t="s">
        <v>1200</v>
      </c>
      <c r="I944" t="s">
        <v>1201</v>
      </c>
      <c r="M944" t="s">
        <v>1292</v>
      </c>
      <c r="X944" t="s">
        <v>1100</v>
      </c>
      <c r="Y944">
        <v>2</v>
      </c>
      <c r="Z944" t="s">
        <v>1228</v>
      </c>
      <c r="AB944" t="s">
        <v>498</v>
      </c>
      <c r="AC944">
        <v>3</v>
      </c>
      <c r="AD944" t="s">
        <v>1228</v>
      </c>
      <c r="AE944" t="s">
        <v>546</v>
      </c>
      <c r="AF944">
        <v>3</v>
      </c>
      <c r="AG944" t="s">
        <v>1245</v>
      </c>
    </row>
    <row r="945" spans="1:33" x14ac:dyDescent="0.3">
      <c r="A945" t="s">
        <v>660</v>
      </c>
      <c r="B945" t="s">
        <v>4180</v>
      </c>
      <c r="C945" t="s">
        <v>4181</v>
      </c>
      <c r="D945" t="s">
        <v>4182</v>
      </c>
      <c r="E945" t="s">
        <v>16</v>
      </c>
      <c r="F945" t="s">
        <v>1300</v>
      </c>
      <c r="G945" s="2">
        <v>0.4375</v>
      </c>
      <c r="H945" t="s">
        <v>1200</v>
      </c>
      <c r="I945" t="s">
        <v>1201</v>
      </c>
      <c r="M945" t="s">
        <v>1292</v>
      </c>
      <c r="X945" t="s">
        <v>1100</v>
      </c>
      <c r="Y945">
        <v>2</v>
      </c>
      <c r="Z945" t="s">
        <v>1245</v>
      </c>
      <c r="AB945" t="s">
        <v>525</v>
      </c>
      <c r="AC945">
        <v>3</v>
      </c>
      <c r="AD945" t="s">
        <v>1245</v>
      </c>
    </row>
    <row r="946" spans="1:33" x14ac:dyDescent="0.3">
      <c r="A946" t="s">
        <v>660</v>
      </c>
      <c r="B946" t="s">
        <v>4183</v>
      </c>
      <c r="C946" t="s">
        <v>4184</v>
      </c>
      <c r="D946" t="s">
        <v>4185</v>
      </c>
      <c r="E946" t="s">
        <v>16</v>
      </c>
      <c r="F946" t="s">
        <v>1443</v>
      </c>
      <c r="G946" s="2">
        <v>0.43055555555555558</v>
      </c>
      <c r="H946" t="s">
        <v>1200</v>
      </c>
      <c r="I946" t="s">
        <v>1201</v>
      </c>
      <c r="M946" t="s">
        <v>1292</v>
      </c>
      <c r="X946" t="s">
        <v>1100</v>
      </c>
      <c r="Y946">
        <v>1</v>
      </c>
      <c r="Z946" t="s">
        <v>1245</v>
      </c>
      <c r="AB946" t="s">
        <v>498</v>
      </c>
      <c r="AC946">
        <v>3</v>
      </c>
      <c r="AD946" t="s">
        <v>4186</v>
      </c>
      <c r="AE946" t="s">
        <v>1100</v>
      </c>
      <c r="AF946">
        <v>4</v>
      </c>
      <c r="AG946" t="s">
        <v>1245</v>
      </c>
    </row>
    <row r="947" spans="1:33" x14ac:dyDescent="0.3">
      <c r="A947" t="s">
        <v>660</v>
      </c>
      <c r="B947" t="s">
        <v>4187</v>
      </c>
      <c r="C947" t="s">
        <v>4188</v>
      </c>
      <c r="D947" t="s">
        <v>4189</v>
      </c>
      <c r="E947" t="s">
        <v>16</v>
      </c>
      <c r="F947" t="s">
        <v>1447</v>
      </c>
      <c r="G947" s="2">
        <v>0.4236111111111111</v>
      </c>
      <c r="H947" t="s">
        <v>1200</v>
      </c>
      <c r="I947" t="s">
        <v>1201</v>
      </c>
      <c r="M947" t="s">
        <v>1292</v>
      </c>
      <c r="X947" t="s">
        <v>1100</v>
      </c>
      <c r="Y947">
        <v>1</v>
      </c>
      <c r="Z947" t="s">
        <v>1228</v>
      </c>
      <c r="AB947" t="s">
        <v>498</v>
      </c>
      <c r="AC947">
        <v>3</v>
      </c>
      <c r="AD947" t="s">
        <v>1245</v>
      </c>
      <c r="AE947" t="s">
        <v>546</v>
      </c>
      <c r="AF947">
        <v>3</v>
      </c>
      <c r="AG947" t="s">
        <v>1245</v>
      </c>
    </row>
    <row r="948" spans="1:33" x14ac:dyDescent="0.3">
      <c r="A948" t="s">
        <v>660</v>
      </c>
      <c r="B948" t="s">
        <v>4190</v>
      </c>
      <c r="C948" t="s">
        <v>4191</v>
      </c>
      <c r="D948" t="s">
        <v>4192</v>
      </c>
      <c r="E948" t="s">
        <v>16</v>
      </c>
      <c r="F948" t="s">
        <v>1451</v>
      </c>
      <c r="G948" s="2">
        <v>0.41666666666666669</v>
      </c>
      <c r="H948" t="s">
        <v>1200</v>
      </c>
      <c r="I948" t="s">
        <v>1201</v>
      </c>
      <c r="M948" t="s">
        <v>1292</v>
      </c>
      <c r="X948" t="s">
        <v>1100</v>
      </c>
      <c r="Y948">
        <v>2</v>
      </c>
      <c r="Z948" t="s">
        <v>1245</v>
      </c>
      <c r="AB948" t="s">
        <v>525</v>
      </c>
      <c r="AC948">
        <v>3</v>
      </c>
      <c r="AD948" t="s">
        <v>1245</v>
      </c>
      <c r="AE948" t="s">
        <v>498</v>
      </c>
      <c r="AF948">
        <v>4</v>
      </c>
      <c r="AG948" t="s">
        <v>1228</v>
      </c>
    </row>
    <row r="949" spans="1:33" x14ac:dyDescent="0.3">
      <c r="A949" t="s">
        <v>660</v>
      </c>
      <c r="B949" t="s">
        <v>4193</v>
      </c>
      <c r="C949" t="s">
        <v>4194</v>
      </c>
      <c r="D949" t="s">
        <v>4195</v>
      </c>
      <c r="E949" t="s">
        <v>16</v>
      </c>
      <c r="F949" t="s">
        <v>1455</v>
      </c>
      <c r="G949" s="2">
        <v>0.40972222222222227</v>
      </c>
      <c r="H949" t="s">
        <v>1200</v>
      </c>
      <c r="I949" t="s">
        <v>1201</v>
      </c>
      <c r="M949" t="s">
        <v>1292</v>
      </c>
      <c r="X949" t="s">
        <v>1100</v>
      </c>
      <c r="Y949">
        <v>1</v>
      </c>
      <c r="Z949" t="s">
        <v>1245</v>
      </c>
      <c r="AB949" t="s">
        <v>525</v>
      </c>
      <c r="AC949">
        <v>3</v>
      </c>
      <c r="AD949" t="s">
        <v>1245</v>
      </c>
      <c r="AE949" t="s">
        <v>752</v>
      </c>
      <c r="AF949">
        <v>3</v>
      </c>
      <c r="AG949" t="s">
        <v>1245</v>
      </c>
    </row>
    <row r="950" spans="1:33" x14ac:dyDescent="0.3">
      <c r="A950" t="s">
        <v>660</v>
      </c>
      <c r="B950" t="s">
        <v>4196</v>
      </c>
      <c r="C950" t="s">
        <v>4197</v>
      </c>
      <c r="D950" t="s">
        <v>4198</v>
      </c>
      <c r="E950" t="s">
        <v>16</v>
      </c>
      <c r="F950" t="s">
        <v>1459</v>
      </c>
      <c r="G950" s="2">
        <v>0.40277777777777773</v>
      </c>
      <c r="H950" t="s">
        <v>1200</v>
      </c>
      <c r="I950" t="s">
        <v>1201</v>
      </c>
      <c r="K950" t="s">
        <v>1250</v>
      </c>
      <c r="X950" t="s">
        <v>1100</v>
      </c>
      <c r="Y950">
        <v>1</v>
      </c>
      <c r="Z950" t="s">
        <v>1266</v>
      </c>
      <c r="AB950" t="s">
        <v>525</v>
      </c>
      <c r="AC950">
        <v>2</v>
      </c>
      <c r="AD950" t="s">
        <v>1266</v>
      </c>
      <c r="AE950" t="s">
        <v>498</v>
      </c>
      <c r="AF950">
        <v>3</v>
      </c>
      <c r="AG950" t="s">
        <v>1266</v>
      </c>
    </row>
    <row r="951" spans="1:33" x14ac:dyDescent="0.3">
      <c r="A951" t="s">
        <v>669</v>
      </c>
      <c r="B951" t="s">
        <v>4199</v>
      </c>
      <c r="C951" t="s">
        <v>4200</v>
      </c>
      <c r="D951" t="s">
        <v>4201</v>
      </c>
      <c r="E951" t="s">
        <v>16</v>
      </c>
      <c r="F951" t="s">
        <v>1459</v>
      </c>
      <c r="G951" s="2">
        <v>0.40277777777777773</v>
      </c>
      <c r="H951" t="s">
        <v>1200</v>
      </c>
      <c r="I951" t="s">
        <v>1201</v>
      </c>
      <c r="L951" t="s">
        <v>1363</v>
      </c>
      <c r="X951" t="s">
        <v>1100</v>
      </c>
      <c r="Y951">
        <v>0</v>
      </c>
      <c r="Z951" t="s">
        <v>1396</v>
      </c>
    </row>
    <row r="952" spans="1:33" x14ac:dyDescent="0.3">
      <c r="A952" t="s">
        <v>669</v>
      </c>
      <c r="B952" t="s">
        <v>4202</v>
      </c>
      <c r="C952" t="s">
        <v>4203</v>
      </c>
      <c r="D952" t="s">
        <v>4204</v>
      </c>
      <c r="E952" t="s">
        <v>16</v>
      </c>
      <c r="F952" t="s">
        <v>1463</v>
      </c>
      <c r="G952" s="2">
        <v>0.39583333333333331</v>
      </c>
      <c r="H952" t="s">
        <v>1200</v>
      </c>
      <c r="I952" t="s">
        <v>1201</v>
      </c>
      <c r="L952" t="s">
        <v>1363</v>
      </c>
      <c r="X952" t="s">
        <v>1100</v>
      </c>
      <c r="Y952">
        <v>0</v>
      </c>
      <c r="Z952" t="s">
        <v>1396</v>
      </c>
    </row>
    <row r="953" spans="1:33" x14ac:dyDescent="0.3">
      <c r="A953" t="s">
        <v>669</v>
      </c>
      <c r="B953" t="s">
        <v>4205</v>
      </c>
      <c r="C953" t="s">
        <v>4206</v>
      </c>
      <c r="D953" t="s">
        <v>4207</v>
      </c>
      <c r="E953" t="s">
        <v>16</v>
      </c>
      <c r="F953" t="s">
        <v>1469</v>
      </c>
      <c r="G953" s="2">
        <v>0.3888888888888889</v>
      </c>
      <c r="H953" t="s">
        <v>1200</v>
      </c>
      <c r="I953" t="s">
        <v>1201</v>
      </c>
      <c r="L953" t="s">
        <v>1363</v>
      </c>
      <c r="X953" t="s">
        <v>1100</v>
      </c>
      <c r="Y953">
        <v>0</v>
      </c>
      <c r="Z953" t="s">
        <v>1396</v>
      </c>
    </row>
    <row r="954" spans="1:33" x14ac:dyDescent="0.3">
      <c r="A954" t="s">
        <v>669</v>
      </c>
      <c r="B954" t="s">
        <v>4208</v>
      </c>
      <c r="C954" t="s">
        <v>4209</v>
      </c>
      <c r="D954" t="s">
        <v>4210</v>
      </c>
      <c r="E954" t="s">
        <v>16</v>
      </c>
      <c r="F954" t="s">
        <v>1473</v>
      </c>
      <c r="G954" s="2">
        <v>0.38194444444444442</v>
      </c>
      <c r="H954" t="s">
        <v>1200</v>
      </c>
      <c r="I954" t="s">
        <v>1201</v>
      </c>
      <c r="L954" t="s">
        <v>1363</v>
      </c>
      <c r="X954" t="s">
        <v>1100</v>
      </c>
      <c r="Y954">
        <v>0</v>
      </c>
      <c r="Z954" t="s">
        <v>1396</v>
      </c>
    </row>
    <row r="955" spans="1:33" x14ac:dyDescent="0.3">
      <c r="A955" t="s">
        <v>669</v>
      </c>
      <c r="B955" t="s">
        <v>4211</v>
      </c>
      <c r="C955" t="s">
        <v>4212</v>
      </c>
      <c r="D955" t="s">
        <v>4213</v>
      </c>
      <c r="E955" t="s">
        <v>16</v>
      </c>
      <c r="F955" t="s">
        <v>1477</v>
      </c>
      <c r="G955" s="2">
        <v>0.375</v>
      </c>
      <c r="H955" t="s">
        <v>1200</v>
      </c>
      <c r="I955" t="s">
        <v>1201</v>
      </c>
      <c r="L955" t="s">
        <v>1363</v>
      </c>
      <c r="X955" t="s">
        <v>1100</v>
      </c>
      <c r="Y955">
        <v>0</v>
      </c>
      <c r="Z955" t="s">
        <v>1396</v>
      </c>
    </row>
    <row r="956" spans="1:33" x14ac:dyDescent="0.3">
      <c r="A956" t="s">
        <v>669</v>
      </c>
      <c r="B956" t="s">
        <v>4214</v>
      </c>
      <c r="C956" t="s">
        <v>4215</v>
      </c>
      <c r="D956" t="s">
        <v>4216</v>
      </c>
      <c r="E956" t="s">
        <v>16</v>
      </c>
      <c r="F956" t="s">
        <v>1482</v>
      </c>
      <c r="G956" s="2">
        <v>0.36805555555555558</v>
      </c>
      <c r="H956" t="s">
        <v>1200</v>
      </c>
      <c r="I956" t="s">
        <v>1201</v>
      </c>
      <c r="L956" t="s">
        <v>1363</v>
      </c>
      <c r="X956" t="s">
        <v>1100</v>
      </c>
      <c r="Y956">
        <v>0</v>
      </c>
      <c r="Z956" t="s">
        <v>1396</v>
      </c>
    </row>
    <row r="957" spans="1:33" x14ac:dyDescent="0.3">
      <c r="A957" t="s">
        <v>669</v>
      </c>
      <c r="B957" t="s">
        <v>4217</v>
      </c>
      <c r="C957" t="s">
        <v>4218</v>
      </c>
      <c r="D957" t="s">
        <v>4219</v>
      </c>
      <c r="E957" t="s">
        <v>16</v>
      </c>
      <c r="F957" t="s">
        <v>1486</v>
      </c>
      <c r="G957" s="2">
        <v>0.3611111111111111</v>
      </c>
      <c r="H957" t="s">
        <v>1200</v>
      </c>
      <c r="I957" t="s">
        <v>1201</v>
      </c>
      <c r="L957" t="s">
        <v>1363</v>
      </c>
      <c r="X957" t="s">
        <v>1100</v>
      </c>
      <c r="Y957">
        <v>0</v>
      </c>
      <c r="Z957" t="s">
        <v>1396</v>
      </c>
    </row>
    <row r="958" spans="1:33" x14ac:dyDescent="0.3">
      <c r="A958" t="s">
        <v>669</v>
      </c>
      <c r="B958" t="s">
        <v>4220</v>
      </c>
      <c r="C958" t="s">
        <v>4221</v>
      </c>
      <c r="D958" t="s">
        <v>4222</v>
      </c>
      <c r="E958" t="s">
        <v>16</v>
      </c>
      <c r="F958" t="s">
        <v>1490</v>
      </c>
      <c r="G958" s="2">
        <v>0.35416666666666669</v>
      </c>
      <c r="H958" t="s">
        <v>1200</v>
      </c>
      <c r="I958" t="s">
        <v>1201</v>
      </c>
      <c r="L958" t="s">
        <v>1363</v>
      </c>
      <c r="X958" t="s">
        <v>1100</v>
      </c>
      <c r="Y958">
        <v>0</v>
      </c>
      <c r="Z958" t="s">
        <v>1396</v>
      </c>
    </row>
    <row r="959" spans="1:33" x14ac:dyDescent="0.3">
      <c r="A959" t="s">
        <v>669</v>
      </c>
      <c r="B959" t="s">
        <v>4223</v>
      </c>
      <c r="C959" t="s">
        <v>4224</v>
      </c>
      <c r="D959" t="s">
        <v>4225</v>
      </c>
      <c r="E959" t="s">
        <v>16</v>
      </c>
      <c r="F959" t="s">
        <v>1495</v>
      </c>
      <c r="G959" s="2">
        <v>0.34722222222222227</v>
      </c>
      <c r="H959" t="s">
        <v>1200</v>
      </c>
      <c r="I959" t="s">
        <v>1201</v>
      </c>
      <c r="L959" t="s">
        <v>1363</v>
      </c>
      <c r="X959" t="s">
        <v>1100</v>
      </c>
      <c r="Y959">
        <v>0</v>
      </c>
      <c r="Z959" t="s">
        <v>1396</v>
      </c>
    </row>
    <row r="960" spans="1:33" x14ac:dyDescent="0.3">
      <c r="A960" t="s">
        <v>669</v>
      </c>
      <c r="B960" t="s">
        <v>4226</v>
      </c>
      <c r="C960" t="s">
        <v>4227</v>
      </c>
      <c r="D960" t="s">
        <v>4228</v>
      </c>
      <c r="E960" t="s">
        <v>16</v>
      </c>
      <c r="F960" t="s">
        <v>1500</v>
      </c>
      <c r="G960" s="2">
        <v>0.34027777777777773</v>
      </c>
      <c r="H960" t="s">
        <v>1200</v>
      </c>
      <c r="I960" t="s">
        <v>1201</v>
      </c>
      <c r="L960" t="s">
        <v>1363</v>
      </c>
      <c r="X960" t="s">
        <v>1100</v>
      </c>
      <c r="Y960">
        <v>0</v>
      </c>
      <c r="Z960" t="s">
        <v>1396</v>
      </c>
    </row>
    <row r="961" spans="1:33" x14ac:dyDescent="0.3">
      <c r="A961" t="s">
        <v>669</v>
      </c>
      <c r="B961" t="s">
        <v>4229</v>
      </c>
      <c r="C961" t="s">
        <v>4230</v>
      </c>
      <c r="D961" t="s">
        <v>4231</v>
      </c>
      <c r="E961" t="s">
        <v>16</v>
      </c>
      <c r="F961" t="s">
        <v>3030</v>
      </c>
      <c r="G961" s="2">
        <v>0.33333333333333331</v>
      </c>
      <c r="H961" t="s">
        <v>1200</v>
      </c>
      <c r="I961" t="s">
        <v>1201</v>
      </c>
      <c r="L961" t="s">
        <v>1363</v>
      </c>
      <c r="X961" t="s">
        <v>1100</v>
      </c>
      <c r="Y961">
        <v>0</v>
      </c>
      <c r="Z961" t="s">
        <v>1396</v>
      </c>
    </row>
    <row r="962" spans="1:33" x14ac:dyDescent="0.3">
      <c r="A962" t="s">
        <v>669</v>
      </c>
      <c r="B962" t="s">
        <v>4232</v>
      </c>
      <c r="C962" t="s">
        <v>4233</v>
      </c>
      <c r="D962" t="s">
        <v>4234</v>
      </c>
      <c r="E962" t="s">
        <v>16</v>
      </c>
      <c r="F962" t="s">
        <v>3034</v>
      </c>
      <c r="G962" s="2">
        <v>0.3263888888888889</v>
      </c>
      <c r="H962" t="s">
        <v>1200</v>
      </c>
      <c r="I962" t="s">
        <v>1201</v>
      </c>
      <c r="L962" t="s">
        <v>1363</v>
      </c>
      <c r="X962" t="s">
        <v>1100</v>
      </c>
      <c r="Y962">
        <v>0</v>
      </c>
      <c r="Z962" t="s">
        <v>1396</v>
      </c>
    </row>
    <row r="963" spans="1:33" x14ac:dyDescent="0.3">
      <c r="A963" t="s">
        <v>669</v>
      </c>
      <c r="B963" t="s">
        <v>4235</v>
      </c>
      <c r="C963" t="s">
        <v>4236</v>
      </c>
      <c r="D963" t="s">
        <v>4237</v>
      </c>
      <c r="E963" t="s">
        <v>16</v>
      </c>
      <c r="F963" t="s">
        <v>3038</v>
      </c>
      <c r="G963" s="2">
        <v>0.31944444444444448</v>
      </c>
      <c r="H963" t="s">
        <v>1200</v>
      </c>
      <c r="I963" t="s">
        <v>1201</v>
      </c>
      <c r="L963" t="s">
        <v>1363</v>
      </c>
      <c r="X963" t="s">
        <v>1100</v>
      </c>
      <c r="Y963">
        <v>0</v>
      </c>
      <c r="Z963" t="s">
        <v>1396</v>
      </c>
    </row>
    <row r="964" spans="1:33" x14ac:dyDescent="0.3">
      <c r="A964" t="s">
        <v>669</v>
      </c>
      <c r="B964" t="s">
        <v>4238</v>
      </c>
      <c r="C964" t="s">
        <v>4239</v>
      </c>
      <c r="D964" t="s">
        <v>4240</v>
      </c>
      <c r="E964" t="s">
        <v>16</v>
      </c>
      <c r="F964" t="s">
        <v>3042</v>
      </c>
      <c r="G964" s="2">
        <v>0.3125</v>
      </c>
      <c r="H964" t="s">
        <v>1200</v>
      </c>
      <c r="I964" t="s">
        <v>1201</v>
      </c>
      <c r="L964" t="s">
        <v>1363</v>
      </c>
      <c r="X964" t="s">
        <v>1100</v>
      </c>
      <c r="Y964">
        <v>0</v>
      </c>
      <c r="Z964" t="s">
        <v>1396</v>
      </c>
    </row>
    <row r="965" spans="1:33" x14ac:dyDescent="0.3">
      <c r="A965" t="s">
        <v>669</v>
      </c>
      <c r="B965" s="3" t="s">
        <v>4241</v>
      </c>
      <c r="C965" t="s">
        <v>4242</v>
      </c>
      <c r="D965" t="s">
        <v>4243</v>
      </c>
      <c r="E965" t="s">
        <v>16</v>
      </c>
      <c r="F965" t="s">
        <v>3317</v>
      </c>
      <c r="G965" s="2">
        <v>0.30555555555555552</v>
      </c>
      <c r="H965" t="s">
        <v>1200</v>
      </c>
      <c r="I965" t="s">
        <v>1201</v>
      </c>
      <c r="L965" t="s">
        <v>1363</v>
      </c>
      <c r="X965" t="s">
        <v>1100</v>
      </c>
      <c r="Y965">
        <v>0</v>
      </c>
      <c r="Z965" t="s">
        <v>1396</v>
      </c>
    </row>
    <row r="966" spans="1:33" x14ac:dyDescent="0.3">
      <c r="A966" t="s">
        <v>669</v>
      </c>
      <c r="B966" t="s">
        <v>4244</v>
      </c>
      <c r="C966" t="s">
        <v>4245</v>
      </c>
      <c r="D966" t="s">
        <v>4246</v>
      </c>
      <c r="E966" t="s">
        <v>16</v>
      </c>
      <c r="F966" t="s">
        <v>3321</v>
      </c>
      <c r="G966" s="2">
        <v>0.2986111111111111</v>
      </c>
      <c r="H966" t="s">
        <v>1200</v>
      </c>
      <c r="I966" t="s">
        <v>1201</v>
      </c>
      <c r="L966" t="s">
        <v>1363</v>
      </c>
      <c r="X966" t="s">
        <v>1100</v>
      </c>
      <c r="Y966">
        <v>0</v>
      </c>
      <c r="Z966" t="s">
        <v>1396</v>
      </c>
    </row>
    <row r="967" spans="1:33" x14ac:dyDescent="0.3">
      <c r="A967" t="s">
        <v>673</v>
      </c>
      <c r="B967" t="s">
        <v>4247</v>
      </c>
      <c r="C967" t="s">
        <v>4248</v>
      </c>
      <c r="D967" t="s">
        <v>4249</v>
      </c>
      <c r="E967" t="s">
        <v>16</v>
      </c>
      <c r="F967" t="s">
        <v>1350</v>
      </c>
      <c r="G967" s="2">
        <v>0.63194444444444442</v>
      </c>
      <c r="H967" t="s">
        <v>1200</v>
      </c>
      <c r="I967" t="s">
        <v>1201</v>
      </c>
      <c r="M967" t="s">
        <v>1292</v>
      </c>
    </row>
    <row r="968" spans="1:33" x14ac:dyDescent="0.3">
      <c r="A968" t="s">
        <v>673</v>
      </c>
      <c r="B968" t="s">
        <v>4250</v>
      </c>
      <c r="C968" t="s">
        <v>4251</v>
      </c>
      <c r="D968" t="s">
        <v>4252</v>
      </c>
      <c r="E968" t="s">
        <v>16</v>
      </c>
      <c r="F968" t="s">
        <v>1354</v>
      </c>
      <c r="G968" s="2">
        <v>0.625</v>
      </c>
      <c r="H968" t="s">
        <v>1200</v>
      </c>
      <c r="I968" t="s">
        <v>1201</v>
      </c>
      <c r="M968" t="s">
        <v>1292</v>
      </c>
    </row>
    <row r="969" spans="1:33" x14ac:dyDescent="0.3">
      <c r="A969" t="s">
        <v>673</v>
      </c>
      <c r="B969" t="s">
        <v>4253</v>
      </c>
      <c r="C969" t="s">
        <v>4254</v>
      </c>
      <c r="D969" t="s">
        <v>4255</v>
      </c>
      <c r="E969" t="s">
        <v>16</v>
      </c>
      <c r="F969" t="s">
        <v>1558</v>
      </c>
      <c r="G969" s="2">
        <v>0.61805555555555558</v>
      </c>
      <c r="H969" t="s">
        <v>1200</v>
      </c>
      <c r="I969" t="s">
        <v>1201</v>
      </c>
      <c r="M969" t="s">
        <v>1292</v>
      </c>
    </row>
    <row r="970" spans="1:33" x14ac:dyDescent="0.3">
      <c r="A970" t="s">
        <v>673</v>
      </c>
      <c r="B970" t="s">
        <v>4256</v>
      </c>
      <c r="C970" t="s">
        <v>4257</v>
      </c>
      <c r="D970" t="s">
        <v>4258</v>
      </c>
      <c r="E970" t="s">
        <v>16</v>
      </c>
      <c r="F970" t="s">
        <v>1358</v>
      </c>
      <c r="G970" s="2">
        <v>0.61111111111111105</v>
      </c>
      <c r="H970" t="s">
        <v>1200</v>
      </c>
      <c r="I970" t="s">
        <v>1201</v>
      </c>
      <c r="M970" t="s">
        <v>1292</v>
      </c>
      <c r="X970" t="s">
        <v>1100</v>
      </c>
      <c r="Y970">
        <v>1</v>
      </c>
      <c r="Z970" t="s">
        <v>1245</v>
      </c>
      <c r="AB970" t="s">
        <v>1100</v>
      </c>
      <c r="AC970">
        <v>1</v>
      </c>
      <c r="AD970" t="s">
        <v>1245</v>
      </c>
      <c r="AE970" t="s">
        <v>546</v>
      </c>
      <c r="AF970">
        <v>2</v>
      </c>
      <c r="AG970" t="s">
        <v>2047</v>
      </c>
    </row>
    <row r="971" spans="1:33" x14ac:dyDescent="0.3">
      <c r="A971" t="s">
        <v>673</v>
      </c>
      <c r="B971" t="s">
        <v>4259</v>
      </c>
      <c r="C971" t="s">
        <v>4260</v>
      </c>
      <c r="D971" t="s">
        <v>4261</v>
      </c>
      <c r="E971" t="s">
        <v>16</v>
      </c>
      <c r="F971" t="s">
        <v>1362</v>
      </c>
      <c r="G971" s="2">
        <v>0.60416666666666663</v>
      </c>
      <c r="H971" t="s">
        <v>1200</v>
      </c>
      <c r="I971" t="s">
        <v>1201</v>
      </c>
      <c r="M971" t="s">
        <v>1640</v>
      </c>
    </row>
    <row r="972" spans="1:33" x14ac:dyDescent="0.3">
      <c r="A972" t="s">
        <v>673</v>
      </c>
      <c r="B972" t="s">
        <v>4262</v>
      </c>
      <c r="C972" t="s">
        <v>4263</v>
      </c>
      <c r="D972" t="s">
        <v>4264</v>
      </c>
      <c r="E972" t="s">
        <v>16</v>
      </c>
      <c r="F972" t="s">
        <v>1367</v>
      </c>
      <c r="G972" s="2">
        <v>0.59722222222222221</v>
      </c>
      <c r="H972" t="s">
        <v>1200</v>
      </c>
      <c r="I972" t="s">
        <v>1201</v>
      </c>
      <c r="L972" t="s">
        <v>1222</v>
      </c>
      <c r="X972" t="s">
        <v>546</v>
      </c>
      <c r="Y972">
        <v>0</v>
      </c>
      <c r="Z972" t="s">
        <v>1228</v>
      </c>
    </row>
    <row r="973" spans="1:33" x14ac:dyDescent="0.3">
      <c r="A973" t="s">
        <v>673</v>
      </c>
      <c r="B973" t="s">
        <v>4265</v>
      </c>
      <c r="C973" t="s">
        <v>4266</v>
      </c>
      <c r="D973" t="s">
        <v>4267</v>
      </c>
      <c r="E973" t="s">
        <v>16</v>
      </c>
      <c r="F973" t="s">
        <v>1371</v>
      </c>
      <c r="G973" s="2">
        <v>0.59027777777777779</v>
      </c>
      <c r="H973" t="s">
        <v>1200</v>
      </c>
      <c r="I973" t="s">
        <v>1201</v>
      </c>
      <c r="L973" t="s">
        <v>1222</v>
      </c>
      <c r="X973" t="s">
        <v>546</v>
      </c>
      <c r="Y973">
        <v>0</v>
      </c>
      <c r="Z973" t="s">
        <v>1228</v>
      </c>
    </row>
    <row r="974" spans="1:33" x14ac:dyDescent="0.3">
      <c r="A974" t="s">
        <v>673</v>
      </c>
      <c r="B974" t="s">
        <v>4268</v>
      </c>
      <c r="C974" t="s">
        <v>4269</v>
      </c>
      <c r="D974" t="s">
        <v>4270</v>
      </c>
      <c r="E974" t="s">
        <v>16</v>
      </c>
      <c r="F974" t="s">
        <v>1199</v>
      </c>
      <c r="G974" s="2">
        <v>0.58333333333333337</v>
      </c>
      <c r="H974" t="s">
        <v>1200</v>
      </c>
      <c r="I974" t="s">
        <v>1201</v>
      </c>
      <c r="K974" t="s">
        <v>1250</v>
      </c>
      <c r="X974" t="s">
        <v>1100</v>
      </c>
      <c r="Y974">
        <v>3</v>
      </c>
      <c r="Z974" t="s">
        <v>1228</v>
      </c>
      <c r="AB974" t="s">
        <v>546</v>
      </c>
      <c r="AC974">
        <v>6</v>
      </c>
      <c r="AD974" t="s">
        <v>1228</v>
      </c>
    </row>
    <row r="975" spans="1:33" x14ac:dyDescent="0.3">
      <c r="A975" t="s">
        <v>673</v>
      </c>
      <c r="B975" t="s">
        <v>4271</v>
      </c>
      <c r="C975" t="s">
        <v>4272</v>
      </c>
      <c r="D975" t="s">
        <v>4273</v>
      </c>
      <c r="E975" t="s">
        <v>16</v>
      </c>
      <c r="F975" t="s">
        <v>1207</v>
      </c>
      <c r="G975" s="2">
        <v>0.57638888888888895</v>
      </c>
      <c r="H975" t="s">
        <v>1200</v>
      </c>
      <c r="I975" t="s">
        <v>1201</v>
      </c>
      <c r="L975" t="s">
        <v>1222</v>
      </c>
      <c r="X975" t="s">
        <v>1100</v>
      </c>
      <c r="Y975">
        <v>3</v>
      </c>
      <c r="Z975" t="s">
        <v>1228</v>
      </c>
      <c r="AB975" t="s">
        <v>546</v>
      </c>
      <c r="AC975">
        <v>6</v>
      </c>
      <c r="AD975" t="s">
        <v>1717</v>
      </c>
    </row>
    <row r="976" spans="1:33" x14ac:dyDescent="0.3">
      <c r="A976" t="s">
        <v>673</v>
      </c>
      <c r="B976" t="s">
        <v>4274</v>
      </c>
      <c r="C976" t="s">
        <v>4275</v>
      </c>
      <c r="D976" t="s">
        <v>4276</v>
      </c>
      <c r="E976" t="s">
        <v>16</v>
      </c>
      <c r="F976" t="s">
        <v>1211</v>
      </c>
      <c r="G976" s="2">
        <v>0.56944444444444442</v>
      </c>
      <c r="H976" t="s">
        <v>1200</v>
      </c>
      <c r="I976" t="s">
        <v>1201</v>
      </c>
      <c r="L976" t="s">
        <v>1222</v>
      </c>
      <c r="X976" t="s">
        <v>1100</v>
      </c>
      <c r="Y976">
        <v>2</v>
      </c>
      <c r="Z976" t="s">
        <v>1203</v>
      </c>
      <c r="AB976" t="s">
        <v>546</v>
      </c>
      <c r="AC976">
        <v>4</v>
      </c>
      <c r="AD976" t="s">
        <v>1203</v>
      </c>
    </row>
    <row r="977" spans="1:33" x14ac:dyDescent="0.3">
      <c r="A977" t="s">
        <v>673</v>
      </c>
      <c r="B977" t="s">
        <v>4277</v>
      </c>
      <c r="C977" t="s">
        <v>4278</v>
      </c>
      <c r="D977" t="s">
        <v>4279</v>
      </c>
      <c r="E977" t="s">
        <v>16</v>
      </c>
      <c r="F977" t="s">
        <v>1215</v>
      </c>
      <c r="G977" s="2">
        <v>0.5625</v>
      </c>
      <c r="H977" t="s">
        <v>1200</v>
      </c>
      <c r="I977" t="s">
        <v>1201</v>
      </c>
      <c r="L977" t="s">
        <v>1202</v>
      </c>
      <c r="X977" t="s">
        <v>1100</v>
      </c>
      <c r="Y977">
        <v>3</v>
      </c>
      <c r="Z977" t="s">
        <v>1203</v>
      </c>
      <c r="AA977" t="s">
        <v>682</v>
      </c>
      <c r="AB977" t="s">
        <v>546</v>
      </c>
      <c r="AC977">
        <v>4</v>
      </c>
      <c r="AD977" t="s">
        <v>1203</v>
      </c>
    </row>
    <row r="978" spans="1:33" x14ac:dyDescent="0.3">
      <c r="A978" t="s">
        <v>673</v>
      </c>
      <c r="B978" t="s">
        <v>4280</v>
      </c>
      <c r="C978" t="s">
        <v>4281</v>
      </c>
      <c r="D978" t="s">
        <v>4282</v>
      </c>
      <c r="E978" t="s">
        <v>16</v>
      </c>
      <c r="F978" t="s">
        <v>1221</v>
      </c>
      <c r="G978" s="2">
        <v>0.55555555555555558</v>
      </c>
      <c r="H978" t="s">
        <v>1200</v>
      </c>
      <c r="I978" t="s">
        <v>1201</v>
      </c>
      <c r="L978" t="s">
        <v>1202</v>
      </c>
      <c r="X978" t="s">
        <v>1100</v>
      </c>
      <c r="Y978">
        <v>2</v>
      </c>
      <c r="Z978" t="s">
        <v>1203</v>
      </c>
      <c r="AB978" t="s">
        <v>546</v>
      </c>
      <c r="AC978">
        <v>4</v>
      </c>
      <c r="AD978" t="s">
        <v>1203</v>
      </c>
    </row>
    <row r="979" spans="1:33" x14ac:dyDescent="0.3">
      <c r="A979" t="s">
        <v>673</v>
      </c>
      <c r="B979" t="s">
        <v>4283</v>
      </c>
      <c r="C979" t="s">
        <v>4284</v>
      </c>
      <c r="D979" t="s">
        <v>4285</v>
      </c>
      <c r="E979" t="s">
        <v>16</v>
      </c>
      <c r="F979" t="s">
        <v>1232</v>
      </c>
      <c r="G979" s="2">
        <v>0.54861111111111105</v>
      </c>
      <c r="H979" t="s">
        <v>1200</v>
      </c>
      <c r="I979" t="s">
        <v>1201</v>
      </c>
      <c r="L979" t="s">
        <v>1202</v>
      </c>
      <c r="X979" t="s">
        <v>1100</v>
      </c>
      <c r="Y979">
        <v>3</v>
      </c>
      <c r="Z979" t="s">
        <v>1203</v>
      </c>
      <c r="AB979" t="s">
        <v>546</v>
      </c>
      <c r="AC979">
        <v>4</v>
      </c>
      <c r="AD979" t="s">
        <v>1203</v>
      </c>
    </row>
    <row r="980" spans="1:33" x14ac:dyDescent="0.3">
      <c r="A980" t="s">
        <v>673</v>
      </c>
      <c r="B980" t="s">
        <v>4286</v>
      </c>
      <c r="C980" t="s">
        <v>4287</v>
      </c>
      <c r="D980" t="s">
        <v>4288</v>
      </c>
      <c r="E980" t="s">
        <v>16</v>
      </c>
      <c r="F980" t="s">
        <v>1236</v>
      </c>
      <c r="G980" s="2">
        <v>0.54166666666666663</v>
      </c>
      <c r="H980" t="s">
        <v>1200</v>
      </c>
      <c r="I980" t="s">
        <v>1201</v>
      </c>
      <c r="M980" t="s">
        <v>1464</v>
      </c>
      <c r="X980" t="s">
        <v>1100</v>
      </c>
      <c r="Y980">
        <v>2</v>
      </c>
      <c r="Z980" t="s">
        <v>1465</v>
      </c>
      <c r="AA980" t="s">
        <v>682</v>
      </c>
      <c r="AB980" t="s">
        <v>546</v>
      </c>
      <c r="AC980">
        <v>2</v>
      </c>
      <c r="AD980" t="s">
        <v>1465</v>
      </c>
    </row>
    <row r="981" spans="1:33" x14ac:dyDescent="0.3">
      <c r="A981" t="s">
        <v>673</v>
      </c>
      <c r="B981" t="s">
        <v>4289</v>
      </c>
      <c r="C981" t="s">
        <v>4290</v>
      </c>
      <c r="D981" t="s">
        <v>4291</v>
      </c>
      <c r="E981" t="s">
        <v>16</v>
      </c>
      <c r="F981" t="s">
        <v>1240</v>
      </c>
      <c r="G981" s="2">
        <v>0.53472222222222221</v>
      </c>
      <c r="H981" t="s">
        <v>1200</v>
      </c>
      <c r="I981" t="s">
        <v>1201</v>
      </c>
      <c r="M981" t="s">
        <v>1464</v>
      </c>
      <c r="X981" t="s">
        <v>1100</v>
      </c>
      <c r="Y981">
        <v>2</v>
      </c>
      <c r="Z981" t="s">
        <v>1245</v>
      </c>
      <c r="AB981" t="s">
        <v>546</v>
      </c>
      <c r="AC981">
        <v>2</v>
      </c>
      <c r="AD981" t="s">
        <v>1465</v>
      </c>
    </row>
    <row r="982" spans="1:33" x14ac:dyDescent="0.3">
      <c r="A982" t="s">
        <v>673</v>
      </c>
      <c r="B982" t="s">
        <v>4292</v>
      </c>
      <c r="C982" t="s">
        <v>4293</v>
      </c>
      <c r="D982" t="s">
        <v>4294</v>
      </c>
      <c r="E982" t="s">
        <v>16</v>
      </c>
      <c r="F982" t="s">
        <v>1244</v>
      </c>
      <c r="G982" s="2">
        <v>0.52777777777777779</v>
      </c>
      <c r="H982" t="s">
        <v>1200</v>
      </c>
      <c r="I982" t="s">
        <v>1201</v>
      </c>
      <c r="M982" t="s">
        <v>1464</v>
      </c>
      <c r="X982" t="s">
        <v>1100</v>
      </c>
      <c r="Y982">
        <v>2</v>
      </c>
      <c r="Z982" t="s">
        <v>1465</v>
      </c>
      <c r="AB982" t="s">
        <v>1100</v>
      </c>
      <c r="AC982">
        <v>2</v>
      </c>
      <c r="AD982" t="s">
        <v>1245</v>
      </c>
      <c r="AE982" t="s">
        <v>1100</v>
      </c>
      <c r="AF982">
        <v>2</v>
      </c>
      <c r="AG982" t="s">
        <v>1245</v>
      </c>
    </row>
    <row r="983" spans="1:33" x14ac:dyDescent="0.3">
      <c r="A983" t="s">
        <v>673</v>
      </c>
      <c r="B983" t="s">
        <v>4295</v>
      </c>
      <c r="C983" t="s">
        <v>4296</v>
      </c>
      <c r="D983" t="s">
        <v>4297</v>
      </c>
      <c r="E983" t="s">
        <v>16</v>
      </c>
      <c r="F983" t="s">
        <v>1249</v>
      </c>
      <c r="G983" s="2">
        <v>0.52083333333333337</v>
      </c>
      <c r="H983" t="s">
        <v>1200</v>
      </c>
      <c r="I983" t="s">
        <v>1201</v>
      </c>
      <c r="K983" t="s">
        <v>1250</v>
      </c>
      <c r="X983" t="s">
        <v>1100</v>
      </c>
      <c r="Y983">
        <v>2</v>
      </c>
      <c r="Z983" t="s">
        <v>1228</v>
      </c>
      <c r="AB983" t="s">
        <v>1100</v>
      </c>
      <c r="AC983">
        <v>3</v>
      </c>
      <c r="AD983" t="s">
        <v>1217</v>
      </c>
      <c r="AE983" t="s">
        <v>1100</v>
      </c>
      <c r="AF983">
        <v>3</v>
      </c>
      <c r="AG983" t="s">
        <v>1217</v>
      </c>
    </row>
    <row r="984" spans="1:33" x14ac:dyDescent="0.3">
      <c r="A984" t="s">
        <v>673</v>
      </c>
      <c r="B984" t="s">
        <v>4298</v>
      </c>
      <c r="C984" t="s">
        <v>4299</v>
      </c>
      <c r="D984" t="s">
        <v>4300</v>
      </c>
      <c r="E984" t="s">
        <v>16</v>
      </c>
      <c r="F984" t="s">
        <v>1406</v>
      </c>
      <c r="G984" s="2">
        <v>0.51388888888888895</v>
      </c>
      <c r="H984" t="s">
        <v>1200</v>
      </c>
      <c r="I984" t="s">
        <v>1201</v>
      </c>
      <c r="K984" t="s">
        <v>1250</v>
      </c>
      <c r="X984" t="s">
        <v>1100</v>
      </c>
      <c r="Y984">
        <v>1</v>
      </c>
      <c r="Z984" t="s">
        <v>1266</v>
      </c>
      <c r="AB984" t="s">
        <v>1100</v>
      </c>
      <c r="AC984">
        <v>2</v>
      </c>
      <c r="AD984" t="s">
        <v>1266</v>
      </c>
      <c r="AE984" t="s">
        <v>1100</v>
      </c>
      <c r="AF984">
        <v>2</v>
      </c>
      <c r="AG984" t="s">
        <v>1266</v>
      </c>
    </row>
    <row r="985" spans="1:33" x14ac:dyDescent="0.3">
      <c r="A985" t="s">
        <v>673</v>
      </c>
      <c r="B985" t="s">
        <v>4301</v>
      </c>
      <c r="C985" t="s">
        <v>4302</v>
      </c>
      <c r="D985" t="s">
        <v>4303</v>
      </c>
      <c r="E985" t="s">
        <v>16</v>
      </c>
      <c r="F985" t="s">
        <v>1254</v>
      </c>
      <c r="G985" s="2">
        <v>0.50694444444444442</v>
      </c>
      <c r="H985" t="s">
        <v>1200</v>
      </c>
      <c r="I985" t="s">
        <v>1201</v>
      </c>
      <c r="L985" t="s">
        <v>1202</v>
      </c>
    </row>
    <row r="986" spans="1:33" x14ac:dyDescent="0.3">
      <c r="A986" t="s">
        <v>673</v>
      </c>
      <c r="B986" t="s">
        <v>4304</v>
      </c>
      <c r="C986" t="s">
        <v>4305</v>
      </c>
      <c r="D986" t="s">
        <v>4306</v>
      </c>
      <c r="E986" t="s">
        <v>16</v>
      </c>
      <c r="F986" t="s">
        <v>1259</v>
      </c>
      <c r="G986" s="2">
        <v>0.5</v>
      </c>
      <c r="H986" t="s">
        <v>1200</v>
      </c>
      <c r="I986" t="s">
        <v>1201</v>
      </c>
      <c r="L986" t="s">
        <v>1202</v>
      </c>
    </row>
    <row r="987" spans="1:33" x14ac:dyDescent="0.3">
      <c r="A987" t="s">
        <v>673</v>
      </c>
      <c r="B987" t="s">
        <v>4307</v>
      </c>
      <c r="C987" t="s">
        <v>4308</v>
      </c>
      <c r="D987" t="s">
        <v>4309</v>
      </c>
      <c r="E987" t="s">
        <v>16</v>
      </c>
      <c r="F987" t="s">
        <v>1265</v>
      </c>
      <c r="G987" s="2">
        <v>0.49305555555555558</v>
      </c>
      <c r="H987" t="s">
        <v>1200</v>
      </c>
      <c r="I987" t="s">
        <v>1201</v>
      </c>
      <c r="L987" t="s">
        <v>1202</v>
      </c>
    </row>
    <row r="988" spans="1:33" x14ac:dyDescent="0.3">
      <c r="A988" t="s">
        <v>673</v>
      </c>
      <c r="B988" t="s">
        <v>4310</v>
      </c>
      <c r="C988" t="s">
        <v>4311</v>
      </c>
      <c r="D988" t="s">
        <v>4312</v>
      </c>
      <c r="E988" t="s">
        <v>16</v>
      </c>
      <c r="F988" t="s">
        <v>1270</v>
      </c>
      <c r="G988" s="2">
        <v>0.4861111111111111</v>
      </c>
      <c r="H988" t="s">
        <v>1200</v>
      </c>
      <c r="I988" t="s">
        <v>1201</v>
      </c>
      <c r="L988" t="s">
        <v>1202</v>
      </c>
    </row>
    <row r="989" spans="1:33" x14ac:dyDescent="0.3">
      <c r="A989" t="s">
        <v>673</v>
      </c>
      <c r="B989" t="s">
        <v>4313</v>
      </c>
      <c r="C989" t="s">
        <v>4314</v>
      </c>
      <c r="D989" t="s">
        <v>4315</v>
      </c>
      <c r="E989" t="s">
        <v>16</v>
      </c>
      <c r="F989" t="s">
        <v>1274</v>
      </c>
      <c r="G989" s="2">
        <v>0.47916666666666669</v>
      </c>
      <c r="H989" t="s">
        <v>1200</v>
      </c>
      <c r="I989" t="s">
        <v>1201</v>
      </c>
      <c r="L989" t="s">
        <v>1202</v>
      </c>
    </row>
    <row r="990" spans="1:33" x14ac:dyDescent="0.3">
      <c r="A990" t="s">
        <v>673</v>
      </c>
      <c r="B990" t="s">
        <v>4316</v>
      </c>
      <c r="C990" t="s">
        <v>4317</v>
      </c>
      <c r="D990" t="s">
        <v>4318</v>
      </c>
      <c r="E990" t="s">
        <v>16</v>
      </c>
      <c r="F990" t="s">
        <v>1278</v>
      </c>
      <c r="G990" s="2">
        <v>0.47222222222222227</v>
      </c>
      <c r="H990" t="s">
        <v>1200</v>
      </c>
      <c r="I990" t="s">
        <v>1201</v>
      </c>
      <c r="L990" t="s">
        <v>1202</v>
      </c>
    </row>
    <row r="991" spans="1:33" x14ac:dyDescent="0.3">
      <c r="A991" t="s">
        <v>673</v>
      </c>
      <c r="B991" t="s">
        <v>4319</v>
      </c>
      <c r="C991" t="s">
        <v>4320</v>
      </c>
      <c r="D991" t="s">
        <v>4321</v>
      </c>
      <c r="E991" t="s">
        <v>16</v>
      </c>
      <c r="F991" t="s">
        <v>1282</v>
      </c>
      <c r="G991" s="2">
        <v>0.46527777777777773</v>
      </c>
      <c r="H991" t="s">
        <v>1200</v>
      </c>
      <c r="I991" t="s">
        <v>1201</v>
      </c>
      <c r="L991" t="s">
        <v>1202</v>
      </c>
    </row>
    <row r="992" spans="1:33" x14ac:dyDescent="0.3">
      <c r="A992" t="s">
        <v>673</v>
      </c>
      <c r="B992" t="s">
        <v>4322</v>
      </c>
      <c r="C992" t="s">
        <v>4323</v>
      </c>
      <c r="D992" t="s">
        <v>4324</v>
      </c>
      <c r="E992" t="s">
        <v>16</v>
      </c>
      <c r="F992" t="s">
        <v>1287</v>
      </c>
      <c r="G992" s="2">
        <v>0.45833333333333331</v>
      </c>
      <c r="H992" t="s">
        <v>1200</v>
      </c>
      <c r="I992" t="s">
        <v>1201</v>
      </c>
      <c r="L992" t="s">
        <v>1202</v>
      </c>
    </row>
    <row r="993" spans="1:33" x14ac:dyDescent="0.3">
      <c r="A993" t="s">
        <v>673</v>
      </c>
      <c r="B993" t="s">
        <v>4325</v>
      </c>
      <c r="C993" t="s">
        <v>4326</v>
      </c>
      <c r="D993" t="s">
        <v>4327</v>
      </c>
      <c r="E993" t="s">
        <v>16</v>
      </c>
      <c r="F993" t="s">
        <v>1291</v>
      </c>
      <c r="G993" s="2">
        <v>0.4513888888888889</v>
      </c>
      <c r="H993" t="s">
        <v>1200</v>
      </c>
      <c r="I993" t="s">
        <v>1201</v>
      </c>
      <c r="L993" t="s">
        <v>1202</v>
      </c>
    </row>
    <row r="994" spans="1:33" x14ac:dyDescent="0.3">
      <c r="A994" t="s">
        <v>673</v>
      </c>
      <c r="B994" t="s">
        <v>4328</v>
      </c>
      <c r="C994" t="s">
        <v>4329</v>
      </c>
      <c r="D994" t="s">
        <v>4330</v>
      </c>
      <c r="E994" t="s">
        <v>16</v>
      </c>
      <c r="F994" t="s">
        <v>1296</v>
      </c>
      <c r="G994" s="2">
        <v>0.44444444444444442</v>
      </c>
      <c r="H994" t="s">
        <v>1200</v>
      </c>
      <c r="I994" t="s">
        <v>1201</v>
      </c>
      <c r="K994" t="s">
        <v>1250</v>
      </c>
    </row>
    <row r="995" spans="1:33" x14ac:dyDescent="0.3">
      <c r="A995" t="s">
        <v>673</v>
      </c>
      <c r="B995" t="s">
        <v>4331</v>
      </c>
      <c r="C995" t="s">
        <v>4332</v>
      </c>
      <c r="D995" t="s">
        <v>4333</v>
      </c>
      <c r="E995" t="s">
        <v>16</v>
      </c>
      <c r="F995" t="s">
        <v>1300</v>
      </c>
      <c r="G995" s="2">
        <v>0.4375</v>
      </c>
      <c r="H995" t="s">
        <v>1200</v>
      </c>
      <c r="I995" t="s">
        <v>1201</v>
      </c>
      <c r="L995" t="s">
        <v>1202</v>
      </c>
    </row>
    <row r="996" spans="1:33" x14ac:dyDescent="0.3">
      <c r="A996" t="s">
        <v>673</v>
      </c>
      <c r="B996" t="s">
        <v>4334</v>
      </c>
      <c r="C996" t="s">
        <v>4335</v>
      </c>
      <c r="D996" t="s">
        <v>4336</v>
      </c>
      <c r="E996" t="s">
        <v>16</v>
      </c>
      <c r="F996" t="s">
        <v>1443</v>
      </c>
      <c r="G996" s="2">
        <v>0.43055555555555558</v>
      </c>
      <c r="H996" t="s">
        <v>1200</v>
      </c>
      <c r="I996" t="s">
        <v>1201</v>
      </c>
      <c r="L996" t="s">
        <v>1202</v>
      </c>
    </row>
    <row r="997" spans="1:33" x14ac:dyDescent="0.3">
      <c r="A997" t="s">
        <v>673</v>
      </c>
      <c r="B997" t="s">
        <v>4337</v>
      </c>
      <c r="C997" t="s">
        <v>4338</v>
      </c>
      <c r="D997" t="s">
        <v>4339</v>
      </c>
      <c r="E997" t="s">
        <v>16</v>
      </c>
      <c r="F997" t="s">
        <v>1447</v>
      </c>
      <c r="G997" s="2">
        <v>0.4236111111111111</v>
      </c>
      <c r="H997" t="s">
        <v>1200</v>
      </c>
      <c r="I997" t="s">
        <v>1201</v>
      </c>
      <c r="L997" t="s">
        <v>1202</v>
      </c>
    </row>
    <row r="998" spans="1:33" x14ac:dyDescent="0.3">
      <c r="A998" t="s">
        <v>673</v>
      </c>
      <c r="B998" t="s">
        <v>4340</v>
      </c>
      <c r="C998" t="s">
        <v>4341</v>
      </c>
      <c r="D998" t="s">
        <v>4342</v>
      </c>
      <c r="E998" t="s">
        <v>16</v>
      </c>
      <c r="F998" t="s">
        <v>1451</v>
      </c>
      <c r="G998" s="2">
        <v>0.41666666666666669</v>
      </c>
      <c r="H998" t="s">
        <v>1200</v>
      </c>
      <c r="I998" t="s">
        <v>1201</v>
      </c>
      <c r="L998" t="s">
        <v>1202</v>
      </c>
    </row>
    <row r="999" spans="1:33" x14ac:dyDescent="0.3">
      <c r="A999" t="s">
        <v>673</v>
      </c>
      <c r="B999" t="s">
        <v>4343</v>
      </c>
      <c r="C999" t="s">
        <v>4344</v>
      </c>
      <c r="D999" t="s">
        <v>4345</v>
      </c>
      <c r="E999" t="s">
        <v>16</v>
      </c>
      <c r="F999" t="s">
        <v>1463</v>
      </c>
      <c r="G999" s="2">
        <v>0.39583333333333331</v>
      </c>
      <c r="H999" t="s">
        <v>1200</v>
      </c>
      <c r="I999" t="s">
        <v>1201</v>
      </c>
      <c r="L999" t="s">
        <v>1202</v>
      </c>
    </row>
    <row r="1000" spans="1:33" x14ac:dyDescent="0.3">
      <c r="A1000" t="s">
        <v>673</v>
      </c>
      <c r="B1000" t="s">
        <v>4346</v>
      </c>
      <c r="C1000" t="s">
        <v>4347</v>
      </c>
      <c r="D1000" t="s">
        <v>4348</v>
      </c>
      <c r="E1000" t="s">
        <v>16</v>
      </c>
      <c r="F1000" t="s">
        <v>1469</v>
      </c>
      <c r="G1000" s="2">
        <v>0.3888888888888889</v>
      </c>
      <c r="H1000" t="s">
        <v>1200</v>
      </c>
      <c r="I1000" t="s">
        <v>1201</v>
      </c>
      <c r="L1000" t="s">
        <v>1202</v>
      </c>
    </row>
    <row r="1001" spans="1:33" x14ac:dyDescent="0.3">
      <c r="A1001" t="s">
        <v>673</v>
      </c>
      <c r="B1001" t="s">
        <v>4349</v>
      </c>
      <c r="C1001" t="s">
        <v>4350</v>
      </c>
      <c r="D1001" t="s">
        <v>4351</v>
      </c>
      <c r="E1001" t="s">
        <v>16</v>
      </c>
      <c r="F1001" t="s">
        <v>1473</v>
      </c>
      <c r="G1001" s="2">
        <v>0.38194444444444442</v>
      </c>
      <c r="H1001" t="s">
        <v>1200</v>
      </c>
      <c r="I1001" t="s">
        <v>1201</v>
      </c>
      <c r="L1001" t="s">
        <v>1202</v>
      </c>
    </row>
    <row r="1002" spans="1:33" x14ac:dyDescent="0.3">
      <c r="A1002" t="s">
        <v>673</v>
      </c>
      <c r="B1002" t="s">
        <v>4352</v>
      </c>
      <c r="C1002" t="s">
        <v>4353</v>
      </c>
      <c r="D1002" t="s">
        <v>4354</v>
      </c>
      <c r="E1002" t="s">
        <v>16</v>
      </c>
      <c r="F1002" t="s">
        <v>1477</v>
      </c>
      <c r="G1002" s="2">
        <v>0.375</v>
      </c>
      <c r="H1002" t="s">
        <v>1200</v>
      </c>
      <c r="I1002" t="s">
        <v>1201</v>
      </c>
      <c r="L1002" t="s">
        <v>1202</v>
      </c>
    </row>
    <row r="1003" spans="1:33" x14ac:dyDescent="0.3">
      <c r="A1003" t="s">
        <v>673</v>
      </c>
      <c r="B1003" t="s">
        <v>4355</v>
      </c>
      <c r="C1003" t="s">
        <v>4356</v>
      </c>
      <c r="D1003" t="s">
        <v>4357</v>
      </c>
      <c r="E1003" t="s">
        <v>16</v>
      </c>
      <c r="F1003" t="s">
        <v>1482</v>
      </c>
      <c r="G1003" s="2">
        <v>0.36805555555555558</v>
      </c>
      <c r="H1003" t="s">
        <v>1200</v>
      </c>
      <c r="I1003" t="s">
        <v>1201</v>
      </c>
      <c r="L1003" t="s">
        <v>1202</v>
      </c>
    </row>
    <row r="1004" spans="1:33" x14ac:dyDescent="0.3">
      <c r="A1004" t="s">
        <v>673</v>
      </c>
      <c r="B1004" t="s">
        <v>4358</v>
      </c>
      <c r="C1004" t="s">
        <v>4359</v>
      </c>
      <c r="D1004" t="s">
        <v>4360</v>
      </c>
      <c r="E1004" t="s">
        <v>16</v>
      </c>
      <c r="F1004" t="s">
        <v>1486</v>
      </c>
      <c r="G1004" s="2">
        <v>0.3611111111111111</v>
      </c>
      <c r="H1004" t="s">
        <v>1200</v>
      </c>
      <c r="I1004" t="s">
        <v>1201</v>
      </c>
      <c r="L1004" t="s">
        <v>1202</v>
      </c>
    </row>
    <row r="1005" spans="1:33" x14ac:dyDescent="0.3">
      <c r="A1005" t="s">
        <v>673</v>
      </c>
      <c r="B1005" t="s">
        <v>4361</v>
      </c>
      <c r="C1005" t="s">
        <v>4362</v>
      </c>
      <c r="D1005" t="s">
        <v>4363</v>
      </c>
      <c r="E1005" t="s">
        <v>16</v>
      </c>
      <c r="F1005" t="s">
        <v>1490</v>
      </c>
      <c r="G1005" s="2">
        <v>0.35416666666666669</v>
      </c>
      <c r="H1005" t="s">
        <v>1200</v>
      </c>
      <c r="I1005" t="s">
        <v>1201</v>
      </c>
      <c r="L1005" t="s">
        <v>1202</v>
      </c>
    </row>
    <row r="1006" spans="1:33" x14ac:dyDescent="0.3">
      <c r="A1006" t="s">
        <v>673</v>
      </c>
      <c r="B1006" t="s">
        <v>4364</v>
      </c>
      <c r="C1006" t="s">
        <v>4365</v>
      </c>
      <c r="D1006" t="s">
        <v>4366</v>
      </c>
      <c r="E1006" t="s">
        <v>16</v>
      </c>
      <c r="F1006" t="s">
        <v>1495</v>
      </c>
      <c r="G1006" s="2">
        <v>0.34722222222222227</v>
      </c>
      <c r="H1006" t="s">
        <v>1200</v>
      </c>
      <c r="I1006" t="s">
        <v>1201</v>
      </c>
      <c r="L1006" t="s">
        <v>1202</v>
      </c>
    </row>
    <row r="1007" spans="1:33" x14ac:dyDescent="0.3">
      <c r="A1007" t="s">
        <v>673</v>
      </c>
      <c r="B1007" t="s">
        <v>4367</v>
      </c>
      <c r="C1007" t="s">
        <v>4368</v>
      </c>
      <c r="D1007" t="s">
        <v>4369</v>
      </c>
      <c r="E1007" t="s">
        <v>16</v>
      </c>
      <c r="F1007" t="s">
        <v>1500</v>
      </c>
      <c r="G1007" s="2">
        <v>0.34027777777777773</v>
      </c>
      <c r="H1007" t="s">
        <v>1200</v>
      </c>
      <c r="I1007" t="s">
        <v>1201</v>
      </c>
      <c r="L1007" t="s">
        <v>1202</v>
      </c>
    </row>
    <row r="1008" spans="1:33" x14ac:dyDescent="0.3">
      <c r="A1008" t="s">
        <v>677</v>
      </c>
      <c r="B1008" t="s">
        <v>4370</v>
      </c>
      <c r="C1008" t="s">
        <v>4371</v>
      </c>
      <c r="D1008" t="s">
        <v>4372</v>
      </c>
      <c r="E1008" t="s">
        <v>16</v>
      </c>
      <c r="F1008" t="s">
        <v>1317</v>
      </c>
      <c r="G1008" s="2">
        <v>0.6875</v>
      </c>
      <c r="H1008" t="s">
        <v>1200</v>
      </c>
      <c r="I1008" t="s">
        <v>1201</v>
      </c>
      <c r="L1008" t="s">
        <v>1222</v>
      </c>
      <c r="X1008" t="s">
        <v>546</v>
      </c>
      <c r="Y1008">
        <v>1</v>
      </c>
      <c r="Z1008" t="s">
        <v>1228</v>
      </c>
      <c r="AB1008" t="s">
        <v>498</v>
      </c>
      <c r="AC1008">
        <v>3</v>
      </c>
      <c r="AD1008" t="s">
        <v>1228</v>
      </c>
      <c r="AE1008" t="s">
        <v>1100</v>
      </c>
      <c r="AF1008">
        <v>3</v>
      </c>
      <c r="AG1008" t="s">
        <v>1203</v>
      </c>
    </row>
    <row r="1009" spans="1:33" x14ac:dyDescent="0.3">
      <c r="A1009" t="s">
        <v>677</v>
      </c>
      <c r="B1009" t="s">
        <v>4373</v>
      </c>
      <c r="C1009" t="s">
        <v>4374</v>
      </c>
      <c r="D1009" t="s">
        <v>4375</v>
      </c>
      <c r="E1009" t="s">
        <v>16</v>
      </c>
      <c r="F1009" t="s">
        <v>1321</v>
      </c>
      <c r="G1009" s="2">
        <v>0.68055555555555547</v>
      </c>
      <c r="H1009" t="s">
        <v>1200</v>
      </c>
      <c r="I1009" t="s">
        <v>1201</v>
      </c>
      <c r="L1009" t="s">
        <v>1222</v>
      </c>
      <c r="X1009" t="s">
        <v>546</v>
      </c>
      <c r="Y1009">
        <v>1</v>
      </c>
      <c r="Z1009" t="s">
        <v>1717</v>
      </c>
      <c r="AB1009" t="s">
        <v>498</v>
      </c>
      <c r="AC1009">
        <v>3</v>
      </c>
      <c r="AD1009" t="s">
        <v>4376</v>
      </c>
      <c r="AE1009" t="s">
        <v>1100</v>
      </c>
      <c r="AF1009">
        <v>3</v>
      </c>
      <c r="AG1009" t="s">
        <v>1203</v>
      </c>
    </row>
    <row r="1010" spans="1:33" x14ac:dyDescent="0.3">
      <c r="A1010" t="s">
        <v>677</v>
      </c>
      <c r="B1010" t="s">
        <v>4377</v>
      </c>
      <c r="C1010" t="s">
        <v>4378</v>
      </c>
      <c r="D1010" t="s">
        <v>4379</v>
      </c>
      <c r="E1010" t="s">
        <v>16</v>
      </c>
      <c r="F1010" t="s">
        <v>1325</v>
      </c>
      <c r="G1010" s="2">
        <v>0.67361111111111116</v>
      </c>
      <c r="H1010" t="s">
        <v>1200</v>
      </c>
      <c r="I1010" t="s">
        <v>1201</v>
      </c>
      <c r="L1010" t="s">
        <v>1202</v>
      </c>
      <c r="X1010" t="s">
        <v>546</v>
      </c>
      <c r="Y1010">
        <v>1</v>
      </c>
      <c r="Z1010" t="s">
        <v>1203</v>
      </c>
      <c r="AB1010" t="s">
        <v>546</v>
      </c>
      <c r="AC1010">
        <v>2</v>
      </c>
      <c r="AD1010" t="s">
        <v>1203</v>
      </c>
      <c r="AE1010" t="s">
        <v>1100</v>
      </c>
      <c r="AF1010">
        <v>2</v>
      </c>
      <c r="AG1010" t="s">
        <v>1266</v>
      </c>
    </row>
    <row r="1011" spans="1:33" x14ac:dyDescent="0.3">
      <c r="A1011" t="s">
        <v>677</v>
      </c>
      <c r="B1011" t="s">
        <v>4380</v>
      </c>
      <c r="C1011" t="s">
        <v>4381</v>
      </c>
      <c r="D1011" t="s">
        <v>4382</v>
      </c>
      <c r="E1011" t="s">
        <v>16</v>
      </c>
      <c r="F1011" t="s">
        <v>1329</v>
      </c>
      <c r="G1011" s="2">
        <v>0.66666666666666663</v>
      </c>
      <c r="H1011" t="s">
        <v>1200</v>
      </c>
      <c r="I1011" t="s">
        <v>1201</v>
      </c>
      <c r="M1011" t="s">
        <v>1260</v>
      </c>
      <c r="X1011" t="s">
        <v>1100</v>
      </c>
      <c r="Y1011">
        <v>1</v>
      </c>
      <c r="Z1011" t="s">
        <v>1245</v>
      </c>
      <c r="AB1011" t="s">
        <v>498</v>
      </c>
      <c r="AC1011">
        <v>1</v>
      </c>
      <c r="AD1011" t="s">
        <v>4186</v>
      </c>
      <c r="AE1011" t="s">
        <v>546</v>
      </c>
      <c r="AF1011">
        <v>2</v>
      </c>
      <c r="AG1011" t="s">
        <v>1217</v>
      </c>
    </row>
    <row r="1012" spans="1:33" x14ac:dyDescent="0.3">
      <c r="A1012" t="s">
        <v>677</v>
      </c>
      <c r="B1012" t="s">
        <v>4383</v>
      </c>
      <c r="C1012" t="s">
        <v>4384</v>
      </c>
      <c r="D1012" t="s">
        <v>4385</v>
      </c>
      <c r="E1012" t="s">
        <v>16</v>
      </c>
      <c r="F1012" t="s">
        <v>1333</v>
      </c>
      <c r="G1012" s="2">
        <v>0.65972222222222221</v>
      </c>
      <c r="H1012" t="s">
        <v>1200</v>
      </c>
      <c r="I1012" t="s">
        <v>1201</v>
      </c>
      <c r="M1012" t="s">
        <v>1260</v>
      </c>
      <c r="X1012" t="s">
        <v>546</v>
      </c>
      <c r="Y1012">
        <v>1</v>
      </c>
      <c r="Z1012" t="s">
        <v>1261</v>
      </c>
      <c r="AB1012" t="s">
        <v>1100</v>
      </c>
      <c r="AC1012">
        <v>2</v>
      </c>
      <c r="AD1012" t="s">
        <v>1203</v>
      </c>
      <c r="AE1012" t="s">
        <v>498</v>
      </c>
      <c r="AF1012">
        <v>2</v>
      </c>
      <c r="AG1012" t="s">
        <v>1228</v>
      </c>
    </row>
    <row r="1013" spans="1:33" x14ac:dyDescent="0.3">
      <c r="A1013" t="s">
        <v>677</v>
      </c>
      <c r="B1013" t="s">
        <v>4386</v>
      </c>
      <c r="C1013" t="s">
        <v>4387</v>
      </c>
      <c r="D1013" t="s">
        <v>4388</v>
      </c>
      <c r="E1013" t="s">
        <v>16</v>
      </c>
      <c r="F1013" t="s">
        <v>1338</v>
      </c>
      <c r="G1013" s="2">
        <v>0.65277777777777779</v>
      </c>
      <c r="H1013" t="s">
        <v>1200</v>
      </c>
      <c r="I1013" t="s">
        <v>1201</v>
      </c>
      <c r="M1013" t="s">
        <v>1260</v>
      </c>
      <c r="X1013" t="s">
        <v>546</v>
      </c>
      <c r="Y1013">
        <v>1</v>
      </c>
      <c r="Z1013" t="s">
        <v>1261</v>
      </c>
      <c r="AB1013" t="s">
        <v>1100</v>
      </c>
      <c r="AC1013">
        <v>2</v>
      </c>
      <c r="AD1013" t="s">
        <v>1217</v>
      </c>
      <c r="AE1013" t="s">
        <v>525</v>
      </c>
      <c r="AF1013">
        <v>2</v>
      </c>
      <c r="AG1013" t="s">
        <v>1245</v>
      </c>
    </row>
    <row r="1014" spans="1:33" x14ac:dyDescent="0.3">
      <c r="A1014" t="s">
        <v>677</v>
      </c>
      <c r="B1014" t="s">
        <v>4389</v>
      </c>
      <c r="C1014" t="s">
        <v>4390</v>
      </c>
      <c r="D1014" t="s">
        <v>4391</v>
      </c>
      <c r="E1014" t="s">
        <v>16</v>
      </c>
      <c r="F1014" t="s">
        <v>1342</v>
      </c>
      <c r="G1014" s="2">
        <v>0.64583333333333337</v>
      </c>
      <c r="H1014" t="s">
        <v>1200</v>
      </c>
      <c r="I1014" t="s">
        <v>1201</v>
      </c>
      <c r="K1014" t="s">
        <v>1250</v>
      </c>
      <c r="X1014" t="s">
        <v>546</v>
      </c>
      <c r="Y1014">
        <v>4</v>
      </c>
      <c r="Z1014" t="s">
        <v>1266</v>
      </c>
      <c r="AB1014" t="s">
        <v>498</v>
      </c>
      <c r="AC1014">
        <v>5</v>
      </c>
      <c r="AD1014" t="s">
        <v>1266</v>
      </c>
    </row>
    <row r="1015" spans="1:33" x14ac:dyDescent="0.3">
      <c r="A1015" t="s">
        <v>677</v>
      </c>
      <c r="B1015" t="s">
        <v>4392</v>
      </c>
      <c r="C1015" t="s">
        <v>4393</v>
      </c>
      <c r="D1015" t="s">
        <v>4394</v>
      </c>
      <c r="E1015" t="s">
        <v>16</v>
      </c>
      <c r="F1015" t="s">
        <v>1346</v>
      </c>
      <c r="G1015" s="2">
        <v>0.63888888888888895</v>
      </c>
      <c r="H1015" t="s">
        <v>1200</v>
      </c>
      <c r="I1015" t="s">
        <v>1201</v>
      </c>
      <c r="L1015" t="s">
        <v>1202</v>
      </c>
      <c r="X1015" t="s">
        <v>546</v>
      </c>
      <c r="Y1015">
        <v>0</v>
      </c>
      <c r="Z1015" t="s">
        <v>1203</v>
      </c>
      <c r="AB1015" t="s">
        <v>498</v>
      </c>
      <c r="AC1015">
        <v>2</v>
      </c>
      <c r="AD1015" t="s">
        <v>1203</v>
      </c>
    </row>
    <row r="1016" spans="1:33" x14ac:dyDescent="0.3">
      <c r="A1016" t="s">
        <v>677</v>
      </c>
      <c r="B1016" t="s">
        <v>4395</v>
      </c>
      <c r="C1016" t="s">
        <v>4396</v>
      </c>
      <c r="D1016" t="s">
        <v>4397</v>
      </c>
      <c r="E1016" t="s">
        <v>16</v>
      </c>
      <c r="F1016" t="s">
        <v>1350</v>
      </c>
      <c r="G1016" s="2">
        <v>0.63194444444444442</v>
      </c>
      <c r="H1016" t="s">
        <v>1200</v>
      </c>
      <c r="I1016" t="s">
        <v>1201</v>
      </c>
      <c r="L1016" t="s">
        <v>1202</v>
      </c>
      <c r="X1016" t="s">
        <v>546</v>
      </c>
      <c r="Y1016">
        <v>0</v>
      </c>
      <c r="Z1016" t="s">
        <v>1203</v>
      </c>
      <c r="AB1016" t="s">
        <v>498</v>
      </c>
      <c r="AC1016">
        <v>2</v>
      </c>
    </row>
    <row r="1017" spans="1:33" x14ac:dyDescent="0.3">
      <c r="A1017" t="s">
        <v>677</v>
      </c>
      <c r="B1017" t="s">
        <v>4398</v>
      </c>
      <c r="C1017" t="s">
        <v>4399</v>
      </c>
      <c r="D1017" t="s">
        <v>4400</v>
      </c>
      <c r="E1017" t="s">
        <v>16</v>
      </c>
      <c r="F1017" t="s">
        <v>1354</v>
      </c>
      <c r="G1017" s="2">
        <v>0.625</v>
      </c>
      <c r="H1017" t="s">
        <v>1200</v>
      </c>
      <c r="I1017" t="s">
        <v>1201</v>
      </c>
      <c r="K1017" t="s">
        <v>1250</v>
      </c>
      <c r="X1017" t="s">
        <v>546</v>
      </c>
      <c r="Y1017">
        <v>0</v>
      </c>
      <c r="Z1017" t="s">
        <v>1228</v>
      </c>
      <c r="AB1017" t="s">
        <v>498</v>
      </c>
      <c r="AD1017" t="s">
        <v>1704</v>
      </c>
    </row>
    <row r="1018" spans="1:33" x14ac:dyDescent="0.3">
      <c r="A1018" t="s">
        <v>677</v>
      </c>
      <c r="B1018" t="s">
        <v>4401</v>
      </c>
      <c r="C1018" t="s">
        <v>4402</v>
      </c>
      <c r="D1018" t="s">
        <v>4403</v>
      </c>
      <c r="E1018" t="s">
        <v>16</v>
      </c>
      <c r="F1018" t="s">
        <v>1558</v>
      </c>
      <c r="G1018" s="2">
        <v>0.61805555555555558</v>
      </c>
      <c r="H1018" t="s">
        <v>1200</v>
      </c>
      <c r="I1018" t="s">
        <v>1201</v>
      </c>
      <c r="L1018" t="s">
        <v>1363</v>
      </c>
      <c r="X1018" t="s">
        <v>546</v>
      </c>
      <c r="Y1018">
        <v>4</v>
      </c>
      <c r="Z1018" t="s">
        <v>1396</v>
      </c>
      <c r="AB1018" t="s">
        <v>498</v>
      </c>
      <c r="AC1018">
        <v>5</v>
      </c>
      <c r="AD1018" t="s">
        <v>1396</v>
      </c>
    </row>
    <row r="1019" spans="1:33" x14ac:dyDescent="0.3">
      <c r="A1019" t="s">
        <v>677</v>
      </c>
      <c r="B1019" t="s">
        <v>4404</v>
      </c>
      <c r="C1019" t="s">
        <v>4405</v>
      </c>
      <c r="D1019" t="s">
        <v>4406</v>
      </c>
      <c r="E1019" t="s">
        <v>16</v>
      </c>
      <c r="F1019" t="s">
        <v>1358</v>
      </c>
      <c r="G1019" s="2">
        <v>0.61111111111111105</v>
      </c>
      <c r="H1019" t="s">
        <v>1200</v>
      </c>
      <c r="I1019" t="s">
        <v>1201</v>
      </c>
      <c r="L1019" t="s">
        <v>1363</v>
      </c>
      <c r="X1019" t="s">
        <v>546</v>
      </c>
      <c r="Y1019">
        <v>4</v>
      </c>
      <c r="Z1019" t="s">
        <v>1396</v>
      </c>
      <c r="AB1019" t="s">
        <v>498</v>
      </c>
      <c r="AC1019">
        <v>5</v>
      </c>
      <c r="AD1019" t="s">
        <v>1396</v>
      </c>
    </row>
    <row r="1020" spans="1:33" x14ac:dyDescent="0.3">
      <c r="A1020" t="s">
        <v>677</v>
      </c>
      <c r="B1020" t="s">
        <v>4407</v>
      </c>
      <c r="C1020" t="s">
        <v>4408</v>
      </c>
      <c r="D1020" t="s">
        <v>4409</v>
      </c>
      <c r="E1020" t="s">
        <v>16</v>
      </c>
      <c r="F1020" t="s">
        <v>1362</v>
      </c>
      <c r="G1020" s="2">
        <v>0.60416666666666663</v>
      </c>
      <c r="H1020" t="s">
        <v>1200</v>
      </c>
      <c r="I1020" t="s">
        <v>1201</v>
      </c>
      <c r="L1020" t="s">
        <v>1363</v>
      </c>
      <c r="X1020" t="s">
        <v>546</v>
      </c>
      <c r="Y1020">
        <v>3</v>
      </c>
      <c r="Z1020" t="s">
        <v>1396</v>
      </c>
      <c r="AB1020" t="s">
        <v>498</v>
      </c>
      <c r="AC1020">
        <v>5</v>
      </c>
      <c r="AD1020" t="s">
        <v>1396</v>
      </c>
    </row>
    <row r="1021" spans="1:33" x14ac:dyDescent="0.3">
      <c r="A1021" t="s">
        <v>677</v>
      </c>
      <c r="B1021" t="s">
        <v>4410</v>
      </c>
      <c r="C1021" t="s">
        <v>4411</v>
      </c>
      <c r="D1021" t="s">
        <v>4412</v>
      </c>
      <c r="E1021" t="s">
        <v>16</v>
      </c>
      <c r="F1021" t="s">
        <v>1367</v>
      </c>
      <c r="G1021" s="2">
        <v>0.59722222222222221</v>
      </c>
      <c r="H1021" t="s">
        <v>1200</v>
      </c>
      <c r="I1021" t="s">
        <v>1201</v>
      </c>
      <c r="L1021" t="s">
        <v>1363</v>
      </c>
      <c r="X1021" t="s">
        <v>546</v>
      </c>
      <c r="Y1021">
        <v>4</v>
      </c>
      <c r="Z1021" t="s">
        <v>1396</v>
      </c>
      <c r="AB1021" t="s">
        <v>498</v>
      </c>
      <c r="AC1021">
        <v>5</v>
      </c>
      <c r="AD1021" t="s">
        <v>1396</v>
      </c>
    </row>
    <row r="1022" spans="1:33" x14ac:dyDescent="0.3">
      <c r="A1022" t="s">
        <v>677</v>
      </c>
      <c r="B1022" t="s">
        <v>4413</v>
      </c>
      <c r="C1022" t="s">
        <v>4414</v>
      </c>
      <c r="D1022" t="s">
        <v>4415</v>
      </c>
      <c r="E1022" t="s">
        <v>16</v>
      </c>
      <c r="F1022" t="s">
        <v>1371</v>
      </c>
      <c r="G1022" s="2">
        <v>0.59027777777777779</v>
      </c>
      <c r="H1022" t="s">
        <v>1200</v>
      </c>
      <c r="I1022" t="s">
        <v>1201</v>
      </c>
      <c r="L1022" t="s">
        <v>1363</v>
      </c>
      <c r="X1022" t="s">
        <v>546</v>
      </c>
      <c r="Y1022">
        <v>4</v>
      </c>
      <c r="Z1022" t="s">
        <v>1396</v>
      </c>
      <c r="AB1022" t="s">
        <v>498</v>
      </c>
      <c r="AC1022">
        <v>5</v>
      </c>
      <c r="AD1022" t="s">
        <v>1396</v>
      </c>
    </row>
    <row r="1023" spans="1:33" x14ac:dyDescent="0.3">
      <c r="A1023" t="s">
        <v>677</v>
      </c>
      <c r="B1023" t="s">
        <v>4416</v>
      </c>
      <c r="C1023" t="s">
        <v>4417</v>
      </c>
      <c r="D1023" t="s">
        <v>4418</v>
      </c>
      <c r="E1023" t="s">
        <v>16</v>
      </c>
      <c r="F1023" t="s">
        <v>1199</v>
      </c>
      <c r="G1023" s="2">
        <v>0.58333333333333337</v>
      </c>
      <c r="H1023" t="s">
        <v>1200</v>
      </c>
      <c r="I1023" t="s">
        <v>1201</v>
      </c>
      <c r="L1023" t="s">
        <v>1363</v>
      </c>
      <c r="X1023" t="s">
        <v>546</v>
      </c>
      <c r="Y1023">
        <v>4</v>
      </c>
      <c r="Z1023" t="s">
        <v>1396</v>
      </c>
      <c r="AB1023" t="s">
        <v>498</v>
      </c>
      <c r="AC1023">
        <v>5</v>
      </c>
      <c r="AD1023" t="s">
        <v>1396</v>
      </c>
    </row>
    <row r="1024" spans="1:33" x14ac:dyDescent="0.3">
      <c r="A1024" t="s">
        <v>677</v>
      </c>
      <c r="B1024" t="s">
        <v>4419</v>
      </c>
      <c r="C1024" t="s">
        <v>4420</v>
      </c>
      <c r="D1024" t="s">
        <v>4421</v>
      </c>
      <c r="E1024" t="s">
        <v>16</v>
      </c>
      <c r="F1024" t="s">
        <v>1207</v>
      </c>
      <c r="G1024" s="2">
        <v>0.57638888888888895</v>
      </c>
      <c r="H1024" t="s">
        <v>1200</v>
      </c>
      <c r="I1024" t="s">
        <v>1201</v>
      </c>
      <c r="L1024" t="s">
        <v>1363</v>
      </c>
      <c r="X1024" t="s">
        <v>546</v>
      </c>
      <c r="Y1024">
        <v>4</v>
      </c>
      <c r="Z1024" t="s">
        <v>1396</v>
      </c>
      <c r="AB1024" t="s">
        <v>498</v>
      </c>
      <c r="AC1024">
        <v>5</v>
      </c>
    </row>
    <row r="1025" spans="1:30" x14ac:dyDescent="0.3">
      <c r="A1025" t="s">
        <v>677</v>
      </c>
      <c r="B1025" t="s">
        <v>4422</v>
      </c>
      <c r="C1025" t="s">
        <v>4423</v>
      </c>
      <c r="D1025" t="s">
        <v>4424</v>
      </c>
      <c r="E1025" t="s">
        <v>16</v>
      </c>
      <c r="F1025" t="s">
        <v>1211</v>
      </c>
      <c r="G1025" s="2">
        <v>0.56944444444444442</v>
      </c>
      <c r="H1025" t="s">
        <v>1200</v>
      </c>
      <c r="I1025" t="s">
        <v>1201</v>
      </c>
      <c r="L1025" t="s">
        <v>1363</v>
      </c>
      <c r="X1025" t="s">
        <v>546</v>
      </c>
      <c r="Y1025">
        <v>4</v>
      </c>
      <c r="Z1025" t="s">
        <v>1396</v>
      </c>
      <c r="AB1025" t="s">
        <v>498</v>
      </c>
      <c r="AC1025">
        <v>5</v>
      </c>
      <c r="AD1025" t="s">
        <v>1396</v>
      </c>
    </row>
    <row r="1026" spans="1:30" x14ac:dyDescent="0.3">
      <c r="A1026" t="s">
        <v>677</v>
      </c>
      <c r="B1026" t="s">
        <v>4425</v>
      </c>
      <c r="C1026" t="s">
        <v>4426</v>
      </c>
      <c r="D1026" t="s">
        <v>4427</v>
      </c>
      <c r="E1026" t="s">
        <v>16</v>
      </c>
      <c r="F1026" t="s">
        <v>1215</v>
      </c>
      <c r="G1026" s="2">
        <v>0.5625</v>
      </c>
      <c r="H1026" t="s">
        <v>1200</v>
      </c>
      <c r="I1026" t="s">
        <v>1201</v>
      </c>
      <c r="L1026" t="s">
        <v>1363</v>
      </c>
      <c r="X1026" t="s">
        <v>546</v>
      </c>
      <c r="Y1026">
        <v>4</v>
      </c>
      <c r="Z1026" t="s">
        <v>1396</v>
      </c>
      <c r="AB1026" t="s">
        <v>498</v>
      </c>
      <c r="AC1026">
        <v>5</v>
      </c>
      <c r="AD1026" t="s">
        <v>1396</v>
      </c>
    </row>
    <row r="1027" spans="1:30" x14ac:dyDescent="0.3">
      <c r="A1027" t="s">
        <v>677</v>
      </c>
      <c r="B1027" t="s">
        <v>4428</v>
      </c>
      <c r="C1027" t="s">
        <v>4429</v>
      </c>
      <c r="D1027" t="s">
        <v>4430</v>
      </c>
      <c r="E1027" t="s">
        <v>16</v>
      </c>
      <c r="F1027" t="s">
        <v>1221</v>
      </c>
      <c r="G1027" s="2">
        <v>0.55555555555555558</v>
      </c>
      <c r="H1027" t="s">
        <v>1200</v>
      </c>
      <c r="I1027" t="s">
        <v>1201</v>
      </c>
      <c r="L1027" t="s">
        <v>1363</v>
      </c>
      <c r="X1027" t="s">
        <v>546</v>
      </c>
      <c r="Y1027">
        <v>3</v>
      </c>
      <c r="Z1027" t="s">
        <v>1396</v>
      </c>
      <c r="AB1027" t="s">
        <v>498</v>
      </c>
      <c r="AC1027">
        <v>5</v>
      </c>
      <c r="AD1027" t="s">
        <v>1396</v>
      </c>
    </row>
    <row r="1028" spans="1:30" x14ac:dyDescent="0.3">
      <c r="A1028" t="s">
        <v>677</v>
      </c>
      <c r="B1028" t="s">
        <v>4431</v>
      </c>
      <c r="C1028" t="s">
        <v>4432</v>
      </c>
      <c r="D1028" t="s">
        <v>4433</v>
      </c>
      <c r="E1028" t="s">
        <v>16</v>
      </c>
      <c r="F1028" t="s">
        <v>1232</v>
      </c>
      <c r="G1028" s="2">
        <v>0.54861111111111105</v>
      </c>
      <c r="H1028" t="s">
        <v>1200</v>
      </c>
      <c r="I1028" t="s">
        <v>1201</v>
      </c>
      <c r="L1028" t="s">
        <v>1202</v>
      </c>
      <c r="X1028" t="s">
        <v>546</v>
      </c>
      <c r="Y1028">
        <v>3</v>
      </c>
      <c r="Z1028" t="s">
        <v>1203</v>
      </c>
      <c r="AB1028" t="s">
        <v>498</v>
      </c>
      <c r="AC1028">
        <v>5</v>
      </c>
      <c r="AD1028" t="s">
        <v>4376</v>
      </c>
    </row>
    <row r="1029" spans="1:30" x14ac:dyDescent="0.3">
      <c r="A1029" t="s">
        <v>677</v>
      </c>
      <c r="B1029" t="s">
        <v>4434</v>
      </c>
      <c r="C1029" t="s">
        <v>4435</v>
      </c>
      <c r="D1029" t="s">
        <v>4436</v>
      </c>
      <c r="E1029" t="s">
        <v>16</v>
      </c>
      <c r="F1029" t="s">
        <v>1236</v>
      </c>
      <c r="G1029" s="2">
        <v>0.54166666666666663</v>
      </c>
      <c r="H1029" t="s">
        <v>1200</v>
      </c>
      <c r="I1029" t="s">
        <v>1201</v>
      </c>
      <c r="L1029" t="s">
        <v>1202</v>
      </c>
      <c r="X1029" t="s">
        <v>546</v>
      </c>
      <c r="Y1029">
        <v>3</v>
      </c>
      <c r="Z1029" t="s">
        <v>1203</v>
      </c>
      <c r="AB1029" t="s">
        <v>498</v>
      </c>
      <c r="AC1029">
        <v>5</v>
      </c>
      <c r="AD1029" t="s">
        <v>4376</v>
      </c>
    </row>
    <row r="1030" spans="1:30" x14ac:dyDescent="0.3">
      <c r="A1030" t="s">
        <v>677</v>
      </c>
      <c r="B1030" t="s">
        <v>4437</v>
      </c>
      <c r="C1030" t="s">
        <v>4438</v>
      </c>
      <c r="D1030" t="s">
        <v>4439</v>
      </c>
      <c r="E1030" t="s">
        <v>16</v>
      </c>
      <c r="F1030" t="s">
        <v>1240</v>
      </c>
      <c r="G1030" s="2">
        <v>0.53472222222222221</v>
      </c>
      <c r="H1030" t="s">
        <v>1200</v>
      </c>
      <c r="I1030" t="s">
        <v>1201</v>
      </c>
      <c r="L1030" t="s">
        <v>1202</v>
      </c>
      <c r="X1030" t="s">
        <v>546</v>
      </c>
      <c r="Y1030">
        <v>2</v>
      </c>
      <c r="Z1030" t="s">
        <v>1203</v>
      </c>
      <c r="AB1030" t="s">
        <v>498</v>
      </c>
      <c r="AC1030">
        <v>5</v>
      </c>
      <c r="AD1030" t="s">
        <v>1228</v>
      </c>
    </row>
    <row r="1031" spans="1:30" x14ac:dyDescent="0.3">
      <c r="A1031" t="s">
        <v>677</v>
      </c>
      <c r="B1031" t="s">
        <v>4440</v>
      </c>
      <c r="C1031" t="s">
        <v>4441</v>
      </c>
      <c r="D1031" t="s">
        <v>4442</v>
      </c>
      <c r="E1031" t="s">
        <v>16</v>
      </c>
      <c r="F1031" t="s">
        <v>1244</v>
      </c>
      <c r="G1031" s="2">
        <v>0.52777777777777779</v>
      </c>
      <c r="H1031" t="s">
        <v>1200</v>
      </c>
      <c r="I1031" t="s">
        <v>1201</v>
      </c>
      <c r="M1031" t="s">
        <v>1292</v>
      </c>
      <c r="X1031" t="s">
        <v>546</v>
      </c>
      <c r="Y1031">
        <v>2</v>
      </c>
      <c r="Z1031" t="s">
        <v>1245</v>
      </c>
      <c r="AB1031" t="s">
        <v>498</v>
      </c>
      <c r="AC1031">
        <v>4</v>
      </c>
      <c r="AD1031" t="s">
        <v>1266</v>
      </c>
    </row>
    <row r="1032" spans="1:30" x14ac:dyDescent="0.3">
      <c r="A1032" t="s">
        <v>677</v>
      </c>
      <c r="B1032" t="s">
        <v>4443</v>
      </c>
      <c r="C1032" t="s">
        <v>4444</v>
      </c>
      <c r="D1032" t="s">
        <v>4445</v>
      </c>
      <c r="E1032" t="s">
        <v>16</v>
      </c>
      <c r="F1032" t="s">
        <v>1249</v>
      </c>
      <c r="G1032" s="2">
        <v>0.52083333333333337</v>
      </c>
      <c r="H1032" t="s">
        <v>1200</v>
      </c>
      <c r="I1032" t="s">
        <v>1201</v>
      </c>
      <c r="K1032" t="s">
        <v>1250</v>
      </c>
      <c r="X1032" t="s">
        <v>546</v>
      </c>
      <c r="Y1032">
        <v>3</v>
      </c>
      <c r="Z1032" t="s">
        <v>1266</v>
      </c>
      <c r="AB1032" t="s">
        <v>498</v>
      </c>
      <c r="AC1032">
        <v>5</v>
      </c>
    </row>
    <row r="1033" spans="1:30" x14ac:dyDescent="0.3">
      <c r="A1033" t="s">
        <v>677</v>
      </c>
      <c r="B1033" t="s">
        <v>4446</v>
      </c>
      <c r="C1033" t="s">
        <v>4447</v>
      </c>
      <c r="D1033" t="s">
        <v>4448</v>
      </c>
      <c r="E1033" t="s">
        <v>16</v>
      </c>
      <c r="F1033" t="s">
        <v>1406</v>
      </c>
      <c r="G1033" s="2">
        <v>0.51388888888888895</v>
      </c>
      <c r="H1033" t="s">
        <v>1200</v>
      </c>
      <c r="I1033" t="s">
        <v>1201</v>
      </c>
      <c r="Q1033" t="s">
        <v>2609</v>
      </c>
      <c r="X1033" t="s">
        <v>546</v>
      </c>
      <c r="Y1033">
        <v>1</v>
      </c>
      <c r="Z1033" t="s">
        <v>1203</v>
      </c>
    </row>
    <row r="1034" spans="1:30" x14ac:dyDescent="0.3">
      <c r="A1034" t="s">
        <v>677</v>
      </c>
      <c r="B1034" t="s">
        <v>4449</v>
      </c>
      <c r="C1034" t="s">
        <v>4450</v>
      </c>
      <c r="D1034" t="s">
        <v>4451</v>
      </c>
      <c r="E1034" t="s">
        <v>16</v>
      </c>
      <c r="F1034" t="s">
        <v>1254</v>
      </c>
      <c r="G1034" s="2">
        <v>0.50694444444444442</v>
      </c>
      <c r="H1034" t="s">
        <v>1200</v>
      </c>
      <c r="I1034" t="s">
        <v>1201</v>
      </c>
      <c r="L1034" t="s">
        <v>1202</v>
      </c>
      <c r="X1034" t="s">
        <v>546</v>
      </c>
      <c r="Y1034">
        <v>1</v>
      </c>
      <c r="Z1034" t="s">
        <v>1203</v>
      </c>
    </row>
    <row r="1035" spans="1:30" x14ac:dyDescent="0.3">
      <c r="A1035" t="s">
        <v>677</v>
      </c>
      <c r="B1035" t="s">
        <v>4452</v>
      </c>
      <c r="C1035" t="s">
        <v>4453</v>
      </c>
      <c r="D1035" t="s">
        <v>4454</v>
      </c>
      <c r="E1035" t="s">
        <v>16</v>
      </c>
      <c r="F1035" t="s">
        <v>1259</v>
      </c>
      <c r="G1035" s="2">
        <v>0.5</v>
      </c>
      <c r="H1035" t="s">
        <v>1200</v>
      </c>
      <c r="I1035" t="s">
        <v>1201</v>
      </c>
      <c r="L1035" t="s">
        <v>1363</v>
      </c>
      <c r="X1035" t="s">
        <v>546</v>
      </c>
      <c r="Y1035">
        <v>1</v>
      </c>
      <c r="Z1035" t="s">
        <v>1396</v>
      </c>
    </row>
    <row r="1036" spans="1:30" x14ac:dyDescent="0.3">
      <c r="A1036" t="s">
        <v>677</v>
      </c>
      <c r="B1036" t="s">
        <v>4455</v>
      </c>
      <c r="C1036" t="s">
        <v>4456</v>
      </c>
      <c r="D1036" t="s">
        <v>4457</v>
      </c>
      <c r="E1036" t="s">
        <v>16</v>
      </c>
      <c r="F1036" t="s">
        <v>1265</v>
      </c>
      <c r="G1036" s="2">
        <v>0.49305555555555558</v>
      </c>
      <c r="H1036" t="s">
        <v>1200</v>
      </c>
      <c r="I1036" t="s">
        <v>1201</v>
      </c>
      <c r="L1036" t="s">
        <v>1363</v>
      </c>
      <c r="X1036" t="s">
        <v>546</v>
      </c>
      <c r="Y1036">
        <v>1</v>
      </c>
      <c r="Z1036" t="s">
        <v>1396</v>
      </c>
    </row>
    <row r="1037" spans="1:30" x14ac:dyDescent="0.3">
      <c r="A1037" t="s">
        <v>677</v>
      </c>
      <c r="B1037" t="s">
        <v>4458</v>
      </c>
      <c r="C1037" t="s">
        <v>4459</v>
      </c>
      <c r="D1037" t="s">
        <v>4460</v>
      </c>
      <c r="E1037" t="s">
        <v>16</v>
      </c>
      <c r="F1037" t="s">
        <v>1270</v>
      </c>
      <c r="G1037" s="2">
        <v>0.4861111111111111</v>
      </c>
      <c r="H1037" t="s">
        <v>1200</v>
      </c>
      <c r="I1037" t="s">
        <v>1201</v>
      </c>
      <c r="L1037" t="s">
        <v>1363</v>
      </c>
      <c r="X1037" t="s">
        <v>546</v>
      </c>
      <c r="Y1037">
        <v>1</v>
      </c>
      <c r="Z1037" t="s">
        <v>1396</v>
      </c>
    </row>
    <row r="1038" spans="1:30" x14ac:dyDescent="0.3">
      <c r="A1038" t="s">
        <v>677</v>
      </c>
      <c r="B1038" t="s">
        <v>4461</v>
      </c>
      <c r="C1038" t="s">
        <v>4462</v>
      </c>
      <c r="D1038" t="s">
        <v>4463</v>
      </c>
      <c r="E1038" t="s">
        <v>16</v>
      </c>
      <c r="F1038" t="s">
        <v>1274</v>
      </c>
      <c r="G1038" s="2">
        <v>0.47916666666666669</v>
      </c>
      <c r="H1038" t="s">
        <v>1200</v>
      </c>
      <c r="I1038" t="s">
        <v>1201</v>
      </c>
      <c r="L1038" t="s">
        <v>1222</v>
      </c>
      <c r="R1038" t="s">
        <v>1223</v>
      </c>
      <c r="X1038" t="s">
        <v>546</v>
      </c>
      <c r="Y1038">
        <v>3</v>
      </c>
      <c r="Z1038" t="s">
        <v>1228</v>
      </c>
    </row>
    <row r="1039" spans="1:30" x14ac:dyDescent="0.3">
      <c r="A1039" t="s">
        <v>677</v>
      </c>
      <c r="B1039" t="s">
        <v>4464</v>
      </c>
      <c r="C1039" t="s">
        <v>4465</v>
      </c>
      <c r="D1039" t="s">
        <v>4466</v>
      </c>
      <c r="E1039" t="s">
        <v>16</v>
      </c>
      <c r="F1039" t="s">
        <v>1278</v>
      </c>
      <c r="G1039" s="2">
        <v>0.47222222222222227</v>
      </c>
      <c r="H1039" t="s">
        <v>1200</v>
      </c>
      <c r="I1039" t="s">
        <v>1201</v>
      </c>
      <c r="L1039" t="s">
        <v>1222</v>
      </c>
      <c r="X1039" t="s">
        <v>546</v>
      </c>
      <c r="Y1039">
        <v>2</v>
      </c>
      <c r="Z1039" t="s">
        <v>1228</v>
      </c>
    </row>
    <row r="1040" spans="1:30" x14ac:dyDescent="0.3">
      <c r="A1040" t="s">
        <v>677</v>
      </c>
      <c r="B1040" t="s">
        <v>4467</v>
      </c>
      <c r="C1040" t="s">
        <v>4468</v>
      </c>
      <c r="D1040" t="s">
        <v>4469</v>
      </c>
      <c r="E1040" t="s">
        <v>16</v>
      </c>
      <c r="F1040" t="s">
        <v>1282</v>
      </c>
      <c r="G1040" s="2">
        <v>0.46527777777777773</v>
      </c>
      <c r="H1040" t="s">
        <v>1200</v>
      </c>
      <c r="I1040" t="s">
        <v>1201</v>
      </c>
      <c r="L1040" t="s">
        <v>1222</v>
      </c>
      <c r="R1040" t="s">
        <v>1223</v>
      </c>
      <c r="X1040" t="s">
        <v>546</v>
      </c>
      <c r="Y1040">
        <v>2</v>
      </c>
      <c r="Z1040" t="s">
        <v>1203</v>
      </c>
    </row>
    <row r="1041" spans="1:27" x14ac:dyDescent="0.3">
      <c r="A1041" t="s">
        <v>677</v>
      </c>
      <c r="B1041" t="s">
        <v>4470</v>
      </c>
      <c r="C1041" t="s">
        <v>4471</v>
      </c>
      <c r="D1041" t="s">
        <v>4472</v>
      </c>
      <c r="E1041" t="s">
        <v>16</v>
      </c>
      <c r="F1041" t="s">
        <v>1287</v>
      </c>
      <c r="G1041" s="2">
        <v>0.45833333333333331</v>
      </c>
      <c r="H1041" t="s">
        <v>1200</v>
      </c>
      <c r="I1041" t="s">
        <v>1201</v>
      </c>
      <c r="L1041" t="s">
        <v>1222</v>
      </c>
      <c r="X1041" t="s">
        <v>546</v>
      </c>
      <c r="Y1041">
        <v>3</v>
      </c>
      <c r="Z1041" t="s">
        <v>1228</v>
      </c>
    </row>
    <row r="1042" spans="1:27" x14ac:dyDescent="0.3">
      <c r="A1042" t="s">
        <v>677</v>
      </c>
      <c r="B1042" t="s">
        <v>4473</v>
      </c>
      <c r="C1042" t="s">
        <v>4474</v>
      </c>
      <c r="D1042" t="s">
        <v>4475</v>
      </c>
      <c r="E1042" t="s">
        <v>16</v>
      </c>
      <c r="F1042" t="s">
        <v>1291</v>
      </c>
      <c r="G1042" s="2">
        <v>0.4513888888888889</v>
      </c>
      <c r="I1042" t="s">
        <v>1201</v>
      </c>
      <c r="K1042" t="s">
        <v>1250</v>
      </c>
      <c r="X1042" t="s">
        <v>546</v>
      </c>
      <c r="Y1042">
        <v>3</v>
      </c>
      <c r="Z1042" t="s">
        <v>1228</v>
      </c>
    </row>
    <row r="1043" spans="1:27" x14ac:dyDescent="0.3">
      <c r="A1043" t="s">
        <v>677</v>
      </c>
      <c r="B1043" t="s">
        <v>4476</v>
      </c>
      <c r="C1043" t="s">
        <v>4477</v>
      </c>
      <c r="D1043" t="s">
        <v>4478</v>
      </c>
      <c r="E1043" t="s">
        <v>16</v>
      </c>
      <c r="F1043" t="s">
        <v>1296</v>
      </c>
      <c r="G1043" s="2">
        <v>0.44444444444444442</v>
      </c>
      <c r="H1043" t="s">
        <v>1200</v>
      </c>
      <c r="I1043" t="s">
        <v>1201</v>
      </c>
      <c r="K1043" t="s">
        <v>1250</v>
      </c>
      <c r="X1043" t="s">
        <v>546</v>
      </c>
      <c r="Y1043">
        <v>4</v>
      </c>
      <c r="Z1043" t="s">
        <v>1266</v>
      </c>
    </row>
    <row r="1044" spans="1:27" x14ac:dyDescent="0.3">
      <c r="A1044" t="s">
        <v>677</v>
      </c>
      <c r="B1044" t="s">
        <v>4479</v>
      </c>
      <c r="C1044" t="s">
        <v>4480</v>
      </c>
      <c r="D1044" t="s">
        <v>4481</v>
      </c>
      <c r="E1044" t="s">
        <v>16</v>
      </c>
      <c r="F1044" t="s">
        <v>1300</v>
      </c>
      <c r="G1044" s="2">
        <v>0.4375</v>
      </c>
      <c r="H1044" t="s">
        <v>1200</v>
      </c>
      <c r="I1044" t="s">
        <v>1201</v>
      </c>
      <c r="K1044" t="s">
        <v>1250</v>
      </c>
      <c r="X1044" t="s">
        <v>546</v>
      </c>
      <c r="Y1044">
        <v>5</v>
      </c>
      <c r="Z1044" t="s">
        <v>1266</v>
      </c>
    </row>
    <row r="1045" spans="1:27" x14ac:dyDescent="0.3">
      <c r="A1045" t="s">
        <v>677</v>
      </c>
      <c r="B1045" t="s">
        <v>4482</v>
      </c>
      <c r="C1045" t="s">
        <v>4483</v>
      </c>
      <c r="D1045" t="s">
        <v>4484</v>
      </c>
      <c r="E1045" t="s">
        <v>16</v>
      </c>
      <c r="F1045" t="s">
        <v>1443</v>
      </c>
      <c r="G1045" s="2">
        <v>0.43055555555555558</v>
      </c>
      <c r="H1045" t="s">
        <v>1200</v>
      </c>
      <c r="I1045" t="s">
        <v>1201</v>
      </c>
      <c r="L1045" t="s">
        <v>1222</v>
      </c>
      <c r="X1045" t="s">
        <v>546</v>
      </c>
      <c r="Y1045">
        <v>3</v>
      </c>
      <c r="Z1045" t="s">
        <v>1203</v>
      </c>
    </row>
    <row r="1046" spans="1:27" x14ac:dyDescent="0.3">
      <c r="A1046" t="s">
        <v>677</v>
      </c>
      <c r="B1046" t="s">
        <v>4485</v>
      </c>
      <c r="C1046" t="s">
        <v>4486</v>
      </c>
      <c r="D1046" t="s">
        <v>4487</v>
      </c>
      <c r="E1046" t="s">
        <v>16</v>
      </c>
      <c r="F1046" t="s">
        <v>1447</v>
      </c>
      <c r="G1046" s="2">
        <v>0.4236111111111111</v>
      </c>
      <c r="H1046" t="s">
        <v>1200</v>
      </c>
      <c r="I1046" t="s">
        <v>1201</v>
      </c>
      <c r="L1046" t="s">
        <v>1222</v>
      </c>
      <c r="S1046" t="s">
        <v>1224</v>
      </c>
      <c r="T1046" t="s">
        <v>1676</v>
      </c>
      <c r="V1046" t="s">
        <v>2767</v>
      </c>
      <c r="W1046" t="s">
        <v>2149</v>
      </c>
      <c r="X1046" t="s">
        <v>546</v>
      </c>
      <c r="Y1046">
        <v>3</v>
      </c>
      <c r="Z1046" t="s">
        <v>1228</v>
      </c>
    </row>
    <row r="1047" spans="1:27" x14ac:dyDescent="0.3">
      <c r="A1047" t="s">
        <v>677</v>
      </c>
      <c r="B1047" t="s">
        <v>4488</v>
      </c>
      <c r="C1047" t="s">
        <v>4489</v>
      </c>
      <c r="D1047" t="s">
        <v>4490</v>
      </c>
      <c r="E1047" t="s">
        <v>16</v>
      </c>
      <c r="F1047" t="s">
        <v>1451</v>
      </c>
      <c r="G1047" s="2">
        <v>0.41666666666666669</v>
      </c>
      <c r="H1047" t="s">
        <v>1200</v>
      </c>
      <c r="I1047" t="s">
        <v>1201</v>
      </c>
      <c r="L1047" t="s">
        <v>1222</v>
      </c>
      <c r="X1047" t="s">
        <v>546</v>
      </c>
      <c r="Y1047">
        <v>3</v>
      </c>
      <c r="Z1047" t="s">
        <v>1228</v>
      </c>
    </row>
    <row r="1048" spans="1:27" x14ac:dyDescent="0.3">
      <c r="A1048" t="s">
        <v>677</v>
      </c>
      <c r="B1048" t="s">
        <v>4491</v>
      </c>
      <c r="C1048" t="s">
        <v>4492</v>
      </c>
      <c r="D1048" t="s">
        <v>4493</v>
      </c>
      <c r="E1048" t="s">
        <v>16</v>
      </c>
      <c r="F1048" t="s">
        <v>1455</v>
      </c>
      <c r="G1048" s="2">
        <v>0.40972222222222227</v>
      </c>
      <c r="H1048" t="s">
        <v>1200</v>
      </c>
      <c r="I1048" t="s">
        <v>1201</v>
      </c>
      <c r="L1048" t="s">
        <v>1202</v>
      </c>
      <c r="X1048" t="s">
        <v>546</v>
      </c>
      <c r="Y1048">
        <v>3</v>
      </c>
      <c r="Z1048" t="s">
        <v>1203</v>
      </c>
    </row>
    <row r="1049" spans="1:27" x14ac:dyDescent="0.3">
      <c r="A1049" t="s">
        <v>677</v>
      </c>
      <c r="B1049" t="s">
        <v>4494</v>
      </c>
      <c r="C1049" t="s">
        <v>4495</v>
      </c>
      <c r="D1049" t="s">
        <v>4496</v>
      </c>
      <c r="E1049" t="s">
        <v>16</v>
      </c>
      <c r="F1049" t="s">
        <v>1459</v>
      </c>
      <c r="G1049" s="2">
        <v>0.40277777777777773</v>
      </c>
      <c r="H1049" t="s">
        <v>1200</v>
      </c>
      <c r="I1049" t="s">
        <v>1201</v>
      </c>
      <c r="L1049" t="s">
        <v>1202</v>
      </c>
      <c r="Y1049">
        <v>2</v>
      </c>
      <c r="Z1049" t="s">
        <v>1203</v>
      </c>
    </row>
    <row r="1050" spans="1:27" x14ac:dyDescent="0.3">
      <c r="A1050" t="s">
        <v>677</v>
      </c>
      <c r="B1050" t="s">
        <v>4497</v>
      </c>
      <c r="C1050" t="s">
        <v>4498</v>
      </c>
      <c r="D1050" t="s">
        <v>4499</v>
      </c>
      <c r="E1050" t="s">
        <v>16</v>
      </c>
      <c r="F1050" t="s">
        <v>1463</v>
      </c>
      <c r="G1050" s="2">
        <v>0.39583333333333331</v>
      </c>
      <c r="H1050" t="s">
        <v>1200</v>
      </c>
      <c r="I1050" t="s">
        <v>1201</v>
      </c>
      <c r="L1050" t="s">
        <v>1202</v>
      </c>
      <c r="X1050" t="s">
        <v>546</v>
      </c>
      <c r="Y1050">
        <v>1</v>
      </c>
      <c r="Z1050" t="s">
        <v>1203</v>
      </c>
    </row>
    <row r="1051" spans="1:27" x14ac:dyDescent="0.3">
      <c r="A1051" t="s">
        <v>677</v>
      </c>
      <c r="B1051" t="s">
        <v>4500</v>
      </c>
      <c r="C1051" t="s">
        <v>4501</v>
      </c>
      <c r="D1051" t="s">
        <v>4502</v>
      </c>
      <c r="E1051" t="s">
        <v>16</v>
      </c>
      <c r="F1051" t="s">
        <v>1469</v>
      </c>
      <c r="G1051" s="2">
        <v>0.3888888888888889</v>
      </c>
      <c r="H1051" t="s">
        <v>1200</v>
      </c>
      <c r="I1051" t="s">
        <v>1201</v>
      </c>
      <c r="M1051" t="s">
        <v>1464</v>
      </c>
      <c r="AA1051" t="s">
        <v>4503</v>
      </c>
    </row>
    <row r="1052" spans="1:27" x14ac:dyDescent="0.3">
      <c r="A1052" t="s">
        <v>677</v>
      </c>
      <c r="B1052" t="s">
        <v>4504</v>
      </c>
      <c r="C1052" t="s">
        <v>4505</v>
      </c>
      <c r="D1052" t="s">
        <v>4506</v>
      </c>
      <c r="E1052" t="s">
        <v>16</v>
      </c>
      <c r="F1052" t="s">
        <v>1473</v>
      </c>
      <c r="G1052" s="2">
        <v>0.38194444444444442</v>
      </c>
      <c r="H1052" t="s">
        <v>1200</v>
      </c>
      <c r="I1052" t="s">
        <v>1201</v>
      </c>
      <c r="L1052" t="s">
        <v>1202</v>
      </c>
      <c r="X1052" t="s">
        <v>546</v>
      </c>
      <c r="Y1052">
        <v>0</v>
      </c>
      <c r="Z1052" t="s">
        <v>1203</v>
      </c>
    </row>
    <row r="1053" spans="1:27" x14ac:dyDescent="0.3">
      <c r="A1053" t="s">
        <v>677</v>
      </c>
      <c r="B1053" t="s">
        <v>4507</v>
      </c>
      <c r="C1053" t="s">
        <v>4508</v>
      </c>
      <c r="D1053" t="s">
        <v>4509</v>
      </c>
      <c r="E1053" t="s">
        <v>16</v>
      </c>
      <c r="F1053" t="s">
        <v>1477</v>
      </c>
      <c r="G1053" s="2">
        <v>0.375</v>
      </c>
      <c r="H1053" t="s">
        <v>1200</v>
      </c>
      <c r="I1053" t="s">
        <v>1201</v>
      </c>
      <c r="M1053" t="s">
        <v>1464</v>
      </c>
      <c r="AA1053" t="s">
        <v>4510</v>
      </c>
    </row>
    <row r="1054" spans="1:27" x14ac:dyDescent="0.3">
      <c r="A1054" t="s">
        <v>677</v>
      </c>
      <c r="B1054" t="s">
        <v>4511</v>
      </c>
      <c r="C1054" t="s">
        <v>4512</v>
      </c>
      <c r="D1054" t="s">
        <v>4513</v>
      </c>
      <c r="E1054" t="s">
        <v>16</v>
      </c>
      <c r="F1054" t="s">
        <v>1482</v>
      </c>
      <c r="G1054" s="2">
        <v>0.36805555555555558</v>
      </c>
      <c r="H1054" t="s">
        <v>1200</v>
      </c>
      <c r="I1054" t="s">
        <v>1201</v>
      </c>
      <c r="M1054" t="s">
        <v>1464</v>
      </c>
      <c r="AA1054" t="s">
        <v>4510</v>
      </c>
    </row>
    <row r="1055" spans="1:27" x14ac:dyDescent="0.3">
      <c r="A1055" t="s">
        <v>677</v>
      </c>
      <c r="B1055" t="s">
        <v>4514</v>
      </c>
      <c r="C1055" t="s">
        <v>4515</v>
      </c>
      <c r="D1055" t="s">
        <v>4516</v>
      </c>
      <c r="E1055" t="s">
        <v>16</v>
      </c>
      <c r="F1055" t="s">
        <v>1486</v>
      </c>
      <c r="G1055" s="2">
        <v>0.3611111111111111</v>
      </c>
      <c r="H1055" t="s">
        <v>1200</v>
      </c>
      <c r="I1055" t="s">
        <v>1201</v>
      </c>
      <c r="M1055" t="s">
        <v>1464</v>
      </c>
      <c r="AA1055" t="s">
        <v>4510</v>
      </c>
    </row>
    <row r="1056" spans="1:27" x14ac:dyDescent="0.3">
      <c r="A1056" t="s">
        <v>683</v>
      </c>
      <c r="B1056" t="s">
        <v>4517</v>
      </c>
      <c r="C1056" t="s">
        <v>4518</v>
      </c>
      <c r="D1056" t="s">
        <v>4519</v>
      </c>
      <c r="E1056" t="s">
        <v>16</v>
      </c>
      <c r="F1056" t="s">
        <v>1215</v>
      </c>
      <c r="G1056" s="2">
        <v>0.5625</v>
      </c>
      <c r="H1056" t="s">
        <v>1200</v>
      </c>
      <c r="I1056" t="s">
        <v>1201</v>
      </c>
      <c r="L1056" t="s">
        <v>1363</v>
      </c>
    </row>
    <row r="1057" spans="1:32" x14ac:dyDescent="0.3">
      <c r="A1057" t="s">
        <v>683</v>
      </c>
      <c r="B1057" t="s">
        <v>4520</v>
      </c>
      <c r="C1057" t="s">
        <v>4521</v>
      </c>
      <c r="D1057" t="s">
        <v>4522</v>
      </c>
      <c r="E1057" t="s">
        <v>16</v>
      </c>
      <c r="F1057" t="s">
        <v>1221</v>
      </c>
      <c r="G1057" s="2">
        <v>0.55555555555555558</v>
      </c>
      <c r="H1057" t="s">
        <v>1200</v>
      </c>
      <c r="I1057" t="s">
        <v>1201</v>
      </c>
      <c r="L1057" t="s">
        <v>1363</v>
      </c>
    </row>
    <row r="1058" spans="1:32" x14ac:dyDescent="0.3">
      <c r="A1058" t="s">
        <v>683</v>
      </c>
      <c r="B1058" t="s">
        <v>4523</v>
      </c>
      <c r="C1058" t="s">
        <v>4524</v>
      </c>
      <c r="D1058" t="s">
        <v>4525</v>
      </c>
      <c r="E1058" t="s">
        <v>16</v>
      </c>
      <c r="F1058" t="s">
        <v>1232</v>
      </c>
      <c r="G1058" s="2">
        <v>0.54861111111111105</v>
      </c>
      <c r="H1058" t="s">
        <v>1200</v>
      </c>
      <c r="I1058" t="s">
        <v>1201</v>
      </c>
      <c r="L1058" t="s">
        <v>1363</v>
      </c>
    </row>
    <row r="1059" spans="1:32" x14ac:dyDescent="0.3">
      <c r="A1059" t="s">
        <v>683</v>
      </c>
      <c r="B1059" t="s">
        <v>4526</v>
      </c>
      <c r="C1059" t="s">
        <v>4527</v>
      </c>
      <c r="D1059" t="s">
        <v>4528</v>
      </c>
      <c r="E1059" t="s">
        <v>16</v>
      </c>
      <c r="F1059" t="s">
        <v>1236</v>
      </c>
      <c r="G1059" s="2">
        <v>0.54166666666666663</v>
      </c>
      <c r="H1059" t="s">
        <v>1200</v>
      </c>
      <c r="I1059" t="s">
        <v>1201</v>
      </c>
      <c r="L1059" t="s">
        <v>1363</v>
      </c>
    </row>
    <row r="1060" spans="1:32" x14ac:dyDescent="0.3">
      <c r="A1060" t="s">
        <v>683</v>
      </c>
      <c r="B1060" t="s">
        <v>4529</v>
      </c>
      <c r="C1060" t="s">
        <v>4530</v>
      </c>
      <c r="D1060" t="s">
        <v>4531</v>
      </c>
      <c r="E1060" t="s">
        <v>16</v>
      </c>
      <c r="F1060" t="s">
        <v>1240</v>
      </c>
      <c r="G1060" s="2">
        <v>0.53472222222222221</v>
      </c>
      <c r="H1060" t="s">
        <v>1200</v>
      </c>
      <c r="I1060" t="s">
        <v>1201</v>
      </c>
      <c r="L1060" t="s">
        <v>1363</v>
      </c>
    </row>
    <row r="1061" spans="1:32" x14ac:dyDescent="0.3">
      <c r="A1061" t="s">
        <v>683</v>
      </c>
      <c r="B1061" t="s">
        <v>4532</v>
      </c>
      <c r="C1061" t="s">
        <v>4533</v>
      </c>
      <c r="D1061" t="s">
        <v>4534</v>
      </c>
      <c r="E1061" t="s">
        <v>16</v>
      </c>
      <c r="F1061" t="s">
        <v>1244</v>
      </c>
      <c r="G1061" s="2">
        <v>0.52777777777777779</v>
      </c>
      <c r="H1061" t="s">
        <v>1200</v>
      </c>
      <c r="I1061" t="s">
        <v>1201</v>
      </c>
      <c r="L1061" t="s">
        <v>1363</v>
      </c>
    </row>
    <row r="1062" spans="1:32" x14ac:dyDescent="0.3">
      <c r="A1062" t="s">
        <v>683</v>
      </c>
      <c r="B1062" t="s">
        <v>4535</v>
      </c>
      <c r="C1062" t="s">
        <v>4536</v>
      </c>
      <c r="D1062" t="s">
        <v>4537</v>
      </c>
      <c r="E1062" t="s">
        <v>16</v>
      </c>
      <c r="F1062" t="s">
        <v>1249</v>
      </c>
      <c r="G1062" s="2">
        <v>0.52083333333333337</v>
      </c>
      <c r="H1062" t="s">
        <v>1200</v>
      </c>
      <c r="I1062" t="s">
        <v>1201</v>
      </c>
      <c r="L1062" t="s">
        <v>1202</v>
      </c>
    </row>
    <row r="1063" spans="1:32" x14ac:dyDescent="0.3">
      <c r="A1063" t="s">
        <v>683</v>
      </c>
      <c r="B1063" t="s">
        <v>4538</v>
      </c>
      <c r="C1063" t="s">
        <v>4539</v>
      </c>
      <c r="D1063" t="s">
        <v>4540</v>
      </c>
      <c r="E1063" t="s">
        <v>16</v>
      </c>
      <c r="F1063" t="s">
        <v>1406</v>
      </c>
      <c r="G1063" s="2">
        <v>0.51388888888888895</v>
      </c>
      <c r="H1063" t="s">
        <v>1200</v>
      </c>
      <c r="I1063" t="s">
        <v>1201</v>
      </c>
      <c r="L1063" t="s">
        <v>1202</v>
      </c>
    </row>
    <row r="1064" spans="1:32" x14ac:dyDescent="0.3">
      <c r="A1064" t="s">
        <v>683</v>
      </c>
      <c r="B1064" t="s">
        <v>4541</v>
      </c>
      <c r="C1064" t="s">
        <v>4542</v>
      </c>
      <c r="D1064" t="s">
        <v>4543</v>
      </c>
      <c r="E1064" t="s">
        <v>16</v>
      </c>
      <c r="F1064" t="s">
        <v>1254</v>
      </c>
      <c r="G1064" s="2">
        <v>0.50694444444444442</v>
      </c>
      <c r="H1064" t="s">
        <v>1200</v>
      </c>
      <c r="I1064" t="s">
        <v>1201</v>
      </c>
      <c r="L1064" t="s">
        <v>1202</v>
      </c>
    </row>
    <row r="1065" spans="1:32" x14ac:dyDescent="0.3">
      <c r="A1065" t="s">
        <v>683</v>
      </c>
      <c r="B1065" t="s">
        <v>4544</v>
      </c>
      <c r="C1065" t="s">
        <v>4545</v>
      </c>
      <c r="D1065" t="s">
        <v>4546</v>
      </c>
      <c r="E1065" t="s">
        <v>16</v>
      </c>
      <c r="F1065" t="s">
        <v>1259</v>
      </c>
      <c r="G1065" s="2">
        <v>0.5</v>
      </c>
      <c r="H1065" t="s">
        <v>1200</v>
      </c>
      <c r="I1065" t="s">
        <v>1201</v>
      </c>
      <c r="R1065" t="s">
        <v>3669</v>
      </c>
    </row>
    <row r="1066" spans="1:32" x14ac:dyDescent="0.3">
      <c r="A1066" t="s">
        <v>683</v>
      </c>
      <c r="B1066" t="s">
        <v>4547</v>
      </c>
      <c r="C1066" t="s">
        <v>4548</v>
      </c>
      <c r="D1066" t="s">
        <v>4549</v>
      </c>
      <c r="E1066" t="s">
        <v>16</v>
      </c>
      <c r="F1066" t="s">
        <v>1265</v>
      </c>
      <c r="G1066" s="2">
        <v>0.49305555555555558</v>
      </c>
      <c r="H1066" t="s">
        <v>1200</v>
      </c>
      <c r="I1066" t="s">
        <v>1201</v>
      </c>
      <c r="R1066" t="s">
        <v>3669</v>
      </c>
    </row>
    <row r="1067" spans="1:32" x14ac:dyDescent="0.3">
      <c r="A1067" t="s">
        <v>683</v>
      </c>
      <c r="B1067" t="s">
        <v>4550</v>
      </c>
      <c r="C1067" t="s">
        <v>4551</v>
      </c>
      <c r="D1067" t="s">
        <v>4552</v>
      </c>
      <c r="E1067" t="s">
        <v>16</v>
      </c>
      <c r="F1067" t="s">
        <v>1270</v>
      </c>
      <c r="G1067" s="2">
        <v>0.4861111111111111</v>
      </c>
      <c r="H1067" t="s">
        <v>1200</v>
      </c>
      <c r="I1067" t="s">
        <v>1201</v>
      </c>
      <c r="R1067" t="s">
        <v>3669</v>
      </c>
    </row>
    <row r="1068" spans="1:32" x14ac:dyDescent="0.3">
      <c r="A1068" t="s">
        <v>683</v>
      </c>
      <c r="B1068" t="s">
        <v>4553</v>
      </c>
      <c r="C1068" t="s">
        <v>4554</v>
      </c>
      <c r="D1068" t="s">
        <v>4555</v>
      </c>
      <c r="E1068" t="s">
        <v>16</v>
      </c>
      <c r="F1068" t="s">
        <v>1274</v>
      </c>
      <c r="G1068" s="2">
        <v>0.47916666666666669</v>
      </c>
      <c r="H1068" t="s">
        <v>1200</v>
      </c>
      <c r="I1068" t="s">
        <v>1201</v>
      </c>
      <c r="L1068" t="s">
        <v>1363</v>
      </c>
    </row>
    <row r="1069" spans="1:32" x14ac:dyDescent="0.3">
      <c r="A1069" t="s">
        <v>683</v>
      </c>
      <c r="B1069" t="s">
        <v>4556</v>
      </c>
      <c r="C1069" t="s">
        <v>4557</v>
      </c>
      <c r="D1069" t="s">
        <v>4558</v>
      </c>
      <c r="E1069" t="s">
        <v>16</v>
      </c>
      <c r="F1069" t="s">
        <v>1278</v>
      </c>
      <c r="G1069" s="2">
        <v>0.47222222222222227</v>
      </c>
      <c r="H1069" t="s">
        <v>1200</v>
      </c>
      <c r="I1069" t="s">
        <v>1201</v>
      </c>
      <c r="L1069" t="s">
        <v>1363</v>
      </c>
    </row>
    <row r="1070" spans="1:32" x14ac:dyDescent="0.3">
      <c r="A1070" t="s">
        <v>683</v>
      </c>
      <c r="B1070" t="s">
        <v>4559</v>
      </c>
      <c r="C1070" t="s">
        <v>4560</v>
      </c>
      <c r="D1070" t="s">
        <v>4561</v>
      </c>
      <c r="E1070" t="s">
        <v>16</v>
      </c>
      <c r="F1070" t="s">
        <v>1282</v>
      </c>
      <c r="G1070" s="2">
        <v>0.46527777777777773</v>
      </c>
      <c r="H1070" t="s">
        <v>1200</v>
      </c>
      <c r="I1070" t="s">
        <v>1201</v>
      </c>
      <c r="L1070" t="s">
        <v>1363</v>
      </c>
      <c r="X1070" t="s">
        <v>546</v>
      </c>
      <c r="Y1070">
        <v>3</v>
      </c>
      <c r="Z1070" t="s">
        <v>1396</v>
      </c>
      <c r="AB1070" t="s">
        <v>1100</v>
      </c>
      <c r="AC1070">
        <v>3</v>
      </c>
      <c r="AD1070" t="s">
        <v>1396</v>
      </c>
    </row>
    <row r="1071" spans="1:32" x14ac:dyDescent="0.3">
      <c r="A1071" t="s">
        <v>683</v>
      </c>
      <c r="B1071" t="s">
        <v>4562</v>
      </c>
      <c r="C1071" t="s">
        <v>4563</v>
      </c>
      <c r="D1071" t="s">
        <v>4564</v>
      </c>
      <c r="E1071" t="s">
        <v>16</v>
      </c>
      <c r="F1071" t="s">
        <v>1287</v>
      </c>
      <c r="G1071" s="2">
        <v>0.45833333333333331</v>
      </c>
      <c r="H1071" t="s">
        <v>1200</v>
      </c>
      <c r="I1071" t="s">
        <v>1201</v>
      </c>
      <c r="L1071" t="s">
        <v>1363</v>
      </c>
      <c r="S1071" t="s">
        <v>1224</v>
      </c>
      <c r="T1071" t="s">
        <v>1225</v>
      </c>
      <c r="V1071" t="s">
        <v>1226</v>
      </c>
      <c r="W1071" t="s">
        <v>1677</v>
      </c>
      <c r="X1071" t="s">
        <v>546</v>
      </c>
      <c r="Y1071">
        <v>2</v>
      </c>
      <c r="Z1071" t="s">
        <v>1396</v>
      </c>
      <c r="AB1071" t="s">
        <v>546</v>
      </c>
      <c r="AC1071">
        <v>3</v>
      </c>
      <c r="AD1071" t="s">
        <v>1396</v>
      </c>
      <c r="AE1071" t="s">
        <v>1100</v>
      </c>
      <c r="AF1071">
        <v>3</v>
      </c>
    </row>
    <row r="1072" spans="1:32" x14ac:dyDescent="0.3">
      <c r="A1072" t="s">
        <v>683</v>
      </c>
      <c r="B1072" t="s">
        <v>4565</v>
      </c>
      <c r="C1072" t="s">
        <v>4566</v>
      </c>
      <c r="D1072" t="s">
        <v>4567</v>
      </c>
      <c r="E1072" t="s">
        <v>16</v>
      </c>
      <c r="F1072" t="s">
        <v>1291</v>
      </c>
      <c r="G1072" s="2">
        <v>0.4513888888888889</v>
      </c>
      <c r="H1072" t="s">
        <v>1200</v>
      </c>
      <c r="I1072" t="s">
        <v>1201</v>
      </c>
      <c r="R1072" t="s">
        <v>3669</v>
      </c>
      <c r="X1072" t="s">
        <v>546</v>
      </c>
      <c r="Y1072">
        <v>3</v>
      </c>
      <c r="Z1072" t="s">
        <v>1228</v>
      </c>
      <c r="AB1072" t="s">
        <v>1100</v>
      </c>
      <c r="AC1072">
        <v>3</v>
      </c>
      <c r="AD1072" t="s">
        <v>1228</v>
      </c>
    </row>
    <row r="1073" spans="1:33" x14ac:dyDescent="0.3">
      <c r="A1073" t="s">
        <v>683</v>
      </c>
      <c r="B1073" t="s">
        <v>4568</v>
      </c>
      <c r="C1073" t="s">
        <v>4569</v>
      </c>
      <c r="D1073" t="s">
        <v>4570</v>
      </c>
      <c r="E1073" t="s">
        <v>16</v>
      </c>
      <c r="F1073" t="s">
        <v>1296</v>
      </c>
      <c r="G1073" s="2">
        <v>0.44444444444444442</v>
      </c>
      <c r="H1073" t="s">
        <v>1200</v>
      </c>
      <c r="I1073" t="s">
        <v>1201</v>
      </c>
      <c r="L1073" t="s">
        <v>1363</v>
      </c>
      <c r="X1073" t="s">
        <v>546</v>
      </c>
      <c r="Y1073">
        <v>2</v>
      </c>
      <c r="Z1073" t="s">
        <v>1396</v>
      </c>
      <c r="AB1073" t="s">
        <v>1100</v>
      </c>
      <c r="AC1073">
        <v>3</v>
      </c>
      <c r="AD1073" t="s">
        <v>1396</v>
      </c>
    </row>
    <row r="1074" spans="1:33" x14ac:dyDescent="0.3">
      <c r="A1074" t="s">
        <v>683</v>
      </c>
      <c r="B1074" t="s">
        <v>4571</v>
      </c>
      <c r="C1074" t="s">
        <v>4572</v>
      </c>
      <c r="D1074" t="s">
        <v>4573</v>
      </c>
      <c r="E1074" t="s">
        <v>16</v>
      </c>
      <c r="F1074" t="s">
        <v>1300</v>
      </c>
      <c r="G1074" s="2">
        <v>0.4375</v>
      </c>
      <c r="H1074" t="s">
        <v>1200</v>
      </c>
      <c r="I1074" t="s">
        <v>1201</v>
      </c>
      <c r="L1074" t="s">
        <v>1363</v>
      </c>
      <c r="X1074" t="s">
        <v>546</v>
      </c>
      <c r="Y1074">
        <v>2</v>
      </c>
      <c r="Z1074" t="s">
        <v>1396</v>
      </c>
      <c r="AB1074" t="s">
        <v>1100</v>
      </c>
      <c r="AC1074">
        <v>2</v>
      </c>
      <c r="AD1074" t="s">
        <v>1396</v>
      </c>
      <c r="AE1074" t="s">
        <v>498</v>
      </c>
      <c r="AF1074">
        <v>3</v>
      </c>
      <c r="AG1074" t="s">
        <v>1396</v>
      </c>
    </row>
    <row r="1075" spans="1:33" x14ac:dyDescent="0.3">
      <c r="A1075" t="s">
        <v>683</v>
      </c>
      <c r="B1075" t="s">
        <v>4574</v>
      </c>
      <c r="C1075" t="s">
        <v>4575</v>
      </c>
      <c r="D1075" t="s">
        <v>4576</v>
      </c>
      <c r="E1075" t="s">
        <v>16</v>
      </c>
      <c r="F1075" t="s">
        <v>1443</v>
      </c>
      <c r="G1075" s="2">
        <v>0.43055555555555558</v>
      </c>
      <c r="H1075" t="s">
        <v>1200</v>
      </c>
      <c r="I1075" t="s">
        <v>1201</v>
      </c>
      <c r="L1075" t="s">
        <v>1363</v>
      </c>
      <c r="X1075" t="s">
        <v>546</v>
      </c>
      <c r="Y1075">
        <v>2</v>
      </c>
      <c r="Z1075" t="s">
        <v>1396</v>
      </c>
      <c r="AB1075" t="s">
        <v>1100</v>
      </c>
      <c r="AC1075">
        <v>2</v>
      </c>
      <c r="AD1075" t="s">
        <v>1396</v>
      </c>
      <c r="AE1075" t="s">
        <v>498</v>
      </c>
      <c r="AF1075">
        <v>4</v>
      </c>
      <c r="AG1075" t="s">
        <v>1396</v>
      </c>
    </row>
    <row r="1076" spans="1:33" x14ac:dyDescent="0.3">
      <c r="A1076" t="s">
        <v>683</v>
      </c>
      <c r="B1076" t="s">
        <v>4577</v>
      </c>
      <c r="C1076" t="s">
        <v>4578</v>
      </c>
      <c r="D1076" t="s">
        <v>4579</v>
      </c>
      <c r="E1076" t="s">
        <v>16</v>
      </c>
      <c r="F1076" t="s">
        <v>1447</v>
      </c>
      <c r="G1076" s="2">
        <v>0.4236111111111111</v>
      </c>
      <c r="H1076" t="s">
        <v>1200</v>
      </c>
      <c r="I1076" t="s">
        <v>1201</v>
      </c>
      <c r="X1076" t="s">
        <v>546</v>
      </c>
      <c r="Y1076">
        <v>2</v>
      </c>
      <c r="Z1076" t="s">
        <v>1396</v>
      </c>
      <c r="AB1076" t="s">
        <v>1100</v>
      </c>
      <c r="AC1076">
        <v>2</v>
      </c>
      <c r="AD1076" t="s">
        <v>1396</v>
      </c>
      <c r="AE1076" t="s">
        <v>498</v>
      </c>
      <c r="AF1076">
        <v>3</v>
      </c>
      <c r="AG1076" t="s">
        <v>1396</v>
      </c>
    </row>
    <row r="1077" spans="1:33" x14ac:dyDescent="0.3">
      <c r="A1077" t="s">
        <v>683</v>
      </c>
      <c r="B1077" t="s">
        <v>4580</v>
      </c>
      <c r="C1077" t="s">
        <v>4581</v>
      </c>
      <c r="D1077" t="s">
        <v>4582</v>
      </c>
      <c r="E1077" t="s">
        <v>16</v>
      </c>
      <c r="F1077" t="s">
        <v>1451</v>
      </c>
      <c r="G1077" s="2">
        <v>0.41666666666666669</v>
      </c>
      <c r="H1077" t="s">
        <v>1200</v>
      </c>
      <c r="I1077" t="s">
        <v>1201</v>
      </c>
      <c r="L1077" t="s">
        <v>1222</v>
      </c>
      <c r="X1077" t="s">
        <v>546</v>
      </c>
      <c r="Y1077">
        <v>2</v>
      </c>
      <c r="Z1077" t="s">
        <v>1203</v>
      </c>
      <c r="AB1077" t="s">
        <v>1100</v>
      </c>
      <c r="AC1077">
        <v>2</v>
      </c>
      <c r="AD1077" t="s">
        <v>1203</v>
      </c>
      <c r="AE1077" t="s">
        <v>498</v>
      </c>
      <c r="AG1077" t="s">
        <v>1228</v>
      </c>
    </row>
    <row r="1078" spans="1:33" x14ac:dyDescent="0.3">
      <c r="A1078" t="s">
        <v>683</v>
      </c>
      <c r="B1078" t="s">
        <v>4583</v>
      </c>
      <c r="C1078" t="s">
        <v>4584</v>
      </c>
      <c r="D1078" t="s">
        <v>4585</v>
      </c>
      <c r="E1078" t="s">
        <v>16</v>
      </c>
      <c r="F1078" t="s">
        <v>1455</v>
      </c>
      <c r="G1078" s="2">
        <v>0.40972222222222227</v>
      </c>
      <c r="H1078" t="s">
        <v>1200</v>
      </c>
      <c r="I1078" t="s">
        <v>1201</v>
      </c>
      <c r="L1078" t="s">
        <v>1222</v>
      </c>
      <c r="X1078" t="s">
        <v>546</v>
      </c>
      <c r="Y1078">
        <v>2</v>
      </c>
      <c r="Z1078" t="s">
        <v>1203</v>
      </c>
      <c r="AB1078" t="s">
        <v>1100</v>
      </c>
      <c r="AC1078">
        <v>2</v>
      </c>
      <c r="AD1078" t="s">
        <v>1496</v>
      </c>
      <c r="AE1078" t="s">
        <v>1100</v>
      </c>
      <c r="AF1078">
        <v>3</v>
      </c>
      <c r="AG1078" t="s">
        <v>1203</v>
      </c>
    </row>
    <row r="1079" spans="1:33" x14ac:dyDescent="0.3">
      <c r="A1079" t="s">
        <v>683</v>
      </c>
      <c r="B1079" t="s">
        <v>4586</v>
      </c>
      <c r="C1079" t="s">
        <v>4587</v>
      </c>
      <c r="D1079" t="s">
        <v>4588</v>
      </c>
      <c r="E1079" t="s">
        <v>16</v>
      </c>
      <c r="F1079" t="s">
        <v>1459</v>
      </c>
      <c r="G1079" s="2">
        <v>0.40277777777777773</v>
      </c>
      <c r="H1079" t="s">
        <v>1200</v>
      </c>
      <c r="I1079" t="s">
        <v>1201</v>
      </c>
      <c r="K1079" t="s">
        <v>1250</v>
      </c>
      <c r="X1079" t="s">
        <v>546</v>
      </c>
      <c r="Y1079">
        <v>2</v>
      </c>
      <c r="Z1079" t="s">
        <v>1266</v>
      </c>
      <c r="AB1079" t="s">
        <v>1100</v>
      </c>
      <c r="AC1079">
        <v>3</v>
      </c>
      <c r="AD1079" t="s">
        <v>1266</v>
      </c>
      <c r="AE1079" t="s">
        <v>498</v>
      </c>
      <c r="AF1079">
        <v>3</v>
      </c>
      <c r="AG1079" t="s">
        <v>1203</v>
      </c>
    </row>
    <row r="1080" spans="1:33" x14ac:dyDescent="0.3">
      <c r="A1080" t="s">
        <v>683</v>
      </c>
      <c r="B1080" t="s">
        <v>4589</v>
      </c>
      <c r="C1080" t="s">
        <v>4590</v>
      </c>
      <c r="D1080" t="s">
        <v>4591</v>
      </c>
      <c r="E1080" t="s">
        <v>16</v>
      </c>
      <c r="F1080" t="s">
        <v>1463</v>
      </c>
      <c r="G1080" s="2">
        <v>0.39583333333333331</v>
      </c>
      <c r="H1080" t="s">
        <v>1200</v>
      </c>
      <c r="I1080" t="s">
        <v>1201</v>
      </c>
      <c r="K1080" t="s">
        <v>1250</v>
      </c>
      <c r="X1080" t="s">
        <v>546</v>
      </c>
      <c r="Y1080">
        <v>2</v>
      </c>
      <c r="Z1080" t="s">
        <v>1266</v>
      </c>
      <c r="AB1080" t="s">
        <v>1100</v>
      </c>
      <c r="AC1080">
        <v>3</v>
      </c>
      <c r="AD1080" t="s">
        <v>1266</v>
      </c>
      <c r="AE1080" t="s">
        <v>546</v>
      </c>
      <c r="AF1080">
        <v>2</v>
      </c>
      <c r="AG1080" t="s">
        <v>1266</v>
      </c>
    </row>
    <row r="1081" spans="1:33" x14ac:dyDescent="0.3">
      <c r="A1081" t="s">
        <v>683</v>
      </c>
      <c r="B1081" t="s">
        <v>4592</v>
      </c>
      <c r="C1081" t="s">
        <v>4593</v>
      </c>
      <c r="D1081" t="s">
        <v>4594</v>
      </c>
      <c r="E1081" t="s">
        <v>16</v>
      </c>
      <c r="F1081" t="s">
        <v>1469</v>
      </c>
      <c r="G1081" s="2">
        <v>0.3888888888888889</v>
      </c>
      <c r="H1081" t="s">
        <v>1200</v>
      </c>
      <c r="I1081" t="s">
        <v>1201</v>
      </c>
      <c r="K1081" t="s">
        <v>1250</v>
      </c>
      <c r="X1081" t="s">
        <v>546</v>
      </c>
      <c r="Y1081">
        <v>2</v>
      </c>
      <c r="Z1081" t="s">
        <v>1266</v>
      </c>
      <c r="AB1081" t="s">
        <v>1100</v>
      </c>
      <c r="AC1081">
        <v>2</v>
      </c>
      <c r="AD1081" t="s">
        <v>1266</v>
      </c>
      <c r="AE1081" t="s">
        <v>498</v>
      </c>
      <c r="AF1081">
        <v>3</v>
      </c>
      <c r="AG1081" t="s">
        <v>1228</v>
      </c>
    </row>
    <row r="1082" spans="1:33" x14ac:dyDescent="0.3">
      <c r="A1082" t="s">
        <v>683</v>
      </c>
      <c r="B1082" t="s">
        <v>4595</v>
      </c>
      <c r="C1082" t="s">
        <v>4596</v>
      </c>
      <c r="D1082" t="s">
        <v>4597</v>
      </c>
      <c r="E1082" t="s">
        <v>16</v>
      </c>
      <c r="F1082" t="s">
        <v>1473</v>
      </c>
      <c r="G1082" s="2">
        <v>0.38194444444444442</v>
      </c>
      <c r="H1082" t="s">
        <v>1200</v>
      </c>
      <c r="I1082" t="s">
        <v>1201</v>
      </c>
      <c r="K1082" t="s">
        <v>1250</v>
      </c>
    </row>
    <row r="1083" spans="1:33" x14ac:dyDescent="0.3">
      <c r="A1083" t="s">
        <v>691</v>
      </c>
      <c r="B1083" t="s">
        <v>4598</v>
      </c>
      <c r="C1083" t="s">
        <v>4599</v>
      </c>
      <c r="D1083" t="s">
        <v>4600</v>
      </c>
      <c r="E1083" t="s">
        <v>16</v>
      </c>
      <c r="F1083" t="s">
        <v>1321</v>
      </c>
      <c r="G1083" s="2">
        <v>0.68055555555555547</v>
      </c>
      <c r="H1083" t="s">
        <v>1200</v>
      </c>
      <c r="I1083" t="s">
        <v>1201</v>
      </c>
      <c r="L1083" t="s">
        <v>1222</v>
      </c>
      <c r="R1083" t="s">
        <v>1223</v>
      </c>
    </row>
    <row r="1084" spans="1:33" x14ac:dyDescent="0.3">
      <c r="A1084" t="s">
        <v>691</v>
      </c>
      <c r="B1084" t="s">
        <v>4601</v>
      </c>
      <c r="C1084" t="s">
        <v>4602</v>
      </c>
      <c r="D1084" t="s">
        <v>4603</v>
      </c>
      <c r="E1084" t="s">
        <v>16</v>
      </c>
      <c r="F1084" t="s">
        <v>1325</v>
      </c>
      <c r="G1084" s="2">
        <v>0.67361111111111116</v>
      </c>
      <c r="H1084" t="s">
        <v>1200</v>
      </c>
      <c r="I1084" t="s">
        <v>1201</v>
      </c>
      <c r="L1084" t="s">
        <v>1363</v>
      </c>
    </row>
    <row r="1085" spans="1:33" x14ac:dyDescent="0.3">
      <c r="A1085" t="s">
        <v>691</v>
      </c>
      <c r="B1085" t="s">
        <v>4604</v>
      </c>
      <c r="C1085" t="s">
        <v>4605</v>
      </c>
      <c r="D1085" t="s">
        <v>4606</v>
      </c>
      <c r="E1085" t="s">
        <v>16</v>
      </c>
      <c r="F1085" t="s">
        <v>1329</v>
      </c>
      <c r="G1085" s="2">
        <v>0.66666666666666663</v>
      </c>
      <c r="H1085" t="s">
        <v>1200</v>
      </c>
      <c r="I1085" t="s">
        <v>1201</v>
      </c>
      <c r="L1085" t="s">
        <v>1363</v>
      </c>
    </row>
    <row r="1086" spans="1:33" x14ac:dyDescent="0.3">
      <c r="A1086" t="s">
        <v>691</v>
      </c>
      <c r="B1086" t="s">
        <v>4607</v>
      </c>
      <c r="C1086" t="s">
        <v>4608</v>
      </c>
      <c r="D1086" t="s">
        <v>4609</v>
      </c>
      <c r="E1086" t="s">
        <v>16</v>
      </c>
      <c r="F1086" t="s">
        <v>1333</v>
      </c>
      <c r="G1086" s="2">
        <v>0.65972222222222221</v>
      </c>
      <c r="H1086" t="s">
        <v>1200</v>
      </c>
      <c r="I1086" t="s">
        <v>1201</v>
      </c>
      <c r="L1086" t="s">
        <v>1363</v>
      </c>
    </row>
    <row r="1087" spans="1:33" x14ac:dyDescent="0.3">
      <c r="A1087" t="s">
        <v>691</v>
      </c>
      <c r="B1087" t="s">
        <v>4610</v>
      </c>
      <c r="C1087" t="s">
        <v>4611</v>
      </c>
      <c r="D1087" t="s">
        <v>4612</v>
      </c>
      <c r="E1087" t="s">
        <v>16</v>
      </c>
      <c r="F1087" t="s">
        <v>1338</v>
      </c>
      <c r="G1087" s="2">
        <v>0.65277777777777779</v>
      </c>
      <c r="H1087" t="s">
        <v>1200</v>
      </c>
      <c r="I1087" t="s">
        <v>1201</v>
      </c>
      <c r="L1087" t="s">
        <v>1363</v>
      </c>
    </row>
    <row r="1088" spans="1:33" x14ac:dyDescent="0.3">
      <c r="A1088" t="s">
        <v>691</v>
      </c>
      <c r="B1088" t="s">
        <v>4613</v>
      </c>
      <c r="C1088" t="s">
        <v>4614</v>
      </c>
      <c r="D1088" t="s">
        <v>4615</v>
      </c>
      <c r="E1088" t="s">
        <v>16</v>
      </c>
      <c r="F1088" t="s">
        <v>1342</v>
      </c>
      <c r="G1088" s="2">
        <v>0.64583333333333337</v>
      </c>
      <c r="H1088" t="s">
        <v>1200</v>
      </c>
      <c r="I1088" t="s">
        <v>1201</v>
      </c>
      <c r="L1088" t="s">
        <v>1363</v>
      </c>
    </row>
    <row r="1089" spans="1:33" x14ac:dyDescent="0.3">
      <c r="A1089" t="s">
        <v>691</v>
      </c>
      <c r="B1089" t="s">
        <v>4616</v>
      </c>
      <c r="C1089" t="s">
        <v>4617</v>
      </c>
      <c r="D1089" t="s">
        <v>4618</v>
      </c>
      <c r="E1089" t="s">
        <v>16</v>
      </c>
      <c r="F1089" t="s">
        <v>1346</v>
      </c>
      <c r="G1089" s="2">
        <v>0.63888888888888895</v>
      </c>
      <c r="H1089" t="s">
        <v>1200</v>
      </c>
      <c r="I1089" t="s">
        <v>1201</v>
      </c>
      <c r="L1089" t="s">
        <v>1363</v>
      </c>
    </row>
    <row r="1090" spans="1:33" x14ac:dyDescent="0.3">
      <c r="A1090" t="s">
        <v>691</v>
      </c>
      <c r="B1090" t="s">
        <v>4619</v>
      </c>
      <c r="C1090" t="s">
        <v>4620</v>
      </c>
      <c r="D1090" t="s">
        <v>4621</v>
      </c>
      <c r="E1090" t="s">
        <v>16</v>
      </c>
      <c r="F1090" t="s">
        <v>1350</v>
      </c>
      <c r="G1090" s="2">
        <v>0.63194444444444442</v>
      </c>
      <c r="H1090" t="s">
        <v>1200</v>
      </c>
      <c r="I1090" t="s">
        <v>1201</v>
      </c>
      <c r="L1090" t="s">
        <v>1363</v>
      </c>
    </row>
    <row r="1091" spans="1:33" x14ac:dyDescent="0.3">
      <c r="A1091" t="s">
        <v>691</v>
      </c>
      <c r="B1091" t="s">
        <v>4622</v>
      </c>
      <c r="C1091" t="s">
        <v>4623</v>
      </c>
      <c r="D1091" t="s">
        <v>4624</v>
      </c>
      <c r="E1091" t="s">
        <v>16</v>
      </c>
      <c r="F1091" t="s">
        <v>1354</v>
      </c>
      <c r="G1091" s="2">
        <v>0.625</v>
      </c>
      <c r="H1091" t="s">
        <v>1200</v>
      </c>
      <c r="I1091" t="s">
        <v>1201</v>
      </c>
      <c r="L1091" t="s">
        <v>1363</v>
      </c>
    </row>
    <row r="1092" spans="1:33" x14ac:dyDescent="0.3">
      <c r="A1092" t="s">
        <v>691</v>
      </c>
      <c r="B1092" t="s">
        <v>4625</v>
      </c>
      <c r="C1092" t="s">
        <v>4626</v>
      </c>
      <c r="D1092" t="s">
        <v>4627</v>
      </c>
      <c r="E1092" t="s">
        <v>16</v>
      </c>
      <c r="F1092" t="s">
        <v>1558</v>
      </c>
      <c r="G1092" s="2">
        <v>0.61805555555555558</v>
      </c>
      <c r="H1092" t="s">
        <v>1200</v>
      </c>
      <c r="I1092" t="s">
        <v>1201</v>
      </c>
      <c r="L1092" t="s">
        <v>1222</v>
      </c>
      <c r="R1092" t="s">
        <v>1681</v>
      </c>
      <c r="X1092" t="s">
        <v>1100</v>
      </c>
      <c r="Y1092">
        <v>5</v>
      </c>
      <c r="Z1092" t="s">
        <v>1203</v>
      </c>
      <c r="AB1092" t="s">
        <v>546</v>
      </c>
      <c r="AC1092">
        <v>6</v>
      </c>
      <c r="AD1092" t="s">
        <v>1203</v>
      </c>
    </row>
    <row r="1093" spans="1:33" x14ac:dyDescent="0.3">
      <c r="A1093" t="s">
        <v>691</v>
      </c>
      <c r="B1093" t="s">
        <v>4628</v>
      </c>
      <c r="C1093" t="s">
        <v>4629</v>
      </c>
      <c r="D1093" t="s">
        <v>4630</v>
      </c>
      <c r="E1093" t="s">
        <v>16</v>
      </c>
      <c r="F1093" t="s">
        <v>1358</v>
      </c>
      <c r="G1093" s="2">
        <v>0.61111111111111105</v>
      </c>
      <c r="H1093" t="s">
        <v>1200</v>
      </c>
      <c r="I1093" t="s">
        <v>1201</v>
      </c>
      <c r="M1093" t="s">
        <v>1501</v>
      </c>
      <c r="X1093" t="s">
        <v>1100</v>
      </c>
      <c r="Y1093">
        <v>2</v>
      </c>
      <c r="Z1093" t="s">
        <v>1203</v>
      </c>
      <c r="AB1093" t="s">
        <v>546</v>
      </c>
      <c r="AC1093">
        <v>2</v>
      </c>
      <c r="AD1093" t="s">
        <v>1502</v>
      </c>
      <c r="AE1093" t="s">
        <v>498</v>
      </c>
      <c r="AF1093">
        <v>2</v>
      </c>
      <c r="AG1093" t="s">
        <v>1217</v>
      </c>
    </row>
    <row r="1094" spans="1:33" x14ac:dyDescent="0.3">
      <c r="A1094" t="s">
        <v>691</v>
      </c>
      <c r="B1094" t="s">
        <v>4631</v>
      </c>
      <c r="C1094" t="s">
        <v>4632</v>
      </c>
      <c r="D1094" t="s">
        <v>4633</v>
      </c>
      <c r="E1094" t="s">
        <v>16</v>
      </c>
      <c r="F1094" t="s">
        <v>1362</v>
      </c>
      <c r="G1094" s="2">
        <v>0.60416666666666663</v>
      </c>
      <c r="H1094" t="s">
        <v>1200</v>
      </c>
      <c r="I1094" t="s">
        <v>1201</v>
      </c>
      <c r="M1094" t="s">
        <v>1501</v>
      </c>
      <c r="X1094" t="s">
        <v>1100</v>
      </c>
      <c r="Y1094">
        <v>2</v>
      </c>
      <c r="Z1094" t="s">
        <v>1502</v>
      </c>
      <c r="AB1094" t="s">
        <v>546</v>
      </c>
      <c r="AC1094">
        <v>2</v>
      </c>
      <c r="AD1094" t="s">
        <v>1502</v>
      </c>
      <c r="AE1094" t="s">
        <v>498</v>
      </c>
      <c r="AF1094">
        <v>2</v>
      </c>
      <c r="AG1094" t="s">
        <v>1502</v>
      </c>
    </row>
    <row r="1095" spans="1:33" x14ac:dyDescent="0.3">
      <c r="A1095" t="s">
        <v>691</v>
      </c>
      <c r="B1095" t="s">
        <v>4634</v>
      </c>
      <c r="C1095" t="s">
        <v>4635</v>
      </c>
      <c r="D1095" t="s">
        <v>4636</v>
      </c>
      <c r="E1095" t="s">
        <v>16</v>
      </c>
      <c r="F1095" t="s">
        <v>1367</v>
      </c>
      <c r="G1095" s="2">
        <v>0.59722222222222221</v>
      </c>
      <c r="H1095" t="s">
        <v>1200</v>
      </c>
      <c r="I1095" t="s">
        <v>1201</v>
      </c>
      <c r="M1095" t="s">
        <v>1501</v>
      </c>
      <c r="X1095" t="s">
        <v>1100</v>
      </c>
      <c r="Y1095">
        <v>2</v>
      </c>
      <c r="Z1095" t="s">
        <v>1502</v>
      </c>
      <c r="AB1095" t="s">
        <v>546</v>
      </c>
      <c r="AC1095">
        <v>2</v>
      </c>
      <c r="AD1095" t="s">
        <v>1502</v>
      </c>
      <c r="AE1095" t="s">
        <v>498</v>
      </c>
      <c r="AF1095">
        <v>2</v>
      </c>
      <c r="AG1095" t="s">
        <v>1502</v>
      </c>
    </row>
    <row r="1096" spans="1:33" x14ac:dyDescent="0.3">
      <c r="A1096" t="s">
        <v>691</v>
      </c>
      <c r="B1096" t="s">
        <v>4637</v>
      </c>
      <c r="C1096" t="s">
        <v>4638</v>
      </c>
      <c r="D1096" t="s">
        <v>4639</v>
      </c>
      <c r="E1096" t="s">
        <v>16</v>
      </c>
      <c r="F1096" t="s">
        <v>1371</v>
      </c>
      <c r="G1096" s="2">
        <v>0.59027777777777779</v>
      </c>
      <c r="H1096" t="s">
        <v>1200</v>
      </c>
      <c r="I1096" t="s">
        <v>1201</v>
      </c>
      <c r="K1096" t="s">
        <v>1250</v>
      </c>
      <c r="X1096" t="s">
        <v>546</v>
      </c>
      <c r="Y1096">
        <v>2</v>
      </c>
      <c r="Z1096" t="s">
        <v>1266</v>
      </c>
      <c r="AB1096" t="s">
        <v>1100</v>
      </c>
      <c r="AC1096">
        <v>3</v>
      </c>
      <c r="AD1096" t="s">
        <v>1266</v>
      </c>
      <c r="AE1096" t="s">
        <v>498</v>
      </c>
      <c r="AF1096">
        <v>5</v>
      </c>
      <c r="AG1096" t="s">
        <v>1203</v>
      </c>
    </row>
    <row r="1097" spans="1:33" x14ac:dyDescent="0.3">
      <c r="A1097" t="s">
        <v>691</v>
      </c>
      <c r="B1097" t="s">
        <v>4640</v>
      </c>
      <c r="C1097" t="s">
        <v>4641</v>
      </c>
      <c r="D1097" t="s">
        <v>4642</v>
      </c>
      <c r="E1097" t="s">
        <v>16</v>
      </c>
      <c r="F1097" t="s">
        <v>1199</v>
      </c>
      <c r="G1097" s="2">
        <v>0.58333333333333337</v>
      </c>
      <c r="H1097" t="s">
        <v>1200</v>
      </c>
      <c r="I1097" t="s">
        <v>1201</v>
      </c>
      <c r="M1097" t="s">
        <v>1292</v>
      </c>
      <c r="X1097" t="s">
        <v>1100</v>
      </c>
      <c r="Y1097">
        <v>3</v>
      </c>
      <c r="Z1097" t="s">
        <v>1245</v>
      </c>
      <c r="AB1097" t="s">
        <v>546</v>
      </c>
      <c r="AC1097">
        <v>3</v>
      </c>
      <c r="AD1097" t="s">
        <v>1245</v>
      </c>
    </row>
    <row r="1098" spans="1:33" x14ac:dyDescent="0.3">
      <c r="A1098" t="s">
        <v>691</v>
      </c>
      <c r="B1098" t="s">
        <v>4643</v>
      </c>
      <c r="C1098" t="s">
        <v>4644</v>
      </c>
      <c r="D1098" t="s">
        <v>4645</v>
      </c>
      <c r="E1098" t="s">
        <v>16</v>
      </c>
      <c r="F1098" t="s">
        <v>1207</v>
      </c>
      <c r="G1098" s="2">
        <v>0.57638888888888895</v>
      </c>
      <c r="H1098" t="s">
        <v>1200</v>
      </c>
      <c r="I1098" t="s">
        <v>1201</v>
      </c>
      <c r="L1098" t="s">
        <v>1222</v>
      </c>
      <c r="X1098" t="s">
        <v>1100</v>
      </c>
      <c r="Y1098">
        <v>2</v>
      </c>
      <c r="Z1098" t="s">
        <v>1228</v>
      </c>
      <c r="AB1098" t="s">
        <v>546</v>
      </c>
      <c r="AC1098">
        <v>3</v>
      </c>
      <c r="AD1098" t="s">
        <v>1266</v>
      </c>
    </row>
    <row r="1099" spans="1:33" x14ac:dyDescent="0.3">
      <c r="A1099" t="s">
        <v>691</v>
      </c>
      <c r="B1099" t="s">
        <v>4646</v>
      </c>
      <c r="C1099" t="s">
        <v>4647</v>
      </c>
      <c r="D1099" t="s">
        <v>4648</v>
      </c>
      <c r="E1099" t="s">
        <v>16</v>
      </c>
      <c r="F1099" t="s">
        <v>4649</v>
      </c>
      <c r="G1099" s="2">
        <v>0.56944444444444442</v>
      </c>
      <c r="H1099" t="s">
        <v>1200</v>
      </c>
      <c r="I1099" t="s">
        <v>3191</v>
      </c>
      <c r="K1099" t="s">
        <v>1250</v>
      </c>
      <c r="X1099" t="s">
        <v>1100</v>
      </c>
      <c r="Y1099">
        <v>2</v>
      </c>
      <c r="Z1099" t="s">
        <v>1203</v>
      </c>
      <c r="AB1099" t="s">
        <v>546</v>
      </c>
      <c r="AC1099">
        <v>3</v>
      </c>
      <c r="AD1099" t="s">
        <v>1266</v>
      </c>
    </row>
    <row r="1100" spans="1:33" x14ac:dyDescent="0.3">
      <c r="A1100" t="s">
        <v>691</v>
      </c>
      <c r="B1100" t="s">
        <v>4650</v>
      </c>
      <c r="C1100" t="s">
        <v>4651</v>
      </c>
      <c r="D1100" t="s">
        <v>4652</v>
      </c>
      <c r="E1100" t="s">
        <v>16</v>
      </c>
      <c r="F1100" t="s">
        <v>1221</v>
      </c>
      <c r="G1100" s="2">
        <v>0.55555555555555558</v>
      </c>
      <c r="H1100" t="s">
        <v>1200</v>
      </c>
      <c r="I1100" t="s">
        <v>1201</v>
      </c>
      <c r="L1100" t="s">
        <v>1222</v>
      </c>
      <c r="X1100" t="s">
        <v>1100</v>
      </c>
      <c r="Y1100">
        <v>4</v>
      </c>
      <c r="Z1100" t="s">
        <v>1203</v>
      </c>
      <c r="AB1100" t="s">
        <v>546</v>
      </c>
      <c r="AC1100">
        <v>4</v>
      </c>
      <c r="AD1100" t="s">
        <v>1245</v>
      </c>
    </row>
    <row r="1101" spans="1:33" x14ac:dyDescent="0.3">
      <c r="A1101" t="s">
        <v>691</v>
      </c>
      <c r="B1101" t="s">
        <v>4653</v>
      </c>
      <c r="C1101" t="s">
        <v>4654</v>
      </c>
      <c r="D1101" t="s">
        <v>4655</v>
      </c>
      <c r="E1101" t="s">
        <v>16</v>
      </c>
      <c r="F1101" t="s">
        <v>1232</v>
      </c>
      <c r="G1101" s="2">
        <v>0.54861111111111105</v>
      </c>
      <c r="I1101" t="s">
        <v>1201</v>
      </c>
      <c r="L1101" t="s">
        <v>1202</v>
      </c>
      <c r="X1101" t="s">
        <v>546</v>
      </c>
      <c r="Y1101">
        <v>2</v>
      </c>
      <c r="Z1101" t="s">
        <v>1203</v>
      </c>
      <c r="AB1101" t="s">
        <v>1100</v>
      </c>
      <c r="AC1101">
        <v>2</v>
      </c>
      <c r="AD1101" t="s">
        <v>1203</v>
      </c>
    </row>
    <row r="1102" spans="1:33" x14ac:dyDescent="0.3">
      <c r="A1102" t="s">
        <v>691</v>
      </c>
      <c r="B1102" t="s">
        <v>4656</v>
      </c>
      <c r="C1102" t="s">
        <v>4657</v>
      </c>
      <c r="D1102" t="s">
        <v>4658</v>
      </c>
      <c r="E1102" t="s">
        <v>16</v>
      </c>
      <c r="F1102" t="s">
        <v>4659</v>
      </c>
      <c r="G1102" s="2">
        <v>0.54166666666666663</v>
      </c>
      <c r="H1102" t="s">
        <v>1200</v>
      </c>
      <c r="I1102" t="s">
        <v>3191</v>
      </c>
      <c r="M1102" t="s">
        <v>1292</v>
      </c>
      <c r="X1102" t="s">
        <v>1100</v>
      </c>
      <c r="Y1102">
        <v>2</v>
      </c>
      <c r="Z1102" t="s">
        <v>1245</v>
      </c>
      <c r="AB1102" t="s">
        <v>546</v>
      </c>
      <c r="AC1102">
        <v>1</v>
      </c>
      <c r="AD1102" t="s">
        <v>1245</v>
      </c>
    </row>
    <row r="1103" spans="1:33" x14ac:dyDescent="0.3">
      <c r="A1103" t="s">
        <v>691</v>
      </c>
      <c r="B1103" t="s">
        <v>4660</v>
      </c>
      <c r="C1103" t="s">
        <v>4661</v>
      </c>
      <c r="D1103" t="s">
        <v>4662</v>
      </c>
      <c r="E1103" t="s">
        <v>16</v>
      </c>
      <c r="F1103" t="s">
        <v>4663</v>
      </c>
      <c r="G1103" s="2">
        <v>0.53472222222222221</v>
      </c>
      <c r="H1103" t="s">
        <v>1200</v>
      </c>
      <c r="I1103" t="s">
        <v>3682</v>
      </c>
      <c r="M1103" t="s">
        <v>1292</v>
      </c>
      <c r="X1103" t="s">
        <v>1100</v>
      </c>
      <c r="Y1103">
        <v>2</v>
      </c>
      <c r="Z1103" t="s">
        <v>1228</v>
      </c>
      <c r="AB1103" t="s">
        <v>546</v>
      </c>
      <c r="AC1103">
        <v>3</v>
      </c>
    </row>
    <row r="1104" spans="1:33" x14ac:dyDescent="0.3">
      <c r="A1104" t="s">
        <v>691</v>
      </c>
      <c r="B1104" t="s">
        <v>4664</v>
      </c>
      <c r="C1104" t="s">
        <v>4665</v>
      </c>
      <c r="D1104" t="s">
        <v>4666</v>
      </c>
      <c r="E1104" t="s">
        <v>16</v>
      </c>
      <c r="F1104" t="s">
        <v>1244</v>
      </c>
      <c r="G1104" s="2">
        <v>0.52777777777777779</v>
      </c>
      <c r="H1104" t="s">
        <v>1200</v>
      </c>
      <c r="I1104" t="s">
        <v>1201</v>
      </c>
      <c r="L1104" t="s">
        <v>1222</v>
      </c>
      <c r="X1104" t="s">
        <v>498</v>
      </c>
      <c r="Y1104">
        <v>2</v>
      </c>
      <c r="Z1104" t="s">
        <v>1228</v>
      </c>
      <c r="AB1104" t="s">
        <v>546</v>
      </c>
      <c r="AC1104">
        <v>2</v>
      </c>
      <c r="AD1104" t="s">
        <v>1228</v>
      </c>
      <c r="AE1104" t="s">
        <v>1100</v>
      </c>
      <c r="AF1104">
        <v>2</v>
      </c>
      <c r="AG1104" t="s">
        <v>1203</v>
      </c>
    </row>
    <row r="1105" spans="1:33" x14ac:dyDescent="0.3">
      <c r="A1105" t="s">
        <v>691</v>
      </c>
      <c r="B1105" t="s">
        <v>4667</v>
      </c>
      <c r="C1105" t="s">
        <v>4668</v>
      </c>
      <c r="D1105" t="s">
        <v>4669</v>
      </c>
      <c r="E1105" t="s">
        <v>16</v>
      </c>
      <c r="F1105" t="s">
        <v>1249</v>
      </c>
      <c r="G1105" s="2">
        <v>0.52083333333333337</v>
      </c>
      <c r="H1105" t="s">
        <v>1200</v>
      </c>
      <c r="I1105" t="s">
        <v>1201</v>
      </c>
      <c r="L1105" t="s">
        <v>1222</v>
      </c>
      <c r="X1105" t="s">
        <v>498</v>
      </c>
      <c r="Y1105">
        <v>2</v>
      </c>
      <c r="Z1105" t="s">
        <v>1228</v>
      </c>
      <c r="AB1105" t="s">
        <v>546</v>
      </c>
      <c r="AC1105">
        <v>3</v>
      </c>
      <c r="AD1105" t="s">
        <v>1717</v>
      </c>
      <c r="AE1105" t="s">
        <v>1100</v>
      </c>
      <c r="AF1105">
        <v>2</v>
      </c>
      <c r="AG1105" t="s">
        <v>1203</v>
      </c>
    </row>
    <row r="1106" spans="1:33" x14ac:dyDescent="0.3">
      <c r="A1106" t="s">
        <v>691</v>
      </c>
      <c r="B1106" t="s">
        <v>4670</v>
      </c>
      <c r="C1106" t="s">
        <v>4671</v>
      </c>
      <c r="D1106" t="s">
        <v>4672</v>
      </c>
      <c r="E1106" t="s">
        <v>16</v>
      </c>
      <c r="F1106" t="s">
        <v>1406</v>
      </c>
      <c r="G1106" s="2">
        <v>0.51388888888888895</v>
      </c>
      <c r="H1106" t="s">
        <v>1200</v>
      </c>
      <c r="I1106" t="s">
        <v>1201</v>
      </c>
      <c r="L1106" t="s">
        <v>1222</v>
      </c>
      <c r="R1106" t="s">
        <v>1681</v>
      </c>
      <c r="X1106" t="s">
        <v>498</v>
      </c>
      <c r="Y1106">
        <v>2</v>
      </c>
      <c r="Z1106" t="s">
        <v>1228</v>
      </c>
      <c r="AB1106" t="s">
        <v>546</v>
      </c>
      <c r="AC1106">
        <v>2</v>
      </c>
      <c r="AD1106" t="s">
        <v>1704</v>
      </c>
      <c r="AE1106" t="s">
        <v>1100</v>
      </c>
      <c r="AF1106">
        <v>2</v>
      </c>
      <c r="AG1106" t="s">
        <v>1203</v>
      </c>
    </row>
    <row r="1107" spans="1:33" x14ac:dyDescent="0.3">
      <c r="A1107" t="s">
        <v>691</v>
      </c>
      <c r="B1107" t="s">
        <v>4673</v>
      </c>
      <c r="C1107" t="s">
        <v>4674</v>
      </c>
      <c r="D1107" t="s">
        <v>4675</v>
      </c>
      <c r="E1107" t="s">
        <v>16</v>
      </c>
      <c r="F1107" t="s">
        <v>3655</v>
      </c>
      <c r="G1107" s="2">
        <v>0.50694444444444442</v>
      </c>
      <c r="H1107" t="s">
        <v>1200</v>
      </c>
      <c r="I1107" t="s">
        <v>3191</v>
      </c>
      <c r="L1107" t="s">
        <v>1222</v>
      </c>
      <c r="R1107" t="s">
        <v>1536</v>
      </c>
      <c r="X1107" t="s">
        <v>498</v>
      </c>
      <c r="Y1107">
        <v>2</v>
      </c>
      <c r="Z1107" t="s">
        <v>1228</v>
      </c>
      <c r="AB1107" t="s">
        <v>546</v>
      </c>
      <c r="AC1107">
        <v>2</v>
      </c>
      <c r="AD1107" t="s">
        <v>1228</v>
      </c>
      <c r="AE1107" t="s">
        <v>1100</v>
      </c>
      <c r="AF1107">
        <v>2</v>
      </c>
      <c r="AG1107" t="s">
        <v>1203</v>
      </c>
    </row>
    <row r="1108" spans="1:33" x14ac:dyDescent="0.3">
      <c r="A1108" t="s">
        <v>707</v>
      </c>
      <c r="B1108" t="s">
        <v>4676</v>
      </c>
      <c r="C1108" t="s">
        <v>4677</v>
      </c>
      <c r="D1108" t="s">
        <v>4678</v>
      </c>
      <c r="E1108" t="s">
        <v>16</v>
      </c>
      <c r="F1108" t="s">
        <v>3457</v>
      </c>
      <c r="G1108" s="2">
        <v>0.30208333333333331</v>
      </c>
      <c r="H1108" t="s">
        <v>1200</v>
      </c>
      <c r="I1108" t="s">
        <v>1201</v>
      </c>
      <c r="L1108" t="s">
        <v>1363</v>
      </c>
    </row>
    <row r="1109" spans="1:33" x14ac:dyDescent="0.3">
      <c r="A1109" t="s">
        <v>716</v>
      </c>
      <c r="B1109" t="s">
        <v>4679</v>
      </c>
      <c r="C1109" t="s">
        <v>4680</v>
      </c>
      <c r="D1109" t="s">
        <v>4681</v>
      </c>
      <c r="E1109" t="s">
        <v>16</v>
      </c>
      <c r="F1109" t="s">
        <v>1333</v>
      </c>
      <c r="G1109" s="2">
        <v>0.65972222222222221</v>
      </c>
      <c r="H1109" t="s">
        <v>1200</v>
      </c>
      <c r="I1109" t="s">
        <v>1201</v>
      </c>
      <c r="L1109" t="s">
        <v>1363</v>
      </c>
    </row>
    <row r="1110" spans="1:33" x14ac:dyDescent="0.3">
      <c r="A1110" t="s">
        <v>716</v>
      </c>
      <c r="B1110" t="s">
        <v>4682</v>
      </c>
      <c r="C1110" t="s">
        <v>4683</v>
      </c>
      <c r="D1110" t="s">
        <v>4684</v>
      </c>
      <c r="E1110" t="s">
        <v>16</v>
      </c>
      <c r="F1110" t="s">
        <v>1338</v>
      </c>
      <c r="G1110" s="2">
        <v>0.65277777777777779</v>
      </c>
      <c r="H1110" t="s">
        <v>1200</v>
      </c>
      <c r="I1110" t="s">
        <v>1201</v>
      </c>
      <c r="L1110" t="s">
        <v>1363</v>
      </c>
    </row>
    <row r="1111" spans="1:33" x14ac:dyDescent="0.3">
      <c r="A1111" t="s">
        <v>716</v>
      </c>
      <c r="B1111" t="s">
        <v>4685</v>
      </c>
      <c r="C1111" t="s">
        <v>4686</v>
      </c>
      <c r="D1111" t="s">
        <v>4687</v>
      </c>
      <c r="E1111" t="s">
        <v>16</v>
      </c>
      <c r="F1111" t="s">
        <v>1342</v>
      </c>
      <c r="G1111" s="2">
        <v>0.64583333333333337</v>
      </c>
      <c r="H1111" t="s">
        <v>1200</v>
      </c>
      <c r="I1111" t="s">
        <v>1201</v>
      </c>
      <c r="L1111" t="s">
        <v>1363</v>
      </c>
    </row>
    <row r="1112" spans="1:33" x14ac:dyDescent="0.3">
      <c r="A1112" t="s">
        <v>716</v>
      </c>
      <c r="B1112" t="s">
        <v>4688</v>
      </c>
      <c r="C1112" t="s">
        <v>4689</v>
      </c>
      <c r="D1112" t="s">
        <v>4690</v>
      </c>
      <c r="E1112" t="s">
        <v>16</v>
      </c>
      <c r="F1112" t="s">
        <v>1346</v>
      </c>
      <c r="G1112" s="2">
        <v>0.63888888888888895</v>
      </c>
      <c r="H1112" t="s">
        <v>1200</v>
      </c>
      <c r="I1112" t="s">
        <v>1201</v>
      </c>
      <c r="L1112" t="s">
        <v>1363</v>
      </c>
    </row>
    <row r="1113" spans="1:33" x14ac:dyDescent="0.3">
      <c r="A1113" t="s">
        <v>716</v>
      </c>
      <c r="B1113" t="s">
        <v>4691</v>
      </c>
      <c r="C1113" t="s">
        <v>4692</v>
      </c>
      <c r="D1113" t="s">
        <v>4693</v>
      </c>
      <c r="E1113" t="s">
        <v>16</v>
      </c>
      <c r="F1113" t="s">
        <v>1350</v>
      </c>
      <c r="G1113" s="2">
        <v>0.63194444444444442</v>
      </c>
      <c r="H1113" t="s">
        <v>1200</v>
      </c>
      <c r="I1113" t="s">
        <v>1201</v>
      </c>
      <c r="L1113" t="s">
        <v>1363</v>
      </c>
    </row>
    <row r="1114" spans="1:33" x14ac:dyDescent="0.3">
      <c r="A1114" t="s">
        <v>716</v>
      </c>
      <c r="B1114" t="s">
        <v>4694</v>
      </c>
      <c r="C1114" t="s">
        <v>4695</v>
      </c>
      <c r="D1114" t="s">
        <v>4696</v>
      </c>
      <c r="E1114" t="s">
        <v>16</v>
      </c>
      <c r="F1114" t="s">
        <v>1354</v>
      </c>
      <c r="G1114" s="2">
        <v>0.625</v>
      </c>
      <c r="H1114" t="s">
        <v>1200</v>
      </c>
      <c r="I1114" t="s">
        <v>1201</v>
      </c>
      <c r="L1114" t="s">
        <v>1363</v>
      </c>
    </row>
    <row r="1115" spans="1:33" x14ac:dyDescent="0.3">
      <c r="A1115" t="s">
        <v>716</v>
      </c>
      <c r="B1115" t="s">
        <v>4697</v>
      </c>
      <c r="C1115" t="s">
        <v>4698</v>
      </c>
      <c r="D1115" t="s">
        <v>4699</v>
      </c>
      <c r="E1115" t="s">
        <v>16</v>
      </c>
      <c r="F1115" t="s">
        <v>1558</v>
      </c>
      <c r="G1115" s="2">
        <v>0.61805555555555558</v>
      </c>
      <c r="H1115" t="s">
        <v>1200</v>
      </c>
      <c r="I1115" t="s">
        <v>1201</v>
      </c>
      <c r="L1115" t="s">
        <v>1363</v>
      </c>
    </row>
    <row r="1116" spans="1:33" x14ac:dyDescent="0.3">
      <c r="A1116" t="s">
        <v>716</v>
      </c>
      <c r="B1116" t="s">
        <v>4700</v>
      </c>
      <c r="C1116" t="s">
        <v>4701</v>
      </c>
      <c r="D1116" t="s">
        <v>4702</v>
      </c>
      <c r="E1116" t="s">
        <v>16</v>
      </c>
      <c r="F1116" t="s">
        <v>1358</v>
      </c>
      <c r="G1116" s="2">
        <v>0.61111111111111105</v>
      </c>
      <c r="H1116" t="s">
        <v>1200</v>
      </c>
      <c r="I1116" t="s">
        <v>1201</v>
      </c>
      <c r="L1116" t="s">
        <v>1363</v>
      </c>
    </row>
    <row r="1117" spans="1:33" x14ac:dyDescent="0.3">
      <c r="A1117" t="s">
        <v>716</v>
      </c>
      <c r="B1117" t="s">
        <v>4703</v>
      </c>
      <c r="C1117" t="s">
        <v>4704</v>
      </c>
      <c r="D1117" t="s">
        <v>4705</v>
      </c>
      <c r="E1117" t="s">
        <v>16</v>
      </c>
      <c r="F1117" t="s">
        <v>1362</v>
      </c>
      <c r="G1117" s="2">
        <v>0.60416666666666663</v>
      </c>
      <c r="H1117" t="s">
        <v>1200</v>
      </c>
      <c r="I1117" t="s">
        <v>1201</v>
      </c>
      <c r="L1117" t="s">
        <v>1363</v>
      </c>
    </row>
    <row r="1118" spans="1:33" x14ac:dyDescent="0.3">
      <c r="A1118" t="s">
        <v>716</v>
      </c>
      <c r="B1118" t="s">
        <v>4706</v>
      </c>
      <c r="C1118" t="s">
        <v>4707</v>
      </c>
      <c r="D1118" t="s">
        <v>4708</v>
      </c>
      <c r="E1118" t="s">
        <v>16</v>
      </c>
      <c r="F1118" t="s">
        <v>1367</v>
      </c>
      <c r="G1118" s="2">
        <v>0.59722222222222221</v>
      </c>
      <c r="H1118" t="s">
        <v>1200</v>
      </c>
      <c r="I1118" t="s">
        <v>1201</v>
      </c>
      <c r="L1118" t="s">
        <v>1363</v>
      </c>
    </row>
    <row r="1119" spans="1:33" x14ac:dyDescent="0.3">
      <c r="A1119" t="s">
        <v>716</v>
      </c>
      <c r="B1119" t="s">
        <v>4709</v>
      </c>
      <c r="C1119" t="s">
        <v>4710</v>
      </c>
      <c r="D1119" t="s">
        <v>4711</v>
      </c>
      <c r="E1119" t="s">
        <v>16</v>
      </c>
      <c r="F1119" t="s">
        <v>1371</v>
      </c>
      <c r="G1119" s="2">
        <v>0.59027777777777779</v>
      </c>
      <c r="H1119" t="s">
        <v>1200</v>
      </c>
      <c r="I1119" t="s">
        <v>1201</v>
      </c>
      <c r="L1119" t="s">
        <v>1363</v>
      </c>
    </row>
    <row r="1120" spans="1:33" x14ac:dyDescent="0.3">
      <c r="A1120" t="s">
        <v>716</v>
      </c>
      <c r="B1120" t="s">
        <v>4712</v>
      </c>
      <c r="C1120" t="s">
        <v>4713</v>
      </c>
      <c r="D1120" t="s">
        <v>4714</v>
      </c>
      <c r="E1120" t="s">
        <v>16</v>
      </c>
      <c r="F1120" t="s">
        <v>1199</v>
      </c>
      <c r="G1120" s="2">
        <v>0.58333333333333337</v>
      </c>
      <c r="H1120" t="s">
        <v>1200</v>
      </c>
      <c r="I1120" t="s">
        <v>1201</v>
      </c>
      <c r="L1120" t="s">
        <v>1202</v>
      </c>
    </row>
    <row r="1121" spans="1:33" x14ac:dyDescent="0.3">
      <c r="A1121" t="s">
        <v>716</v>
      </c>
      <c r="B1121" t="s">
        <v>4715</v>
      </c>
      <c r="C1121" t="s">
        <v>4716</v>
      </c>
      <c r="D1121" t="s">
        <v>4717</v>
      </c>
      <c r="E1121" t="s">
        <v>16</v>
      </c>
      <c r="F1121" t="s">
        <v>1207</v>
      </c>
      <c r="G1121" s="2">
        <v>0.57638888888888895</v>
      </c>
      <c r="H1121" t="s">
        <v>1200</v>
      </c>
      <c r="I1121" t="s">
        <v>1201</v>
      </c>
      <c r="L1121" t="s">
        <v>1363</v>
      </c>
    </row>
    <row r="1122" spans="1:33" x14ac:dyDescent="0.3">
      <c r="A1122" t="s">
        <v>716</v>
      </c>
      <c r="B1122" t="s">
        <v>4718</v>
      </c>
      <c r="C1122" t="s">
        <v>4719</v>
      </c>
      <c r="D1122" t="s">
        <v>4720</v>
      </c>
      <c r="E1122" t="s">
        <v>16</v>
      </c>
      <c r="F1122" t="s">
        <v>1211</v>
      </c>
      <c r="G1122" s="2">
        <v>0.56944444444444442</v>
      </c>
      <c r="H1122" t="s">
        <v>1200</v>
      </c>
      <c r="I1122" t="s">
        <v>1201</v>
      </c>
      <c r="L1122" t="s">
        <v>1363</v>
      </c>
      <c r="X1122" t="s">
        <v>546</v>
      </c>
      <c r="Y1122">
        <v>0</v>
      </c>
      <c r="Z1122" t="s">
        <v>1396</v>
      </c>
    </row>
    <row r="1123" spans="1:33" x14ac:dyDescent="0.3">
      <c r="A1123" t="s">
        <v>716</v>
      </c>
      <c r="B1123" t="s">
        <v>4721</v>
      </c>
      <c r="C1123" t="s">
        <v>4722</v>
      </c>
      <c r="D1123" t="s">
        <v>4723</v>
      </c>
      <c r="E1123" t="s">
        <v>16</v>
      </c>
      <c r="F1123" t="s">
        <v>1455</v>
      </c>
      <c r="G1123" s="2">
        <v>0.40972222222222227</v>
      </c>
      <c r="H1123" t="s">
        <v>1200</v>
      </c>
      <c r="I1123" t="s">
        <v>1201</v>
      </c>
      <c r="K1123" t="s">
        <v>1250</v>
      </c>
      <c r="X1123" t="s">
        <v>546</v>
      </c>
      <c r="Y1123">
        <v>3</v>
      </c>
      <c r="Z1123" t="s">
        <v>1266</v>
      </c>
      <c r="AB1123" t="s">
        <v>498</v>
      </c>
      <c r="AC1123">
        <v>3</v>
      </c>
      <c r="AD1123" t="s">
        <v>1266</v>
      </c>
    </row>
    <row r="1124" spans="1:33" x14ac:dyDescent="0.3">
      <c r="A1124" t="s">
        <v>716</v>
      </c>
      <c r="B1124" t="s">
        <v>4724</v>
      </c>
      <c r="C1124" t="s">
        <v>4725</v>
      </c>
      <c r="D1124" t="s">
        <v>4726</v>
      </c>
      <c r="E1124" t="s">
        <v>16</v>
      </c>
      <c r="F1124" t="s">
        <v>1459</v>
      </c>
      <c r="G1124" s="2">
        <v>0.40277777777777773</v>
      </c>
      <c r="H1124" t="s">
        <v>1200</v>
      </c>
      <c r="I1124" t="s">
        <v>1201</v>
      </c>
      <c r="N1124" t="s">
        <v>4727</v>
      </c>
      <c r="O1124" t="s">
        <v>4728</v>
      </c>
      <c r="P1124" t="s">
        <v>4729</v>
      </c>
      <c r="X1124" t="s">
        <v>1100</v>
      </c>
      <c r="Y1124">
        <v>1</v>
      </c>
      <c r="Z1124" t="s">
        <v>2087</v>
      </c>
      <c r="AB1124" t="s">
        <v>1100</v>
      </c>
      <c r="AC1124">
        <v>1</v>
      </c>
      <c r="AD1124" t="s">
        <v>2087</v>
      </c>
      <c r="AE1124" t="s">
        <v>546</v>
      </c>
      <c r="AF1124">
        <v>3</v>
      </c>
      <c r="AG1124" t="s">
        <v>1228</v>
      </c>
    </row>
    <row r="1125" spans="1:33" x14ac:dyDescent="0.3">
      <c r="A1125" t="s">
        <v>716</v>
      </c>
      <c r="B1125" t="s">
        <v>4730</v>
      </c>
      <c r="C1125" t="s">
        <v>4731</v>
      </c>
      <c r="D1125" t="s">
        <v>4732</v>
      </c>
      <c r="E1125" t="s">
        <v>16</v>
      </c>
      <c r="F1125" t="s">
        <v>1469</v>
      </c>
      <c r="G1125" s="2">
        <v>0.3888888888888889</v>
      </c>
      <c r="H1125" t="s">
        <v>1200</v>
      </c>
      <c r="I1125" t="s">
        <v>1201</v>
      </c>
      <c r="M1125" t="s">
        <v>1216</v>
      </c>
      <c r="X1125" t="s">
        <v>546</v>
      </c>
      <c r="Y1125">
        <v>2</v>
      </c>
      <c r="Z1125" t="s">
        <v>1245</v>
      </c>
      <c r="AB1125" t="s">
        <v>546</v>
      </c>
      <c r="AC1125">
        <v>3</v>
      </c>
      <c r="AD1125" t="s">
        <v>1217</v>
      </c>
      <c r="AE1125" t="s">
        <v>546</v>
      </c>
      <c r="AF1125">
        <v>3</v>
      </c>
      <c r="AG1125" t="s">
        <v>1245</v>
      </c>
    </row>
    <row r="1126" spans="1:33" x14ac:dyDescent="0.3">
      <c r="A1126" t="s">
        <v>716</v>
      </c>
      <c r="B1126" t="s">
        <v>4733</v>
      </c>
      <c r="C1126" t="s">
        <v>4734</v>
      </c>
      <c r="D1126" t="s">
        <v>4735</v>
      </c>
      <c r="E1126" t="s">
        <v>16</v>
      </c>
      <c r="F1126" t="s">
        <v>1473</v>
      </c>
      <c r="G1126" s="2">
        <v>0.38194444444444442</v>
      </c>
      <c r="H1126" t="s">
        <v>1200</v>
      </c>
      <c r="I1126" t="s">
        <v>1201</v>
      </c>
      <c r="M1126" t="s">
        <v>1292</v>
      </c>
      <c r="X1126" t="s">
        <v>546</v>
      </c>
      <c r="Y1126">
        <v>3</v>
      </c>
      <c r="Z1126" t="s">
        <v>1245</v>
      </c>
      <c r="AB1126" t="s">
        <v>546</v>
      </c>
      <c r="AC1126">
        <v>3</v>
      </c>
      <c r="AD1126" t="s">
        <v>1245</v>
      </c>
      <c r="AE1126" t="s">
        <v>1100</v>
      </c>
      <c r="AF1126">
        <v>3</v>
      </c>
      <c r="AG1126" t="s">
        <v>1245</v>
      </c>
    </row>
    <row r="1127" spans="1:33" x14ac:dyDescent="0.3">
      <c r="A1127" t="s">
        <v>716</v>
      </c>
      <c r="B1127" t="s">
        <v>4736</v>
      </c>
      <c r="C1127" t="s">
        <v>4737</v>
      </c>
      <c r="D1127" t="s">
        <v>4738</v>
      </c>
      <c r="E1127" t="s">
        <v>16</v>
      </c>
      <c r="F1127" t="s">
        <v>1477</v>
      </c>
      <c r="G1127" s="2">
        <v>0.375</v>
      </c>
      <c r="H1127" t="s">
        <v>1200</v>
      </c>
      <c r="I1127" t="s">
        <v>1201</v>
      </c>
      <c r="M1127" t="s">
        <v>1309</v>
      </c>
      <c r="X1127" t="s">
        <v>1100</v>
      </c>
      <c r="Y1127">
        <v>3</v>
      </c>
      <c r="Z1127" t="s">
        <v>1261</v>
      </c>
      <c r="AB1127" t="s">
        <v>546</v>
      </c>
      <c r="AC1127">
        <v>4</v>
      </c>
      <c r="AD1127" t="s">
        <v>1261</v>
      </c>
      <c r="AE1127" t="s">
        <v>498</v>
      </c>
      <c r="AF1127">
        <v>3</v>
      </c>
      <c r="AG1127" t="s">
        <v>1245</v>
      </c>
    </row>
    <row r="1128" spans="1:33" x14ac:dyDescent="0.3">
      <c r="A1128" t="s">
        <v>716</v>
      </c>
      <c r="B1128" t="s">
        <v>4739</v>
      </c>
      <c r="C1128" t="s">
        <v>4740</v>
      </c>
      <c r="D1128" t="s">
        <v>4741</v>
      </c>
      <c r="E1128" t="s">
        <v>16</v>
      </c>
      <c r="F1128" t="s">
        <v>1482</v>
      </c>
      <c r="G1128" s="2">
        <v>0.36805555555555558</v>
      </c>
      <c r="H1128" t="s">
        <v>1200</v>
      </c>
      <c r="I1128" t="s">
        <v>1201</v>
      </c>
      <c r="K1128" t="s">
        <v>1250</v>
      </c>
      <c r="X1128" t="s">
        <v>546</v>
      </c>
      <c r="Y1128">
        <v>3</v>
      </c>
      <c r="Z1128" t="s">
        <v>1245</v>
      </c>
      <c r="AB1128" t="s">
        <v>1100</v>
      </c>
      <c r="AC1128">
        <v>4</v>
      </c>
      <c r="AD1128" t="s">
        <v>1266</v>
      </c>
      <c r="AE1128" t="s">
        <v>546</v>
      </c>
      <c r="AF1128">
        <v>5</v>
      </c>
      <c r="AG1128" t="s">
        <v>1266</v>
      </c>
    </row>
    <row r="1129" spans="1:33" x14ac:dyDescent="0.3">
      <c r="A1129" t="s">
        <v>716</v>
      </c>
      <c r="B1129" t="s">
        <v>4742</v>
      </c>
      <c r="C1129" t="s">
        <v>4743</v>
      </c>
      <c r="D1129" t="s">
        <v>4744</v>
      </c>
      <c r="E1129" t="s">
        <v>16</v>
      </c>
      <c r="F1129" t="s">
        <v>1486</v>
      </c>
      <c r="G1129" s="2">
        <v>0.3611111111111111</v>
      </c>
      <c r="H1129" t="s">
        <v>1200</v>
      </c>
      <c r="I1129" t="s">
        <v>1201</v>
      </c>
      <c r="K1129" t="s">
        <v>1250</v>
      </c>
      <c r="X1129" t="s">
        <v>546</v>
      </c>
      <c r="Y1129">
        <v>3</v>
      </c>
      <c r="Z1129" t="s">
        <v>2390</v>
      </c>
      <c r="AB1129" t="s">
        <v>546</v>
      </c>
      <c r="AC1129">
        <v>3</v>
      </c>
      <c r="AD1129" t="s">
        <v>1266</v>
      </c>
    </row>
    <row r="1130" spans="1:33" x14ac:dyDescent="0.3">
      <c r="A1130" t="s">
        <v>716</v>
      </c>
      <c r="B1130" t="s">
        <v>4745</v>
      </c>
      <c r="C1130" t="s">
        <v>4746</v>
      </c>
      <c r="D1130" t="s">
        <v>4747</v>
      </c>
      <c r="E1130" t="s">
        <v>16</v>
      </c>
      <c r="F1130" t="s">
        <v>1495</v>
      </c>
      <c r="G1130" s="2">
        <v>0.34722222222222227</v>
      </c>
      <c r="H1130" t="s">
        <v>1200</v>
      </c>
      <c r="I1130" t="s">
        <v>1201</v>
      </c>
      <c r="K1130" t="s">
        <v>1250</v>
      </c>
      <c r="X1130" t="s">
        <v>546</v>
      </c>
      <c r="Y1130">
        <v>2</v>
      </c>
      <c r="Z1130" t="s">
        <v>1266</v>
      </c>
      <c r="AB1130" t="s">
        <v>1100</v>
      </c>
      <c r="AC1130">
        <v>3</v>
      </c>
      <c r="AD1130" t="s">
        <v>1266</v>
      </c>
    </row>
    <row r="1131" spans="1:33" x14ac:dyDescent="0.3">
      <c r="A1131" t="s">
        <v>716</v>
      </c>
      <c r="B1131" t="s">
        <v>4748</v>
      </c>
      <c r="C1131" t="s">
        <v>4749</v>
      </c>
      <c r="D1131" t="s">
        <v>4750</v>
      </c>
      <c r="E1131" t="s">
        <v>16</v>
      </c>
      <c r="F1131" t="s">
        <v>1500</v>
      </c>
      <c r="G1131" s="2">
        <v>0.34027777777777773</v>
      </c>
      <c r="H1131" t="s">
        <v>1200</v>
      </c>
      <c r="I1131" t="s">
        <v>1201</v>
      </c>
      <c r="M1131" t="s">
        <v>1292</v>
      </c>
      <c r="X1131" t="s">
        <v>546</v>
      </c>
      <c r="Y1131">
        <v>3</v>
      </c>
      <c r="Z1131" t="s">
        <v>1245</v>
      </c>
    </row>
    <row r="1132" spans="1:33" x14ac:dyDescent="0.3">
      <c r="A1132" t="s">
        <v>716</v>
      </c>
      <c r="B1132" t="s">
        <v>4751</v>
      </c>
      <c r="C1132" t="s">
        <v>4752</v>
      </c>
      <c r="D1132" t="s">
        <v>4753</v>
      </c>
      <c r="E1132" t="s">
        <v>16</v>
      </c>
      <c r="F1132" t="s">
        <v>3030</v>
      </c>
      <c r="G1132" s="2">
        <v>0.33333333333333331</v>
      </c>
      <c r="H1132" t="s">
        <v>1200</v>
      </c>
      <c r="I1132" t="s">
        <v>1201</v>
      </c>
      <c r="Q1132" t="s">
        <v>1822</v>
      </c>
      <c r="X1132" t="s">
        <v>546</v>
      </c>
      <c r="Y1132">
        <v>3</v>
      </c>
      <c r="Z1132" t="s">
        <v>1228</v>
      </c>
      <c r="AB1132" t="s">
        <v>546</v>
      </c>
      <c r="AC1132">
        <v>5</v>
      </c>
      <c r="AD1132" t="s">
        <v>1228</v>
      </c>
      <c r="AE1132" t="s">
        <v>1100</v>
      </c>
      <c r="AF1132">
        <v>5</v>
      </c>
      <c r="AG1132" t="s">
        <v>1203</v>
      </c>
    </row>
    <row r="1133" spans="1:33" x14ac:dyDescent="0.3">
      <c r="A1133" t="s">
        <v>716</v>
      </c>
      <c r="B1133" t="s">
        <v>4754</v>
      </c>
      <c r="C1133" t="s">
        <v>4755</v>
      </c>
      <c r="D1133" t="s">
        <v>4756</v>
      </c>
      <c r="E1133" t="s">
        <v>16</v>
      </c>
      <c r="F1133" t="s">
        <v>3034</v>
      </c>
      <c r="G1133" s="2">
        <v>0.3263888888888889</v>
      </c>
      <c r="H1133" t="s">
        <v>1200</v>
      </c>
      <c r="I1133" t="s">
        <v>1201</v>
      </c>
      <c r="L1133" t="s">
        <v>1202</v>
      </c>
      <c r="X1133" t="s">
        <v>546</v>
      </c>
      <c r="Y1133">
        <v>0</v>
      </c>
      <c r="Z1133" t="s">
        <v>1203</v>
      </c>
      <c r="AB1133" t="s">
        <v>546</v>
      </c>
      <c r="AC1133">
        <v>5</v>
      </c>
      <c r="AD1133" t="s">
        <v>1203</v>
      </c>
      <c r="AE1133" t="s">
        <v>1100</v>
      </c>
      <c r="AF1133">
        <v>5</v>
      </c>
      <c r="AG1133" t="s">
        <v>1203</v>
      </c>
    </row>
    <row r="1134" spans="1:33" x14ac:dyDescent="0.3">
      <c r="A1134" t="s">
        <v>716</v>
      </c>
      <c r="B1134" t="s">
        <v>4757</v>
      </c>
      <c r="C1134" t="s">
        <v>4758</v>
      </c>
      <c r="D1134" t="s">
        <v>4759</v>
      </c>
      <c r="E1134" t="s">
        <v>16</v>
      </c>
      <c r="F1134" t="s">
        <v>3038</v>
      </c>
      <c r="G1134" s="2">
        <v>0.31944444444444448</v>
      </c>
      <c r="H1134" t="s">
        <v>1200</v>
      </c>
      <c r="I1134" t="s">
        <v>1201</v>
      </c>
      <c r="L1134" t="s">
        <v>1202</v>
      </c>
      <c r="X1134" t="s">
        <v>546</v>
      </c>
      <c r="Y1134">
        <v>0</v>
      </c>
      <c r="Z1134" t="s">
        <v>1203</v>
      </c>
      <c r="AB1134" t="s">
        <v>546</v>
      </c>
      <c r="AC1134">
        <v>5</v>
      </c>
      <c r="AD1134" t="s">
        <v>1203</v>
      </c>
      <c r="AE1134" t="s">
        <v>1100</v>
      </c>
      <c r="AF1134">
        <v>5</v>
      </c>
      <c r="AG1134" t="s">
        <v>1203</v>
      </c>
    </row>
    <row r="1135" spans="1:33" x14ac:dyDescent="0.3">
      <c r="A1135" t="s">
        <v>716</v>
      </c>
      <c r="B1135" t="s">
        <v>4760</v>
      </c>
      <c r="C1135" t="s">
        <v>4761</v>
      </c>
      <c r="D1135" t="s">
        <v>4762</v>
      </c>
      <c r="E1135" t="s">
        <v>16</v>
      </c>
      <c r="F1135" t="s">
        <v>3042</v>
      </c>
      <c r="G1135" s="2">
        <v>0.3125</v>
      </c>
      <c r="H1135" t="s">
        <v>1200</v>
      </c>
      <c r="I1135" t="s">
        <v>1201</v>
      </c>
      <c r="L1135" t="s">
        <v>1222</v>
      </c>
      <c r="X1135" t="s">
        <v>546</v>
      </c>
      <c r="Y1135">
        <v>0</v>
      </c>
      <c r="Z1135" t="s">
        <v>1228</v>
      </c>
      <c r="AB1135" t="s">
        <v>546</v>
      </c>
      <c r="AC1135">
        <v>4</v>
      </c>
      <c r="AD1135" t="s">
        <v>1396</v>
      </c>
      <c r="AE1135" t="s">
        <v>1100</v>
      </c>
      <c r="AF1135">
        <v>4</v>
      </c>
      <c r="AG1135" t="s">
        <v>1396</v>
      </c>
    </row>
    <row r="1136" spans="1:33" x14ac:dyDescent="0.3">
      <c r="A1136" t="s">
        <v>716</v>
      </c>
      <c r="B1136" t="s">
        <v>4763</v>
      </c>
      <c r="C1136" t="s">
        <v>4764</v>
      </c>
      <c r="D1136" t="s">
        <v>4765</v>
      </c>
      <c r="E1136" t="s">
        <v>16</v>
      </c>
      <c r="F1136" t="s">
        <v>3317</v>
      </c>
      <c r="G1136" s="2">
        <v>0.30555555555555552</v>
      </c>
      <c r="H1136" t="s">
        <v>1200</v>
      </c>
      <c r="I1136" t="s">
        <v>1201</v>
      </c>
      <c r="L1136" t="s">
        <v>1222</v>
      </c>
      <c r="X1136" t="s">
        <v>546</v>
      </c>
      <c r="Y1136">
        <v>0</v>
      </c>
      <c r="Z1136" t="s">
        <v>1396</v>
      </c>
      <c r="AB1136" t="s">
        <v>546</v>
      </c>
      <c r="AC1136">
        <v>4</v>
      </c>
      <c r="AD1136" t="s">
        <v>1396</v>
      </c>
      <c r="AE1136" t="s">
        <v>1100</v>
      </c>
      <c r="AF1136">
        <v>4</v>
      </c>
      <c r="AG1136" t="s">
        <v>1396</v>
      </c>
    </row>
    <row r="1137" spans="1:33" x14ac:dyDescent="0.3">
      <c r="A1137" t="s">
        <v>716</v>
      </c>
      <c r="B1137" t="s">
        <v>4766</v>
      </c>
      <c r="C1137" t="s">
        <v>4767</v>
      </c>
      <c r="D1137" t="s">
        <v>4768</v>
      </c>
      <c r="E1137" t="s">
        <v>16</v>
      </c>
      <c r="F1137" t="s">
        <v>3321</v>
      </c>
      <c r="G1137" s="2">
        <v>0.2986111111111111</v>
      </c>
      <c r="H1137" t="s">
        <v>1200</v>
      </c>
      <c r="I1137" t="s">
        <v>1201</v>
      </c>
      <c r="N1137" t="s">
        <v>3969</v>
      </c>
      <c r="O1137" t="s">
        <v>4728</v>
      </c>
      <c r="P1137" t="s">
        <v>4769</v>
      </c>
      <c r="X1137" t="s">
        <v>546</v>
      </c>
      <c r="Y1137">
        <v>0</v>
      </c>
      <c r="Z1137" t="s">
        <v>2521</v>
      </c>
      <c r="AB1137" t="s">
        <v>546</v>
      </c>
      <c r="AC1137">
        <v>4</v>
      </c>
      <c r="AD1137" t="s">
        <v>1862</v>
      </c>
      <c r="AE1137" t="s">
        <v>1100</v>
      </c>
      <c r="AF1137">
        <v>4</v>
      </c>
      <c r="AG1137" t="s">
        <v>1862</v>
      </c>
    </row>
    <row r="1138" spans="1:33" x14ac:dyDescent="0.3">
      <c r="A1138" t="s">
        <v>720</v>
      </c>
      <c r="B1138" t="s">
        <v>4770</v>
      </c>
      <c r="C1138" t="s">
        <v>4771</v>
      </c>
      <c r="D1138" t="s">
        <v>4772</v>
      </c>
      <c r="E1138" t="s">
        <v>16</v>
      </c>
      <c r="F1138" t="s">
        <v>3169</v>
      </c>
      <c r="G1138" s="2">
        <v>0.73611111111111116</v>
      </c>
      <c r="H1138" t="s">
        <v>1200</v>
      </c>
      <c r="I1138" t="s">
        <v>1201</v>
      </c>
      <c r="L1138" t="s">
        <v>1222</v>
      </c>
    </row>
    <row r="1139" spans="1:33" x14ac:dyDescent="0.3">
      <c r="A1139" t="s">
        <v>720</v>
      </c>
      <c r="B1139" t="s">
        <v>4773</v>
      </c>
      <c r="C1139" t="s">
        <v>4774</v>
      </c>
      <c r="D1139" t="s">
        <v>4775</v>
      </c>
      <c r="E1139" t="s">
        <v>16</v>
      </c>
      <c r="F1139" t="s">
        <v>1506</v>
      </c>
      <c r="G1139" s="2">
        <v>0.72916666666666663</v>
      </c>
      <c r="H1139" t="s">
        <v>1200</v>
      </c>
      <c r="I1139" t="s">
        <v>1201</v>
      </c>
      <c r="R1139" t="s">
        <v>1675</v>
      </c>
      <c r="X1139" t="s">
        <v>498</v>
      </c>
      <c r="Y1139">
        <v>6</v>
      </c>
      <c r="Z1139" t="s">
        <v>4376</v>
      </c>
    </row>
    <row r="1140" spans="1:33" x14ac:dyDescent="0.3">
      <c r="A1140" t="s">
        <v>720</v>
      </c>
      <c r="B1140" t="s">
        <v>4776</v>
      </c>
      <c r="C1140" t="s">
        <v>4777</v>
      </c>
      <c r="D1140" t="s">
        <v>4778</v>
      </c>
      <c r="E1140" t="s">
        <v>16</v>
      </c>
      <c r="F1140" t="s">
        <v>1510</v>
      </c>
      <c r="G1140" s="2">
        <v>0.72222222222222221</v>
      </c>
      <c r="H1140" t="s">
        <v>1200</v>
      </c>
      <c r="I1140" t="s">
        <v>1201</v>
      </c>
      <c r="L1140" t="s">
        <v>1222</v>
      </c>
    </row>
    <row r="1141" spans="1:33" x14ac:dyDescent="0.3">
      <c r="A1141" t="s">
        <v>720</v>
      </c>
      <c r="B1141" s="3" t="s">
        <v>4779</v>
      </c>
      <c r="C1141" t="s">
        <v>4780</v>
      </c>
      <c r="D1141" t="s">
        <v>4781</v>
      </c>
      <c r="E1141" t="s">
        <v>16</v>
      </c>
      <c r="F1141" t="s">
        <v>1514</v>
      </c>
      <c r="G1141" s="2">
        <v>0.71527777777777779</v>
      </c>
      <c r="H1141" t="s">
        <v>1200</v>
      </c>
      <c r="I1141" t="s">
        <v>1201</v>
      </c>
      <c r="L1141" t="s">
        <v>1222</v>
      </c>
    </row>
    <row r="1142" spans="1:33" x14ac:dyDescent="0.3">
      <c r="A1142" t="s">
        <v>720</v>
      </c>
      <c r="B1142" t="s">
        <v>4782</v>
      </c>
      <c r="C1142" t="s">
        <v>4783</v>
      </c>
      <c r="D1142" t="s">
        <v>4784</v>
      </c>
      <c r="E1142" t="s">
        <v>16</v>
      </c>
      <c r="F1142" t="s">
        <v>1304</v>
      </c>
      <c r="G1142" s="2">
        <v>0.70833333333333337</v>
      </c>
      <c r="H1142" t="s">
        <v>1200</v>
      </c>
      <c r="I1142" t="s">
        <v>1201</v>
      </c>
      <c r="L1142" t="s">
        <v>1202</v>
      </c>
      <c r="X1142" t="s">
        <v>525</v>
      </c>
      <c r="Y1142">
        <v>4</v>
      </c>
      <c r="Z1142" t="s">
        <v>1266</v>
      </c>
      <c r="AB1142" t="s">
        <v>752</v>
      </c>
      <c r="AC1142">
        <v>6</v>
      </c>
    </row>
    <row r="1143" spans="1:33" x14ac:dyDescent="0.3">
      <c r="A1143" t="s">
        <v>720</v>
      </c>
      <c r="B1143" t="s">
        <v>4785</v>
      </c>
      <c r="C1143" t="s">
        <v>4786</v>
      </c>
      <c r="D1143" t="s">
        <v>4787</v>
      </c>
      <c r="E1143" t="s">
        <v>16</v>
      </c>
      <c r="F1143" t="s">
        <v>1254</v>
      </c>
      <c r="G1143" s="2">
        <v>0.50694444444444442</v>
      </c>
      <c r="H1143" t="s">
        <v>1200</v>
      </c>
      <c r="I1143" t="s">
        <v>1201</v>
      </c>
      <c r="L1143" t="s">
        <v>1363</v>
      </c>
      <c r="X1143" t="s">
        <v>1100</v>
      </c>
      <c r="Y1143">
        <v>5</v>
      </c>
      <c r="Z1143" t="s">
        <v>1396</v>
      </c>
      <c r="AB1143" t="s">
        <v>546</v>
      </c>
      <c r="AC1143">
        <v>5</v>
      </c>
      <c r="AD1143" t="s">
        <v>1496</v>
      </c>
      <c r="AE1143" t="s">
        <v>525</v>
      </c>
      <c r="AF1143">
        <v>6</v>
      </c>
      <c r="AG1143" t="s">
        <v>1496</v>
      </c>
    </row>
    <row r="1144" spans="1:33" x14ac:dyDescent="0.3">
      <c r="A1144" t="s">
        <v>720</v>
      </c>
      <c r="B1144" t="s">
        <v>4788</v>
      </c>
      <c r="C1144" t="s">
        <v>4789</v>
      </c>
      <c r="D1144" t="s">
        <v>4790</v>
      </c>
      <c r="E1144" t="s">
        <v>16</v>
      </c>
      <c r="F1144" t="s">
        <v>1259</v>
      </c>
      <c r="G1144" s="2">
        <v>0.5</v>
      </c>
      <c r="H1144" t="s">
        <v>1200</v>
      </c>
      <c r="I1144" t="s">
        <v>1201</v>
      </c>
      <c r="L1144" t="s">
        <v>1363</v>
      </c>
      <c r="X1144" t="s">
        <v>1100</v>
      </c>
      <c r="Y1144">
        <v>5</v>
      </c>
      <c r="Z1144" t="s">
        <v>1396</v>
      </c>
      <c r="AB1144" t="s">
        <v>1100</v>
      </c>
      <c r="AC1144">
        <v>5</v>
      </c>
      <c r="AD1144" t="s">
        <v>1396</v>
      </c>
      <c r="AE1144" t="s">
        <v>546</v>
      </c>
      <c r="AF1144">
        <v>5</v>
      </c>
      <c r="AG1144" t="s">
        <v>1396</v>
      </c>
    </row>
    <row r="1145" spans="1:33" x14ac:dyDescent="0.3">
      <c r="A1145" t="s">
        <v>720</v>
      </c>
      <c r="B1145" t="s">
        <v>4791</v>
      </c>
      <c r="C1145" t="s">
        <v>4792</v>
      </c>
      <c r="D1145" t="s">
        <v>4793</v>
      </c>
      <c r="E1145" t="s">
        <v>16</v>
      </c>
      <c r="F1145" t="s">
        <v>1265</v>
      </c>
      <c r="G1145" s="2">
        <v>0.49305555555555558</v>
      </c>
      <c r="H1145" t="s">
        <v>1200</v>
      </c>
      <c r="I1145" t="s">
        <v>1201</v>
      </c>
      <c r="L1145" t="s">
        <v>1202</v>
      </c>
      <c r="X1145" t="s">
        <v>1100</v>
      </c>
      <c r="Y1145">
        <v>5</v>
      </c>
      <c r="Z1145" t="s">
        <v>1203</v>
      </c>
      <c r="AB1145" t="s">
        <v>546</v>
      </c>
      <c r="AC1145">
        <v>5</v>
      </c>
      <c r="AD1145" t="s">
        <v>1203</v>
      </c>
      <c r="AE1145" t="s">
        <v>525</v>
      </c>
      <c r="AF1145">
        <v>6</v>
      </c>
      <c r="AG1145" t="s">
        <v>1203</v>
      </c>
    </row>
    <row r="1146" spans="1:33" x14ac:dyDescent="0.3">
      <c r="A1146" t="s">
        <v>720</v>
      </c>
      <c r="B1146" t="s">
        <v>4794</v>
      </c>
      <c r="C1146" t="s">
        <v>4795</v>
      </c>
      <c r="D1146" t="s">
        <v>4796</v>
      </c>
      <c r="E1146" t="s">
        <v>16</v>
      </c>
      <c r="F1146" t="s">
        <v>1270</v>
      </c>
      <c r="G1146" s="2">
        <v>0.4861111111111111</v>
      </c>
      <c r="H1146" t="s">
        <v>1200</v>
      </c>
      <c r="I1146" t="s">
        <v>1201</v>
      </c>
      <c r="M1146" t="s">
        <v>1216</v>
      </c>
      <c r="X1146" t="s">
        <v>1100</v>
      </c>
      <c r="Y1146">
        <v>2</v>
      </c>
      <c r="Z1146" t="s">
        <v>1203</v>
      </c>
      <c r="AB1146" t="s">
        <v>546</v>
      </c>
      <c r="AC1146">
        <v>3</v>
      </c>
      <c r="AD1146" t="s">
        <v>1203</v>
      </c>
      <c r="AE1146" t="s">
        <v>525</v>
      </c>
      <c r="AF1146">
        <v>4</v>
      </c>
      <c r="AG1146" t="s">
        <v>1203</v>
      </c>
    </row>
    <row r="1147" spans="1:33" x14ac:dyDescent="0.3">
      <c r="A1147" t="s">
        <v>720</v>
      </c>
      <c r="B1147" t="s">
        <v>4797</v>
      </c>
      <c r="C1147" t="s">
        <v>4798</v>
      </c>
      <c r="D1147" t="s">
        <v>4799</v>
      </c>
      <c r="E1147" t="s">
        <v>16</v>
      </c>
      <c r="F1147" t="s">
        <v>1274</v>
      </c>
      <c r="G1147" s="2">
        <v>0.47916666666666669</v>
      </c>
      <c r="H1147" t="s">
        <v>1200</v>
      </c>
      <c r="I1147" t="s">
        <v>1201</v>
      </c>
      <c r="M1147" t="s">
        <v>1309</v>
      </c>
      <c r="X1147" t="s">
        <v>1100</v>
      </c>
      <c r="Y1147">
        <v>2</v>
      </c>
      <c r="Z1147" t="s">
        <v>1217</v>
      </c>
      <c r="AB1147" t="s">
        <v>546</v>
      </c>
      <c r="AC1147">
        <v>3</v>
      </c>
      <c r="AD1147" t="s">
        <v>1203</v>
      </c>
      <c r="AE1147" t="s">
        <v>525</v>
      </c>
      <c r="AF1147">
        <v>4</v>
      </c>
      <c r="AG1147" t="s">
        <v>1203</v>
      </c>
    </row>
    <row r="1148" spans="1:33" x14ac:dyDescent="0.3">
      <c r="A1148" t="s">
        <v>720</v>
      </c>
      <c r="B1148" t="s">
        <v>4800</v>
      </c>
      <c r="C1148" t="s">
        <v>4801</v>
      </c>
      <c r="D1148" t="s">
        <v>4802</v>
      </c>
      <c r="E1148" t="s">
        <v>16</v>
      </c>
      <c r="F1148" t="s">
        <v>1278</v>
      </c>
      <c r="G1148" s="2">
        <v>0.47222222222222227</v>
      </c>
      <c r="H1148" t="s">
        <v>1200</v>
      </c>
      <c r="I1148" t="s">
        <v>1201</v>
      </c>
      <c r="M1148" t="s">
        <v>4803</v>
      </c>
      <c r="X1148" t="s">
        <v>1100</v>
      </c>
      <c r="Y1148">
        <v>2</v>
      </c>
      <c r="Z1148" t="s">
        <v>4804</v>
      </c>
      <c r="AB1148" t="s">
        <v>525</v>
      </c>
      <c r="AC1148">
        <v>3</v>
      </c>
      <c r="AD1148" t="s">
        <v>1203</v>
      </c>
      <c r="AE1148" t="s">
        <v>546</v>
      </c>
      <c r="AF1148">
        <v>3</v>
      </c>
      <c r="AG1148" t="s">
        <v>1266</v>
      </c>
    </row>
    <row r="1149" spans="1:33" x14ac:dyDescent="0.3">
      <c r="A1149" t="s">
        <v>720</v>
      </c>
      <c r="B1149" t="s">
        <v>4805</v>
      </c>
      <c r="C1149" t="s">
        <v>4806</v>
      </c>
      <c r="D1149" t="s">
        <v>4807</v>
      </c>
      <c r="E1149" t="s">
        <v>16</v>
      </c>
      <c r="F1149" t="s">
        <v>1282</v>
      </c>
      <c r="G1149" s="2">
        <v>0.46527777777777773</v>
      </c>
      <c r="H1149" t="s">
        <v>1200</v>
      </c>
      <c r="I1149" t="s">
        <v>1201</v>
      </c>
      <c r="X1149" t="s">
        <v>546</v>
      </c>
      <c r="Y1149">
        <v>3</v>
      </c>
      <c r="Z1149" t="s">
        <v>1266</v>
      </c>
      <c r="AB1149" t="s">
        <v>525</v>
      </c>
      <c r="AC1149">
        <v>4</v>
      </c>
      <c r="AD1149" t="s">
        <v>1266</v>
      </c>
      <c r="AE1149" t="s">
        <v>1100</v>
      </c>
      <c r="AF1149">
        <v>3</v>
      </c>
      <c r="AG1149" t="s">
        <v>1228</v>
      </c>
    </row>
    <row r="1150" spans="1:33" x14ac:dyDescent="0.3">
      <c r="A1150" t="s">
        <v>720</v>
      </c>
      <c r="B1150" t="s">
        <v>4808</v>
      </c>
      <c r="C1150" t="s">
        <v>4809</v>
      </c>
      <c r="D1150" t="s">
        <v>4810</v>
      </c>
      <c r="E1150" t="s">
        <v>16</v>
      </c>
      <c r="F1150" t="s">
        <v>1287</v>
      </c>
      <c r="G1150" s="2">
        <v>0.45833333333333331</v>
      </c>
      <c r="H1150" t="s">
        <v>1200</v>
      </c>
      <c r="I1150" t="s">
        <v>1201</v>
      </c>
      <c r="L1150" t="s">
        <v>1222</v>
      </c>
      <c r="X1150" t="s">
        <v>546</v>
      </c>
      <c r="Y1150">
        <v>3</v>
      </c>
      <c r="Z1150" t="s">
        <v>1203</v>
      </c>
      <c r="AB1150" t="s">
        <v>1100</v>
      </c>
      <c r="AC1150">
        <v>3</v>
      </c>
      <c r="AD1150" t="s">
        <v>1203</v>
      </c>
    </row>
    <row r="1151" spans="1:33" x14ac:dyDescent="0.3">
      <c r="A1151" t="s">
        <v>720</v>
      </c>
      <c r="B1151" t="s">
        <v>4811</v>
      </c>
      <c r="C1151" t="s">
        <v>4812</v>
      </c>
      <c r="D1151" t="s">
        <v>4813</v>
      </c>
      <c r="E1151" t="s">
        <v>16</v>
      </c>
      <c r="F1151" t="s">
        <v>1291</v>
      </c>
      <c r="G1151" s="2">
        <v>0.4513888888888889</v>
      </c>
      <c r="H1151" t="s">
        <v>1200</v>
      </c>
      <c r="I1151" t="s">
        <v>1201</v>
      </c>
      <c r="L1151" t="s">
        <v>1202</v>
      </c>
      <c r="X1151" t="s">
        <v>546</v>
      </c>
      <c r="Y1151">
        <v>2</v>
      </c>
      <c r="Z1151" t="s">
        <v>1245</v>
      </c>
      <c r="AB1151" t="s">
        <v>1100</v>
      </c>
      <c r="AC1151">
        <v>3</v>
      </c>
      <c r="AD1151" t="s">
        <v>1217</v>
      </c>
      <c r="AE1151" t="s">
        <v>752</v>
      </c>
      <c r="AF1151">
        <v>5</v>
      </c>
      <c r="AG1151" t="s">
        <v>1245</v>
      </c>
    </row>
    <row r="1152" spans="1:33" x14ac:dyDescent="0.3">
      <c r="A1152" t="s">
        <v>720</v>
      </c>
      <c r="B1152" t="s">
        <v>4814</v>
      </c>
      <c r="C1152" t="s">
        <v>4815</v>
      </c>
      <c r="D1152" t="s">
        <v>4816</v>
      </c>
      <c r="E1152" t="s">
        <v>16</v>
      </c>
      <c r="F1152" t="s">
        <v>1296</v>
      </c>
      <c r="G1152" s="2">
        <v>0.44444444444444442</v>
      </c>
      <c r="H1152" t="s">
        <v>1200</v>
      </c>
      <c r="I1152" t="s">
        <v>1201</v>
      </c>
      <c r="L1152" t="s">
        <v>1202</v>
      </c>
      <c r="X1152" t="s">
        <v>498</v>
      </c>
      <c r="Y1152">
        <v>4</v>
      </c>
      <c r="Z1152" t="s">
        <v>1203</v>
      </c>
      <c r="AB1152" t="s">
        <v>525</v>
      </c>
      <c r="AC1152">
        <v>4</v>
      </c>
      <c r="AD1152" t="s">
        <v>1203</v>
      </c>
      <c r="AE1152" t="s">
        <v>1100</v>
      </c>
      <c r="AF1152">
        <v>6</v>
      </c>
      <c r="AG1152" t="s">
        <v>1217</v>
      </c>
    </row>
    <row r="1153" spans="1:33" x14ac:dyDescent="0.3">
      <c r="A1153" t="s">
        <v>720</v>
      </c>
      <c r="B1153" t="s">
        <v>4817</v>
      </c>
      <c r="C1153" t="s">
        <v>4818</v>
      </c>
      <c r="D1153" t="s">
        <v>4819</v>
      </c>
      <c r="E1153" t="s">
        <v>16</v>
      </c>
      <c r="F1153" t="s">
        <v>1300</v>
      </c>
      <c r="G1153" s="2">
        <v>0.4375</v>
      </c>
      <c r="H1153" t="s">
        <v>1200</v>
      </c>
      <c r="I1153" t="s">
        <v>1201</v>
      </c>
      <c r="L1153" t="s">
        <v>1202</v>
      </c>
      <c r="X1153" t="s">
        <v>546</v>
      </c>
      <c r="Y1153">
        <v>3</v>
      </c>
      <c r="Z1153" t="s">
        <v>1203</v>
      </c>
      <c r="AB1153" t="s">
        <v>1100</v>
      </c>
      <c r="AC1153">
        <v>3</v>
      </c>
      <c r="AD1153" t="s">
        <v>1203</v>
      </c>
      <c r="AE1153" t="s">
        <v>525</v>
      </c>
      <c r="AF1153">
        <v>5</v>
      </c>
      <c r="AG1153" t="s">
        <v>1266</v>
      </c>
    </row>
    <row r="1154" spans="1:33" x14ac:dyDescent="0.3">
      <c r="A1154" t="s">
        <v>720</v>
      </c>
      <c r="B1154" t="s">
        <v>4820</v>
      </c>
      <c r="C1154" t="s">
        <v>4821</v>
      </c>
      <c r="D1154" t="s">
        <v>4822</v>
      </c>
      <c r="E1154" t="s">
        <v>16</v>
      </c>
      <c r="F1154" t="s">
        <v>1443</v>
      </c>
      <c r="G1154" s="2">
        <v>0.43055555555555558</v>
      </c>
      <c r="H1154" t="s">
        <v>1200</v>
      </c>
      <c r="I1154" t="s">
        <v>1201</v>
      </c>
      <c r="K1154" t="s">
        <v>1250</v>
      </c>
    </row>
    <row r="1155" spans="1:33" x14ac:dyDescent="0.3">
      <c r="A1155" t="s">
        <v>720</v>
      </c>
      <c r="B1155" t="s">
        <v>4823</v>
      </c>
      <c r="C1155" t="s">
        <v>4824</v>
      </c>
      <c r="D1155" t="s">
        <v>4825</v>
      </c>
      <c r="E1155" t="s">
        <v>16</v>
      </c>
      <c r="F1155" t="s">
        <v>1447</v>
      </c>
      <c r="G1155" s="2">
        <v>0.4236111111111111</v>
      </c>
      <c r="H1155" t="s">
        <v>1200</v>
      </c>
      <c r="I1155" t="s">
        <v>1201</v>
      </c>
      <c r="K1155" t="s">
        <v>1250</v>
      </c>
      <c r="X1155" t="s">
        <v>546</v>
      </c>
      <c r="Y1155">
        <v>3</v>
      </c>
      <c r="Z1155" t="s">
        <v>1266</v>
      </c>
      <c r="AB1155" t="s">
        <v>1100</v>
      </c>
      <c r="AC1155">
        <v>3</v>
      </c>
      <c r="AD1155" t="s">
        <v>1203</v>
      </c>
      <c r="AE1155" t="s">
        <v>498</v>
      </c>
      <c r="AF1155">
        <v>5</v>
      </c>
      <c r="AG1155" t="s">
        <v>1266</v>
      </c>
    </row>
    <row r="1156" spans="1:33" x14ac:dyDescent="0.3">
      <c r="A1156" t="s">
        <v>720</v>
      </c>
      <c r="B1156" t="s">
        <v>4826</v>
      </c>
      <c r="C1156" t="s">
        <v>4827</v>
      </c>
      <c r="D1156" t="s">
        <v>4828</v>
      </c>
      <c r="E1156" t="s">
        <v>16</v>
      </c>
      <c r="F1156" t="s">
        <v>1451</v>
      </c>
      <c r="G1156" s="2">
        <v>0.41666666666666669</v>
      </c>
      <c r="H1156" t="s">
        <v>1200</v>
      </c>
      <c r="I1156" t="s">
        <v>1201</v>
      </c>
      <c r="K1156" t="s">
        <v>1250</v>
      </c>
      <c r="X1156" t="s">
        <v>546</v>
      </c>
      <c r="Y1156">
        <v>2</v>
      </c>
      <c r="Z1156" t="s">
        <v>1266</v>
      </c>
      <c r="AB1156" t="s">
        <v>1100</v>
      </c>
      <c r="AC1156">
        <v>3</v>
      </c>
      <c r="AD1156" t="s">
        <v>1717</v>
      </c>
      <c r="AE1156" t="s">
        <v>525</v>
      </c>
      <c r="AF1156">
        <v>4</v>
      </c>
    </row>
    <row r="1157" spans="1:33" x14ac:dyDescent="0.3">
      <c r="A1157" t="s">
        <v>720</v>
      </c>
      <c r="B1157" t="s">
        <v>4829</v>
      </c>
      <c r="C1157" t="s">
        <v>4830</v>
      </c>
      <c r="D1157" t="s">
        <v>4831</v>
      </c>
      <c r="E1157" t="s">
        <v>16</v>
      </c>
      <c r="F1157" t="s">
        <v>1455</v>
      </c>
      <c r="G1157" s="2">
        <v>0.40972222222222227</v>
      </c>
      <c r="H1157" t="s">
        <v>1200</v>
      </c>
      <c r="I1157" t="s">
        <v>1201</v>
      </c>
      <c r="K1157" t="s">
        <v>1250</v>
      </c>
      <c r="X1157" t="s">
        <v>525</v>
      </c>
      <c r="Y1157">
        <v>3</v>
      </c>
      <c r="Z1157" t="s">
        <v>1266</v>
      </c>
      <c r="AB1157" t="s">
        <v>1100</v>
      </c>
      <c r="AC1157">
        <v>2</v>
      </c>
      <c r="AD1157" t="s">
        <v>1203</v>
      </c>
      <c r="AE1157" t="s">
        <v>546</v>
      </c>
      <c r="AF1157">
        <v>3</v>
      </c>
      <c r="AG1157" t="s">
        <v>1266</v>
      </c>
    </row>
    <row r="1158" spans="1:33" x14ac:dyDescent="0.3">
      <c r="A1158" t="s">
        <v>720</v>
      </c>
      <c r="B1158" t="s">
        <v>4832</v>
      </c>
      <c r="C1158" t="s">
        <v>4833</v>
      </c>
      <c r="D1158" t="s">
        <v>4834</v>
      </c>
      <c r="E1158" t="s">
        <v>16</v>
      </c>
      <c r="F1158" t="s">
        <v>1459</v>
      </c>
      <c r="G1158" s="2">
        <v>0.40277777777777773</v>
      </c>
      <c r="H1158" t="s">
        <v>1200</v>
      </c>
      <c r="I1158" t="s">
        <v>1201</v>
      </c>
      <c r="K1158" t="s">
        <v>1250</v>
      </c>
      <c r="X1158" t="s">
        <v>525</v>
      </c>
      <c r="Y1158">
        <v>2</v>
      </c>
      <c r="Z1158" t="s">
        <v>1266</v>
      </c>
      <c r="AB1158" t="s">
        <v>546</v>
      </c>
      <c r="AC1158">
        <v>4</v>
      </c>
      <c r="AD1158" t="s">
        <v>1266</v>
      </c>
      <c r="AE1158" t="s">
        <v>1100</v>
      </c>
      <c r="AF1158">
        <v>4</v>
      </c>
      <c r="AG1158" t="s">
        <v>1266</v>
      </c>
    </row>
    <row r="1159" spans="1:33" x14ac:dyDescent="0.3">
      <c r="A1159" t="s">
        <v>720</v>
      </c>
      <c r="B1159" t="s">
        <v>4835</v>
      </c>
      <c r="C1159" t="s">
        <v>4836</v>
      </c>
      <c r="D1159" t="s">
        <v>4837</v>
      </c>
      <c r="E1159" t="s">
        <v>16</v>
      </c>
      <c r="F1159" t="s">
        <v>1463</v>
      </c>
      <c r="G1159" s="2">
        <v>0.39583333333333331</v>
      </c>
      <c r="H1159" t="s">
        <v>1200</v>
      </c>
      <c r="I1159" t="s">
        <v>1201</v>
      </c>
      <c r="K1159" t="s">
        <v>1250</v>
      </c>
      <c r="X1159" t="s">
        <v>525</v>
      </c>
      <c r="Y1159">
        <v>2</v>
      </c>
      <c r="Z1159" t="s">
        <v>1266</v>
      </c>
      <c r="AB1159" t="s">
        <v>546</v>
      </c>
      <c r="AC1159">
        <v>4</v>
      </c>
      <c r="AD1159" t="s">
        <v>1266</v>
      </c>
      <c r="AE1159" t="s">
        <v>1100</v>
      </c>
      <c r="AF1159">
        <v>5</v>
      </c>
      <c r="AG1159" t="s">
        <v>1717</v>
      </c>
    </row>
    <row r="1160" spans="1:33" x14ac:dyDescent="0.3">
      <c r="A1160" t="s">
        <v>720</v>
      </c>
      <c r="B1160" t="s">
        <v>4838</v>
      </c>
      <c r="C1160" t="s">
        <v>4839</v>
      </c>
      <c r="D1160" t="s">
        <v>4840</v>
      </c>
      <c r="E1160" t="s">
        <v>16</v>
      </c>
      <c r="F1160" t="s">
        <v>1469</v>
      </c>
      <c r="G1160" s="2">
        <v>0.3888888888888889</v>
      </c>
      <c r="H1160" t="s">
        <v>1200</v>
      </c>
      <c r="I1160" t="s">
        <v>1201</v>
      </c>
      <c r="K1160" t="s">
        <v>1250</v>
      </c>
      <c r="X1160" t="s">
        <v>525</v>
      </c>
      <c r="Y1160">
        <v>4</v>
      </c>
      <c r="Z1160" t="s">
        <v>1717</v>
      </c>
      <c r="AB1160" t="s">
        <v>498</v>
      </c>
      <c r="AC1160">
        <v>7</v>
      </c>
      <c r="AD1160" t="s">
        <v>1245</v>
      </c>
    </row>
    <row r="1161" spans="1:33" x14ac:dyDescent="0.3">
      <c r="A1161" t="s">
        <v>720</v>
      </c>
      <c r="B1161" t="s">
        <v>4841</v>
      </c>
      <c r="C1161" t="s">
        <v>4842</v>
      </c>
      <c r="D1161" t="s">
        <v>4843</v>
      </c>
      <c r="E1161" t="s">
        <v>16</v>
      </c>
      <c r="F1161" t="s">
        <v>1473</v>
      </c>
      <c r="G1161" s="2">
        <v>0.38194444444444442</v>
      </c>
      <c r="H1161" t="s">
        <v>1200</v>
      </c>
      <c r="I1161" t="s">
        <v>1201</v>
      </c>
      <c r="K1161" t="s">
        <v>1250</v>
      </c>
      <c r="X1161" t="s">
        <v>525</v>
      </c>
      <c r="Y1161">
        <v>4</v>
      </c>
      <c r="Z1161" t="s">
        <v>1266</v>
      </c>
      <c r="AB1161" t="s">
        <v>498</v>
      </c>
      <c r="AC1161">
        <v>5</v>
      </c>
    </row>
    <row r="1162" spans="1:33" x14ac:dyDescent="0.3">
      <c r="A1162" t="s">
        <v>720</v>
      </c>
      <c r="B1162" t="s">
        <v>4844</v>
      </c>
      <c r="C1162" t="s">
        <v>4845</v>
      </c>
      <c r="D1162" t="s">
        <v>4846</v>
      </c>
      <c r="E1162" t="s">
        <v>16</v>
      </c>
      <c r="F1162" t="s">
        <v>1477</v>
      </c>
      <c r="G1162" s="2">
        <v>0.375</v>
      </c>
      <c r="H1162" t="s">
        <v>1200</v>
      </c>
      <c r="I1162" t="s">
        <v>1201</v>
      </c>
      <c r="L1162" t="s">
        <v>1222</v>
      </c>
      <c r="X1162" t="s">
        <v>525</v>
      </c>
      <c r="Y1162">
        <v>4</v>
      </c>
      <c r="Z1162" t="s">
        <v>1245</v>
      </c>
      <c r="AB1162" t="s">
        <v>546</v>
      </c>
      <c r="AC1162">
        <v>6</v>
      </c>
      <c r="AD1162" t="s">
        <v>1266</v>
      </c>
      <c r="AE1162" t="s">
        <v>1100</v>
      </c>
      <c r="AF1162">
        <v>5</v>
      </c>
      <c r="AG1162" t="s">
        <v>1266</v>
      </c>
    </row>
    <row r="1163" spans="1:33" x14ac:dyDescent="0.3">
      <c r="A1163" t="s">
        <v>724</v>
      </c>
      <c r="B1163" t="s">
        <v>4847</v>
      </c>
      <c r="C1163" t="s">
        <v>4848</v>
      </c>
      <c r="D1163" t="s">
        <v>4849</v>
      </c>
      <c r="E1163" t="s">
        <v>16</v>
      </c>
      <c r="F1163" t="s">
        <v>1486</v>
      </c>
      <c r="G1163" s="2">
        <v>0.3611111111111111</v>
      </c>
      <c r="H1163" t="s">
        <v>1200</v>
      </c>
      <c r="I1163" t="s">
        <v>1201</v>
      </c>
      <c r="M1163" t="s">
        <v>1292</v>
      </c>
      <c r="X1163" t="s">
        <v>546</v>
      </c>
      <c r="Y1163">
        <v>3</v>
      </c>
      <c r="Z1163" t="s">
        <v>1245</v>
      </c>
      <c r="AB1163" t="s">
        <v>1100</v>
      </c>
      <c r="AC1163">
        <v>4</v>
      </c>
      <c r="AD1163" t="s">
        <v>1245</v>
      </c>
      <c r="AE1163" t="s">
        <v>1100</v>
      </c>
      <c r="AF1163">
        <v>5</v>
      </c>
      <c r="AG1163" t="s">
        <v>1245</v>
      </c>
    </row>
    <row r="1164" spans="1:33" x14ac:dyDescent="0.3">
      <c r="A1164" t="s">
        <v>724</v>
      </c>
      <c r="B1164" t="s">
        <v>4850</v>
      </c>
      <c r="C1164" t="s">
        <v>4851</v>
      </c>
      <c r="D1164" t="s">
        <v>4852</v>
      </c>
      <c r="E1164" t="s">
        <v>16</v>
      </c>
      <c r="F1164" t="s">
        <v>1490</v>
      </c>
      <c r="G1164" s="2">
        <v>0.35416666666666669</v>
      </c>
      <c r="H1164" t="s">
        <v>1200</v>
      </c>
      <c r="I1164" t="s">
        <v>1201</v>
      </c>
      <c r="M1164" t="s">
        <v>1292</v>
      </c>
      <c r="X1164" t="s">
        <v>546</v>
      </c>
      <c r="Y1164">
        <v>2</v>
      </c>
      <c r="Z1164" t="s">
        <v>1245</v>
      </c>
      <c r="AB1164" t="s">
        <v>1100</v>
      </c>
      <c r="AC1164">
        <v>5</v>
      </c>
      <c r="AD1164" t="s">
        <v>1245</v>
      </c>
      <c r="AE1164" t="s">
        <v>1100</v>
      </c>
      <c r="AF1164">
        <v>6</v>
      </c>
      <c r="AG1164" t="s">
        <v>1245</v>
      </c>
    </row>
    <row r="1165" spans="1:33" x14ac:dyDescent="0.3">
      <c r="A1165" t="s">
        <v>724</v>
      </c>
      <c r="B1165" t="s">
        <v>4853</v>
      </c>
      <c r="C1165" t="s">
        <v>4854</v>
      </c>
      <c r="D1165" t="s">
        <v>4855</v>
      </c>
      <c r="E1165" t="s">
        <v>16</v>
      </c>
      <c r="F1165" t="s">
        <v>1495</v>
      </c>
      <c r="G1165" s="2">
        <v>0.34722222222222227</v>
      </c>
      <c r="H1165" t="s">
        <v>1200</v>
      </c>
      <c r="I1165" t="s">
        <v>1201</v>
      </c>
      <c r="X1165" t="s">
        <v>546</v>
      </c>
      <c r="Y1165">
        <v>3</v>
      </c>
      <c r="Z1165" t="s">
        <v>1245</v>
      </c>
      <c r="AB1165" t="s">
        <v>1100</v>
      </c>
      <c r="AC1165">
        <v>4</v>
      </c>
      <c r="AD1165" t="s">
        <v>1245</v>
      </c>
      <c r="AE1165" t="s">
        <v>1100</v>
      </c>
      <c r="AF1165">
        <v>5</v>
      </c>
      <c r="AG1165" t="s">
        <v>1245</v>
      </c>
    </row>
    <row r="1166" spans="1:33" x14ac:dyDescent="0.3">
      <c r="A1166" t="s">
        <v>724</v>
      </c>
      <c r="B1166" t="s">
        <v>4856</v>
      </c>
      <c r="C1166" t="s">
        <v>4857</v>
      </c>
      <c r="D1166" t="s">
        <v>4858</v>
      </c>
      <c r="E1166" t="s">
        <v>16</v>
      </c>
      <c r="F1166" t="s">
        <v>1500</v>
      </c>
      <c r="G1166" s="2">
        <v>0.34027777777777773</v>
      </c>
      <c r="H1166" t="s">
        <v>1200</v>
      </c>
      <c r="I1166" t="s">
        <v>1201</v>
      </c>
      <c r="M1166" t="s">
        <v>1292</v>
      </c>
      <c r="X1166" t="s">
        <v>546</v>
      </c>
      <c r="Y1166">
        <v>2</v>
      </c>
      <c r="Z1166" t="s">
        <v>1245</v>
      </c>
      <c r="AB1166" t="s">
        <v>1100</v>
      </c>
      <c r="AC1166">
        <v>4</v>
      </c>
      <c r="AD1166" t="s">
        <v>1245</v>
      </c>
      <c r="AE1166" t="s">
        <v>1100</v>
      </c>
      <c r="AF1166">
        <v>3</v>
      </c>
      <c r="AG1166" t="s">
        <v>1245</v>
      </c>
    </row>
    <row r="1167" spans="1:33" x14ac:dyDescent="0.3">
      <c r="A1167" t="s">
        <v>724</v>
      </c>
      <c r="B1167" t="s">
        <v>4859</v>
      </c>
      <c r="C1167" t="s">
        <v>4860</v>
      </c>
      <c r="D1167" t="s">
        <v>4861</v>
      </c>
      <c r="E1167" t="s">
        <v>16</v>
      </c>
      <c r="F1167" t="s">
        <v>3030</v>
      </c>
      <c r="G1167" s="2">
        <v>0.33333333333333331</v>
      </c>
      <c r="H1167" t="s">
        <v>1200</v>
      </c>
      <c r="I1167" t="s">
        <v>1201</v>
      </c>
      <c r="M1167" t="s">
        <v>1292</v>
      </c>
      <c r="X1167" t="s">
        <v>1100</v>
      </c>
      <c r="Y1167">
        <v>2</v>
      </c>
      <c r="Z1167" t="s">
        <v>1245</v>
      </c>
      <c r="AB1167" t="s">
        <v>1100</v>
      </c>
      <c r="AC1167">
        <v>3</v>
      </c>
      <c r="AD1167" t="s">
        <v>1266</v>
      </c>
      <c r="AE1167" t="s">
        <v>1100</v>
      </c>
      <c r="AF1167">
        <v>3</v>
      </c>
      <c r="AG1167" t="s">
        <v>1266</v>
      </c>
    </row>
    <row r="1168" spans="1:33" x14ac:dyDescent="0.3">
      <c r="A1168" t="s">
        <v>732</v>
      </c>
      <c r="B1168" t="s">
        <v>4862</v>
      </c>
      <c r="C1168" t="s">
        <v>4863</v>
      </c>
      <c r="D1168" t="s">
        <v>4864</v>
      </c>
      <c r="E1168" t="s">
        <v>16</v>
      </c>
      <c r="F1168" t="s">
        <v>4865</v>
      </c>
      <c r="G1168" s="2">
        <v>0.76388888888888884</v>
      </c>
      <c r="H1168" t="s">
        <v>1200</v>
      </c>
      <c r="I1168" t="s">
        <v>1201</v>
      </c>
      <c r="M1168" t="s">
        <v>1292</v>
      </c>
      <c r="X1168" t="s">
        <v>1100</v>
      </c>
      <c r="Y1168">
        <v>2</v>
      </c>
      <c r="Z1168" t="s">
        <v>1245</v>
      </c>
    </row>
    <row r="1169" spans="1:33" x14ac:dyDescent="0.3">
      <c r="A1169" t="s">
        <v>732</v>
      </c>
      <c r="B1169" t="s">
        <v>4866</v>
      </c>
      <c r="C1169" t="s">
        <v>4867</v>
      </c>
      <c r="D1169" t="s">
        <v>4868</v>
      </c>
      <c r="E1169" t="s">
        <v>16</v>
      </c>
      <c r="F1169" t="s">
        <v>4869</v>
      </c>
      <c r="G1169" s="2">
        <v>0.75694444444444453</v>
      </c>
      <c r="H1169" t="s">
        <v>1200</v>
      </c>
      <c r="I1169" t="s">
        <v>1201</v>
      </c>
      <c r="M1169" t="s">
        <v>1292</v>
      </c>
      <c r="X1169" t="s">
        <v>1100</v>
      </c>
      <c r="Y1169">
        <v>2</v>
      </c>
      <c r="Z1169" t="s">
        <v>1245</v>
      </c>
    </row>
    <row r="1170" spans="1:33" x14ac:dyDescent="0.3">
      <c r="A1170" t="s">
        <v>732</v>
      </c>
      <c r="B1170" t="s">
        <v>4870</v>
      </c>
      <c r="C1170" t="s">
        <v>4871</v>
      </c>
      <c r="D1170" t="s">
        <v>4872</v>
      </c>
      <c r="E1170" t="s">
        <v>16</v>
      </c>
      <c r="F1170" t="s">
        <v>4873</v>
      </c>
      <c r="G1170" s="2">
        <v>0.75</v>
      </c>
      <c r="H1170" t="s">
        <v>1200</v>
      </c>
      <c r="I1170" t="s">
        <v>1201</v>
      </c>
      <c r="M1170" t="s">
        <v>1292</v>
      </c>
      <c r="X1170" t="s">
        <v>1100</v>
      </c>
      <c r="Y1170">
        <v>2</v>
      </c>
      <c r="Z1170" t="s">
        <v>1245</v>
      </c>
    </row>
    <row r="1171" spans="1:33" x14ac:dyDescent="0.3">
      <c r="A1171" t="s">
        <v>732</v>
      </c>
      <c r="B1171" t="s">
        <v>4874</v>
      </c>
      <c r="C1171" t="s">
        <v>4875</v>
      </c>
      <c r="D1171" t="s">
        <v>4876</v>
      </c>
      <c r="E1171" t="s">
        <v>16</v>
      </c>
      <c r="F1171" t="s">
        <v>3793</v>
      </c>
      <c r="G1171" s="2">
        <v>0.74305555555555547</v>
      </c>
      <c r="H1171" t="s">
        <v>1200</v>
      </c>
      <c r="I1171" t="s">
        <v>1201</v>
      </c>
      <c r="M1171" t="s">
        <v>1292</v>
      </c>
      <c r="X1171" t="s">
        <v>1100</v>
      </c>
      <c r="Y1171">
        <v>2</v>
      </c>
      <c r="Z1171" t="s">
        <v>1245</v>
      </c>
    </row>
    <row r="1172" spans="1:33" x14ac:dyDescent="0.3">
      <c r="A1172" t="s">
        <v>732</v>
      </c>
      <c r="B1172" t="s">
        <v>4877</v>
      </c>
      <c r="C1172" t="s">
        <v>4878</v>
      </c>
      <c r="D1172" t="s">
        <v>4879</v>
      </c>
      <c r="E1172" t="s">
        <v>16</v>
      </c>
      <c r="F1172" t="s">
        <v>3169</v>
      </c>
      <c r="G1172" s="2">
        <v>0.73611111111111116</v>
      </c>
      <c r="H1172" t="s">
        <v>1200</v>
      </c>
      <c r="I1172" t="s">
        <v>1201</v>
      </c>
      <c r="M1172" t="s">
        <v>1292</v>
      </c>
      <c r="X1172" t="s">
        <v>1100</v>
      </c>
      <c r="Y1172">
        <v>3</v>
      </c>
      <c r="Z1172" t="s">
        <v>1245</v>
      </c>
    </row>
    <row r="1173" spans="1:33" x14ac:dyDescent="0.3">
      <c r="A1173" t="s">
        <v>732</v>
      </c>
      <c r="B1173" t="s">
        <v>4880</v>
      </c>
      <c r="C1173" t="s">
        <v>4881</v>
      </c>
      <c r="D1173" t="s">
        <v>4882</v>
      </c>
      <c r="E1173" t="s">
        <v>16</v>
      </c>
      <c r="F1173" t="s">
        <v>1506</v>
      </c>
      <c r="G1173" s="2">
        <v>0.72916666666666663</v>
      </c>
      <c r="H1173" t="s">
        <v>1200</v>
      </c>
      <c r="I1173" t="s">
        <v>1201</v>
      </c>
      <c r="M1173" t="s">
        <v>1292</v>
      </c>
      <c r="X1173" t="s">
        <v>1100</v>
      </c>
      <c r="Y1173">
        <v>1</v>
      </c>
      <c r="Z1173" t="s">
        <v>1245</v>
      </c>
    </row>
    <row r="1174" spans="1:33" x14ac:dyDescent="0.3">
      <c r="A1174" t="s">
        <v>732</v>
      </c>
      <c r="B1174" t="s">
        <v>4883</v>
      </c>
      <c r="C1174" t="s">
        <v>4884</v>
      </c>
      <c r="D1174" t="s">
        <v>4885</v>
      </c>
      <c r="E1174" t="s">
        <v>16</v>
      </c>
      <c r="F1174" t="s">
        <v>1510</v>
      </c>
      <c r="G1174" s="2">
        <v>0.72222222222222221</v>
      </c>
      <c r="H1174" t="s">
        <v>1200</v>
      </c>
      <c r="I1174" t="s">
        <v>1201</v>
      </c>
      <c r="M1174" t="s">
        <v>1292</v>
      </c>
      <c r="X1174" t="s">
        <v>1100</v>
      </c>
      <c r="Y1174">
        <v>1</v>
      </c>
      <c r="Z1174" t="s">
        <v>1245</v>
      </c>
    </row>
    <row r="1175" spans="1:33" x14ac:dyDescent="0.3">
      <c r="A1175" t="s">
        <v>732</v>
      </c>
      <c r="B1175" t="s">
        <v>4886</v>
      </c>
      <c r="C1175" t="s">
        <v>4887</v>
      </c>
      <c r="D1175" t="s">
        <v>4888</v>
      </c>
      <c r="E1175" t="s">
        <v>16</v>
      </c>
      <c r="F1175" t="s">
        <v>1514</v>
      </c>
      <c r="G1175" s="2">
        <v>0.71527777777777779</v>
      </c>
      <c r="H1175" t="s">
        <v>1200</v>
      </c>
      <c r="I1175" t="s">
        <v>1201</v>
      </c>
      <c r="M1175" t="s">
        <v>1292</v>
      </c>
      <c r="X1175" t="s">
        <v>1100</v>
      </c>
      <c r="Y1175">
        <v>2</v>
      </c>
      <c r="Z1175" t="s">
        <v>1245</v>
      </c>
      <c r="AB1175" t="s">
        <v>546</v>
      </c>
      <c r="AC1175">
        <v>3</v>
      </c>
      <c r="AD1175" t="s">
        <v>1217</v>
      </c>
      <c r="AE1175" t="s">
        <v>1100</v>
      </c>
      <c r="AF1175">
        <v>3</v>
      </c>
      <c r="AG1175" t="s">
        <v>1245</v>
      </c>
    </row>
    <row r="1176" spans="1:33" x14ac:dyDescent="0.3">
      <c r="A1176" t="s">
        <v>732</v>
      </c>
      <c r="B1176" t="s">
        <v>4889</v>
      </c>
      <c r="C1176" t="s">
        <v>4890</v>
      </c>
      <c r="D1176" t="s">
        <v>4891</v>
      </c>
      <c r="E1176" t="s">
        <v>16</v>
      </c>
      <c r="F1176" t="s">
        <v>1304</v>
      </c>
      <c r="G1176" s="2">
        <v>0.70833333333333337</v>
      </c>
      <c r="H1176" t="s">
        <v>1200</v>
      </c>
      <c r="I1176" t="s">
        <v>1201</v>
      </c>
      <c r="K1176" t="s">
        <v>1250</v>
      </c>
      <c r="X1176" t="s">
        <v>1100</v>
      </c>
      <c r="Y1176">
        <v>2</v>
      </c>
      <c r="Z1176" t="s">
        <v>1266</v>
      </c>
      <c r="AB1176" t="s">
        <v>546</v>
      </c>
      <c r="AC1176">
        <v>5</v>
      </c>
      <c r="AD1176" t="s">
        <v>1266</v>
      </c>
      <c r="AE1176" t="s">
        <v>1100</v>
      </c>
      <c r="AF1176">
        <v>6</v>
      </c>
      <c r="AG1176" t="s">
        <v>1266</v>
      </c>
    </row>
    <row r="1177" spans="1:33" x14ac:dyDescent="0.3">
      <c r="A1177" t="s">
        <v>732</v>
      </c>
      <c r="B1177" t="s">
        <v>4892</v>
      </c>
      <c r="C1177" t="s">
        <v>4893</v>
      </c>
      <c r="D1177" t="s">
        <v>4894</v>
      </c>
      <c r="E1177" t="s">
        <v>16</v>
      </c>
      <c r="F1177" t="s">
        <v>1308</v>
      </c>
      <c r="G1177" s="2">
        <v>0.70138888888888884</v>
      </c>
      <c r="H1177" t="s">
        <v>1200</v>
      </c>
      <c r="I1177" t="s">
        <v>1201</v>
      </c>
      <c r="K1177" t="s">
        <v>1250</v>
      </c>
      <c r="X1177" t="s">
        <v>1100</v>
      </c>
      <c r="Y1177">
        <v>2</v>
      </c>
      <c r="Z1177" t="s">
        <v>1266</v>
      </c>
      <c r="AB1177" t="s">
        <v>546</v>
      </c>
      <c r="AC1177">
        <v>3</v>
      </c>
      <c r="AD1177" t="s">
        <v>1217</v>
      </c>
      <c r="AE1177" t="s">
        <v>1100</v>
      </c>
      <c r="AF1177">
        <v>3</v>
      </c>
      <c r="AG1177" t="s">
        <v>1217</v>
      </c>
    </row>
    <row r="1178" spans="1:33" x14ac:dyDescent="0.3">
      <c r="A1178" t="s">
        <v>732</v>
      </c>
      <c r="B1178" t="s">
        <v>4895</v>
      </c>
      <c r="C1178" t="s">
        <v>4896</v>
      </c>
      <c r="D1178" t="s">
        <v>4897</v>
      </c>
      <c r="E1178" t="s">
        <v>16</v>
      </c>
      <c r="F1178" t="s">
        <v>3190</v>
      </c>
      <c r="G1178" s="2">
        <v>0.69444444444444453</v>
      </c>
      <c r="H1178" t="s">
        <v>1200</v>
      </c>
      <c r="I1178" t="s">
        <v>3191</v>
      </c>
      <c r="M1178" t="s">
        <v>1216</v>
      </c>
      <c r="X1178" t="s">
        <v>1100</v>
      </c>
      <c r="Y1178">
        <v>1</v>
      </c>
      <c r="Z1178" t="s">
        <v>1217</v>
      </c>
      <c r="AB1178" t="s">
        <v>546</v>
      </c>
      <c r="AC1178">
        <v>3</v>
      </c>
      <c r="AD1178" t="s">
        <v>1217</v>
      </c>
      <c r="AE1178" t="s">
        <v>1100</v>
      </c>
      <c r="AF1178">
        <v>3</v>
      </c>
      <c r="AG1178" t="s">
        <v>1217</v>
      </c>
    </row>
    <row r="1179" spans="1:33" x14ac:dyDescent="0.3">
      <c r="A1179" t="s">
        <v>732</v>
      </c>
      <c r="B1179" t="s">
        <v>4898</v>
      </c>
      <c r="C1179" t="s">
        <v>4899</v>
      </c>
      <c r="D1179" t="s">
        <v>4900</v>
      </c>
      <c r="E1179" t="s">
        <v>16</v>
      </c>
      <c r="F1179" t="s">
        <v>4901</v>
      </c>
      <c r="G1179" s="2">
        <v>0.6875</v>
      </c>
      <c r="H1179" t="s">
        <v>1200</v>
      </c>
      <c r="I1179" t="s">
        <v>3191</v>
      </c>
      <c r="K1179" t="s">
        <v>1250</v>
      </c>
      <c r="X1179" t="s">
        <v>1100</v>
      </c>
      <c r="Y1179">
        <v>2</v>
      </c>
      <c r="Z1179" t="s">
        <v>1266</v>
      </c>
      <c r="AB1179" t="s">
        <v>546</v>
      </c>
      <c r="AC1179">
        <v>4</v>
      </c>
      <c r="AD1179" t="s">
        <v>1266</v>
      </c>
      <c r="AE1179" t="s">
        <v>1100</v>
      </c>
      <c r="AF1179">
        <v>5</v>
      </c>
      <c r="AG1179" t="s">
        <v>1266</v>
      </c>
    </row>
    <row r="1180" spans="1:33" x14ac:dyDescent="0.3">
      <c r="A1180" t="s">
        <v>732</v>
      </c>
      <c r="B1180" t="s">
        <v>4902</v>
      </c>
      <c r="C1180" t="s">
        <v>4903</v>
      </c>
      <c r="D1180" t="s">
        <v>4904</v>
      </c>
      <c r="E1180" t="s">
        <v>16</v>
      </c>
      <c r="F1180" t="s">
        <v>1321</v>
      </c>
      <c r="G1180" s="2">
        <v>0.68055555555555547</v>
      </c>
      <c r="H1180" t="s">
        <v>1200</v>
      </c>
      <c r="I1180" t="s">
        <v>1201</v>
      </c>
      <c r="K1180" t="s">
        <v>1250</v>
      </c>
      <c r="X1180" t="s">
        <v>1100</v>
      </c>
      <c r="Y1180">
        <v>2</v>
      </c>
      <c r="Z1180" t="s">
        <v>1266</v>
      </c>
      <c r="AB1180" t="s">
        <v>546</v>
      </c>
      <c r="AC1180">
        <v>4</v>
      </c>
      <c r="AD1180" t="s">
        <v>1266</v>
      </c>
      <c r="AE1180" t="s">
        <v>1100</v>
      </c>
      <c r="AF1180">
        <v>5</v>
      </c>
      <c r="AG1180" t="s">
        <v>1266</v>
      </c>
    </row>
    <row r="1181" spans="1:33" x14ac:dyDescent="0.3">
      <c r="A1181" t="s">
        <v>732</v>
      </c>
      <c r="B1181" t="s">
        <v>4905</v>
      </c>
      <c r="C1181" t="s">
        <v>4906</v>
      </c>
      <c r="D1181" t="s">
        <v>4907</v>
      </c>
      <c r="E1181" t="s">
        <v>16</v>
      </c>
      <c r="F1181" t="s">
        <v>1325</v>
      </c>
      <c r="G1181" s="2">
        <v>0.67361111111111116</v>
      </c>
      <c r="H1181" t="s">
        <v>1200</v>
      </c>
      <c r="I1181" t="s">
        <v>1201</v>
      </c>
      <c r="K1181" t="s">
        <v>1250</v>
      </c>
      <c r="X1181" t="s">
        <v>1100</v>
      </c>
      <c r="Y1181">
        <v>2</v>
      </c>
      <c r="Z1181" t="s">
        <v>1266</v>
      </c>
      <c r="AB1181" t="s">
        <v>546</v>
      </c>
      <c r="AC1181">
        <v>4</v>
      </c>
      <c r="AD1181" t="s">
        <v>1266</v>
      </c>
      <c r="AE1181" t="s">
        <v>1100</v>
      </c>
      <c r="AF1181">
        <v>4</v>
      </c>
      <c r="AG1181" t="s">
        <v>1266</v>
      </c>
    </row>
    <row r="1182" spans="1:33" x14ac:dyDescent="0.3">
      <c r="A1182" t="s">
        <v>732</v>
      </c>
      <c r="B1182" t="s">
        <v>4908</v>
      </c>
      <c r="C1182" t="s">
        <v>4909</v>
      </c>
      <c r="D1182" t="s">
        <v>4910</v>
      </c>
      <c r="E1182" t="s">
        <v>16</v>
      </c>
      <c r="F1182" t="s">
        <v>1329</v>
      </c>
      <c r="G1182" s="2">
        <v>0.66666666666666663</v>
      </c>
      <c r="H1182" t="s">
        <v>1200</v>
      </c>
      <c r="I1182" t="s">
        <v>1201</v>
      </c>
      <c r="K1182" t="s">
        <v>1250</v>
      </c>
      <c r="X1182" t="s">
        <v>1100</v>
      </c>
      <c r="Y1182">
        <v>2</v>
      </c>
      <c r="Z1182" t="s">
        <v>1266</v>
      </c>
      <c r="AB1182" t="s">
        <v>498</v>
      </c>
      <c r="AC1182">
        <v>4</v>
      </c>
      <c r="AD1182" t="s">
        <v>1266</v>
      </c>
      <c r="AE1182" t="s">
        <v>546</v>
      </c>
      <c r="AF1182">
        <v>7</v>
      </c>
      <c r="AG1182" t="s">
        <v>1266</v>
      </c>
    </row>
    <row r="1183" spans="1:33" x14ac:dyDescent="0.3">
      <c r="A1183" t="s">
        <v>732</v>
      </c>
      <c r="B1183" t="s">
        <v>4911</v>
      </c>
      <c r="C1183" t="s">
        <v>4912</v>
      </c>
      <c r="D1183" t="s">
        <v>4913</v>
      </c>
      <c r="E1183" t="s">
        <v>16</v>
      </c>
      <c r="F1183" t="s">
        <v>1333</v>
      </c>
      <c r="G1183" s="2">
        <v>0.65972222222222221</v>
      </c>
      <c r="H1183" t="s">
        <v>1200</v>
      </c>
      <c r="I1183" t="s">
        <v>1201</v>
      </c>
      <c r="K1183" t="s">
        <v>1250</v>
      </c>
      <c r="X1183" t="s">
        <v>1100</v>
      </c>
      <c r="Y1183">
        <v>4</v>
      </c>
      <c r="Z1183" t="s">
        <v>1266</v>
      </c>
    </row>
    <row r="1184" spans="1:33" x14ac:dyDescent="0.3">
      <c r="A1184" t="s">
        <v>732</v>
      </c>
      <c r="B1184" t="s">
        <v>4914</v>
      </c>
      <c r="C1184" t="s">
        <v>4915</v>
      </c>
      <c r="D1184" t="s">
        <v>4916</v>
      </c>
      <c r="E1184" t="s">
        <v>16</v>
      </c>
      <c r="F1184" t="s">
        <v>1338</v>
      </c>
      <c r="G1184" s="2">
        <v>0.65277777777777779</v>
      </c>
      <c r="H1184" t="s">
        <v>1200</v>
      </c>
      <c r="I1184" t="s">
        <v>1201</v>
      </c>
      <c r="M1184" t="s">
        <v>1464</v>
      </c>
      <c r="X1184" t="s">
        <v>1100</v>
      </c>
      <c r="Y1184">
        <v>3</v>
      </c>
      <c r="Z1184" t="s">
        <v>1245</v>
      </c>
    </row>
    <row r="1185" spans="1:26" x14ac:dyDescent="0.3">
      <c r="A1185" t="s">
        <v>732</v>
      </c>
      <c r="B1185" t="s">
        <v>4917</v>
      </c>
      <c r="C1185" t="s">
        <v>4918</v>
      </c>
      <c r="D1185" t="s">
        <v>4919</v>
      </c>
      <c r="E1185" t="s">
        <v>16</v>
      </c>
      <c r="F1185" t="s">
        <v>1342</v>
      </c>
      <c r="G1185" s="2">
        <v>0.64583333333333337</v>
      </c>
      <c r="H1185" t="s">
        <v>1200</v>
      </c>
      <c r="I1185" t="s">
        <v>1201</v>
      </c>
      <c r="K1185" t="s">
        <v>1250</v>
      </c>
      <c r="X1185" t="s">
        <v>1100</v>
      </c>
      <c r="Y1185">
        <v>3</v>
      </c>
      <c r="Z1185" t="s">
        <v>1266</v>
      </c>
    </row>
    <row r="1186" spans="1:26" x14ac:dyDescent="0.3">
      <c r="A1186" t="s">
        <v>732</v>
      </c>
      <c r="B1186" t="s">
        <v>4920</v>
      </c>
      <c r="C1186" t="s">
        <v>4921</v>
      </c>
      <c r="D1186" t="s">
        <v>4922</v>
      </c>
      <c r="E1186" t="s">
        <v>16</v>
      </c>
      <c r="F1186" t="s">
        <v>1346</v>
      </c>
      <c r="G1186" s="2">
        <v>0.63888888888888895</v>
      </c>
      <c r="H1186" t="s">
        <v>1200</v>
      </c>
      <c r="I1186" t="s">
        <v>1201</v>
      </c>
      <c r="L1186" t="s">
        <v>1222</v>
      </c>
      <c r="S1186" t="s">
        <v>1224</v>
      </c>
      <c r="T1186" t="s">
        <v>1676</v>
      </c>
      <c r="V1186" t="s">
        <v>1226</v>
      </c>
      <c r="W1186" t="s">
        <v>2149</v>
      </c>
      <c r="X1186" t="s">
        <v>1100</v>
      </c>
      <c r="Y1186">
        <v>2</v>
      </c>
      <c r="Z1186" t="s">
        <v>1228</v>
      </c>
    </row>
    <row r="1187" spans="1:26" x14ac:dyDescent="0.3">
      <c r="A1187" t="s">
        <v>732</v>
      </c>
      <c r="B1187" t="s">
        <v>4923</v>
      </c>
      <c r="C1187" t="s">
        <v>4924</v>
      </c>
      <c r="D1187" t="s">
        <v>4925</v>
      </c>
      <c r="E1187" t="s">
        <v>16</v>
      </c>
      <c r="F1187" t="s">
        <v>1350</v>
      </c>
      <c r="G1187" s="2">
        <v>0.63194444444444442</v>
      </c>
      <c r="H1187" t="s">
        <v>1200</v>
      </c>
      <c r="I1187" t="s">
        <v>1201</v>
      </c>
      <c r="L1187" t="s">
        <v>1222</v>
      </c>
      <c r="X1187" t="s">
        <v>1100</v>
      </c>
      <c r="Y1187">
        <v>2</v>
      </c>
      <c r="Z1187" t="s">
        <v>1228</v>
      </c>
    </row>
    <row r="1188" spans="1:26" x14ac:dyDescent="0.3">
      <c r="A1188" t="s">
        <v>732</v>
      </c>
      <c r="B1188" t="s">
        <v>4926</v>
      </c>
      <c r="C1188" t="s">
        <v>4927</v>
      </c>
      <c r="D1188" t="s">
        <v>4928</v>
      </c>
      <c r="E1188" t="s">
        <v>16</v>
      </c>
      <c r="F1188" t="s">
        <v>1354</v>
      </c>
      <c r="G1188" s="2">
        <v>0.625</v>
      </c>
      <c r="H1188" t="s">
        <v>1200</v>
      </c>
      <c r="I1188" t="s">
        <v>1201</v>
      </c>
      <c r="L1188" t="s">
        <v>1202</v>
      </c>
      <c r="X1188" t="s">
        <v>1100</v>
      </c>
      <c r="Y1188">
        <v>1</v>
      </c>
      <c r="Z1188" t="s">
        <v>1228</v>
      </c>
    </row>
    <row r="1189" spans="1:26" x14ac:dyDescent="0.3">
      <c r="A1189" t="s">
        <v>732</v>
      </c>
      <c r="B1189" t="s">
        <v>4929</v>
      </c>
      <c r="C1189" t="s">
        <v>4930</v>
      </c>
      <c r="D1189" t="s">
        <v>4931</v>
      </c>
      <c r="E1189" t="s">
        <v>16</v>
      </c>
      <c r="F1189" t="s">
        <v>1558</v>
      </c>
      <c r="G1189" s="2">
        <v>0.61805555555555558</v>
      </c>
      <c r="H1189" t="s">
        <v>1200</v>
      </c>
      <c r="I1189" t="s">
        <v>1201</v>
      </c>
      <c r="M1189" t="s">
        <v>1464</v>
      </c>
    </row>
    <row r="1190" spans="1:26" x14ac:dyDescent="0.3">
      <c r="A1190" t="s">
        <v>732</v>
      </c>
      <c r="B1190" t="s">
        <v>4932</v>
      </c>
      <c r="C1190" t="s">
        <v>4933</v>
      </c>
      <c r="D1190" t="s">
        <v>4934</v>
      </c>
      <c r="E1190" t="s">
        <v>16</v>
      </c>
      <c r="F1190" t="s">
        <v>1358</v>
      </c>
      <c r="G1190" s="2">
        <v>0.61111111111111105</v>
      </c>
      <c r="H1190" t="s">
        <v>1200</v>
      </c>
      <c r="I1190" t="s">
        <v>1201</v>
      </c>
      <c r="K1190" t="s">
        <v>1250</v>
      </c>
    </row>
    <row r="1191" spans="1:26" x14ac:dyDescent="0.3">
      <c r="A1191" t="s">
        <v>732</v>
      </c>
      <c r="B1191" t="s">
        <v>4935</v>
      </c>
      <c r="C1191" t="s">
        <v>4936</v>
      </c>
      <c r="D1191" t="s">
        <v>4937</v>
      </c>
      <c r="E1191" t="s">
        <v>16</v>
      </c>
      <c r="F1191" t="s">
        <v>1362</v>
      </c>
      <c r="G1191" s="2">
        <v>0.60416666666666663</v>
      </c>
      <c r="H1191" t="s">
        <v>1200</v>
      </c>
      <c r="I1191" t="s">
        <v>1201</v>
      </c>
      <c r="M1191" t="s">
        <v>1292</v>
      </c>
    </row>
    <row r="1192" spans="1:26" x14ac:dyDescent="0.3">
      <c r="A1192" t="s">
        <v>732</v>
      </c>
      <c r="B1192" t="s">
        <v>4938</v>
      </c>
      <c r="C1192" t="s">
        <v>4939</v>
      </c>
      <c r="D1192" t="s">
        <v>4940</v>
      </c>
      <c r="E1192" t="s">
        <v>16</v>
      </c>
      <c r="F1192" t="s">
        <v>1367</v>
      </c>
      <c r="G1192" s="2">
        <v>0.59722222222222221</v>
      </c>
      <c r="H1192" t="s">
        <v>1200</v>
      </c>
      <c r="I1192" t="s">
        <v>1201</v>
      </c>
      <c r="L1192" t="s">
        <v>1202</v>
      </c>
      <c r="X1192" t="s">
        <v>1100</v>
      </c>
      <c r="Y1192">
        <v>1</v>
      </c>
      <c r="Z1192" t="s">
        <v>1228</v>
      </c>
    </row>
    <row r="1193" spans="1:26" x14ac:dyDescent="0.3">
      <c r="A1193" t="s">
        <v>732</v>
      </c>
      <c r="B1193" t="s">
        <v>4941</v>
      </c>
      <c r="C1193" t="s">
        <v>4942</v>
      </c>
      <c r="D1193" t="s">
        <v>4943</v>
      </c>
      <c r="E1193" t="s">
        <v>16</v>
      </c>
      <c r="F1193" t="s">
        <v>1371</v>
      </c>
      <c r="G1193" s="2">
        <v>0.59027777777777779</v>
      </c>
      <c r="H1193" t="s">
        <v>1200</v>
      </c>
      <c r="I1193" t="s">
        <v>1201</v>
      </c>
      <c r="L1193" t="s">
        <v>1363</v>
      </c>
      <c r="X1193" t="s">
        <v>1100</v>
      </c>
      <c r="Y1193">
        <v>1</v>
      </c>
      <c r="Z1193" t="s">
        <v>1203</v>
      </c>
    </row>
    <row r="1194" spans="1:26" x14ac:dyDescent="0.3">
      <c r="A1194" t="s">
        <v>732</v>
      </c>
      <c r="B1194" t="s">
        <v>4944</v>
      </c>
      <c r="C1194" t="s">
        <v>4945</v>
      </c>
      <c r="D1194" t="s">
        <v>4946</v>
      </c>
      <c r="E1194" t="s">
        <v>16</v>
      </c>
      <c r="F1194" t="s">
        <v>1199</v>
      </c>
      <c r="G1194" s="2">
        <v>0.58333333333333337</v>
      </c>
      <c r="H1194" t="s">
        <v>1200</v>
      </c>
      <c r="I1194" t="s">
        <v>1201</v>
      </c>
      <c r="L1194" t="s">
        <v>1202</v>
      </c>
      <c r="X1194" t="s">
        <v>1100</v>
      </c>
      <c r="Y1194">
        <v>1</v>
      </c>
      <c r="Z1194" t="s">
        <v>1203</v>
      </c>
    </row>
    <row r="1195" spans="1:26" x14ac:dyDescent="0.3">
      <c r="A1195" t="s">
        <v>732</v>
      </c>
      <c r="B1195" t="s">
        <v>4947</v>
      </c>
      <c r="C1195" t="s">
        <v>4948</v>
      </c>
      <c r="D1195" t="s">
        <v>4949</v>
      </c>
      <c r="E1195" t="s">
        <v>16</v>
      </c>
      <c r="F1195" t="s">
        <v>1207</v>
      </c>
      <c r="G1195" s="2">
        <v>0.57638888888888895</v>
      </c>
      <c r="H1195" t="s">
        <v>1200</v>
      </c>
      <c r="I1195" t="s">
        <v>1201</v>
      </c>
      <c r="L1195" t="s">
        <v>1363</v>
      </c>
      <c r="X1195" t="s">
        <v>1100</v>
      </c>
      <c r="Y1195">
        <v>1</v>
      </c>
      <c r="Z1195" t="s">
        <v>1203</v>
      </c>
    </row>
    <row r="1196" spans="1:26" x14ac:dyDescent="0.3">
      <c r="A1196" t="s">
        <v>732</v>
      </c>
      <c r="B1196" t="s">
        <v>4950</v>
      </c>
      <c r="C1196" t="s">
        <v>4951</v>
      </c>
      <c r="D1196" t="s">
        <v>4952</v>
      </c>
      <c r="E1196" t="s">
        <v>16</v>
      </c>
      <c r="F1196" t="s">
        <v>1211</v>
      </c>
      <c r="G1196" s="2">
        <v>0.56944444444444442</v>
      </c>
      <c r="H1196" t="s">
        <v>1200</v>
      </c>
      <c r="I1196" t="s">
        <v>1201</v>
      </c>
      <c r="L1196" t="s">
        <v>1363</v>
      </c>
      <c r="X1196" t="s">
        <v>1100</v>
      </c>
      <c r="Y1196">
        <v>1</v>
      </c>
      <c r="Z1196" t="s">
        <v>1396</v>
      </c>
    </row>
    <row r="1197" spans="1:26" x14ac:dyDescent="0.3">
      <c r="A1197" t="s">
        <v>732</v>
      </c>
      <c r="B1197" t="s">
        <v>4953</v>
      </c>
      <c r="C1197" t="s">
        <v>4954</v>
      </c>
      <c r="D1197" t="s">
        <v>4955</v>
      </c>
      <c r="E1197" t="s">
        <v>16</v>
      </c>
      <c r="F1197" t="s">
        <v>1215</v>
      </c>
      <c r="G1197" s="2">
        <v>0.5625</v>
      </c>
      <c r="H1197" t="s">
        <v>1200</v>
      </c>
      <c r="I1197" t="s">
        <v>1201</v>
      </c>
      <c r="L1197" t="s">
        <v>1363</v>
      </c>
      <c r="X1197" t="s">
        <v>1100</v>
      </c>
      <c r="Y1197">
        <v>3</v>
      </c>
      <c r="Z1197" t="s">
        <v>1203</v>
      </c>
    </row>
    <row r="1198" spans="1:26" x14ac:dyDescent="0.3">
      <c r="A1198" t="s">
        <v>732</v>
      </c>
      <c r="B1198" t="s">
        <v>4956</v>
      </c>
      <c r="C1198" t="s">
        <v>4957</v>
      </c>
      <c r="D1198" t="s">
        <v>4958</v>
      </c>
      <c r="E1198" t="s">
        <v>16</v>
      </c>
      <c r="F1198" t="s">
        <v>1221</v>
      </c>
      <c r="G1198" s="2">
        <v>0.55555555555555558</v>
      </c>
      <c r="H1198" t="s">
        <v>1200</v>
      </c>
      <c r="I1198" t="s">
        <v>1201</v>
      </c>
      <c r="L1198" t="s">
        <v>1363</v>
      </c>
      <c r="X1198" t="s">
        <v>1100</v>
      </c>
      <c r="Y1198">
        <v>0</v>
      </c>
      <c r="Z1198" t="s">
        <v>1396</v>
      </c>
    </row>
    <row r="1199" spans="1:26" x14ac:dyDescent="0.3">
      <c r="A1199" t="s">
        <v>732</v>
      </c>
      <c r="B1199" t="s">
        <v>4959</v>
      </c>
      <c r="C1199" t="s">
        <v>4960</v>
      </c>
      <c r="D1199" t="s">
        <v>4961</v>
      </c>
      <c r="E1199" t="s">
        <v>16</v>
      </c>
      <c r="F1199" t="s">
        <v>1232</v>
      </c>
      <c r="G1199" s="2">
        <v>0.54861111111111105</v>
      </c>
      <c r="H1199" t="s">
        <v>1200</v>
      </c>
      <c r="I1199" t="s">
        <v>1201</v>
      </c>
      <c r="L1199" t="s">
        <v>1202</v>
      </c>
      <c r="X1199" t="s">
        <v>1100</v>
      </c>
      <c r="Y1199">
        <v>1</v>
      </c>
      <c r="Z1199" t="s">
        <v>2609</v>
      </c>
    </row>
    <row r="1200" spans="1:26" x14ac:dyDescent="0.3">
      <c r="A1200" t="s">
        <v>732</v>
      </c>
      <c r="B1200" t="s">
        <v>4962</v>
      </c>
      <c r="C1200" t="s">
        <v>4963</v>
      </c>
      <c r="D1200" t="s">
        <v>4964</v>
      </c>
      <c r="E1200" t="s">
        <v>16</v>
      </c>
      <c r="F1200" t="s">
        <v>1236</v>
      </c>
      <c r="G1200" s="2">
        <v>0.54166666666666663</v>
      </c>
      <c r="H1200" t="s">
        <v>1200</v>
      </c>
      <c r="I1200" t="s">
        <v>1201</v>
      </c>
      <c r="L1200" t="s">
        <v>1363</v>
      </c>
      <c r="X1200" t="s">
        <v>1100</v>
      </c>
      <c r="Y1200">
        <v>2</v>
      </c>
      <c r="Z1200" t="s">
        <v>1396</v>
      </c>
    </row>
    <row r="1201" spans="1:30" x14ac:dyDescent="0.3">
      <c r="A1201" t="s">
        <v>732</v>
      </c>
      <c r="B1201" t="s">
        <v>4965</v>
      </c>
      <c r="C1201" t="s">
        <v>4966</v>
      </c>
      <c r="D1201" t="s">
        <v>4967</v>
      </c>
      <c r="E1201" t="s">
        <v>16</v>
      </c>
      <c r="F1201" t="s">
        <v>1240</v>
      </c>
      <c r="G1201" s="2">
        <v>0.53472222222222221</v>
      </c>
      <c r="H1201" t="s">
        <v>1200</v>
      </c>
      <c r="I1201" t="s">
        <v>1201</v>
      </c>
      <c r="L1201" t="s">
        <v>1363</v>
      </c>
      <c r="X1201" t="s">
        <v>1100</v>
      </c>
      <c r="Y1201">
        <v>2</v>
      </c>
      <c r="Z1201" t="s">
        <v>1396</v>
      </c>
    </row>
    <row r="1202" spans="1:30" x14ac:dyDescent="0.3">
      <c r="A1202" t="s">
        <v>732</v>
      </c>
      <c r="B1202" t="s">
        <v>4968</v>
      </c>
      <c r="C1202" t="s">
        <v>4969</v>
      </c>
      <c r="D1202" t="s">
        <v>4970</v>
      </c>
      <c r="E1202" t="s">
        <v>16</v>
      </c>
      <c r="F1202" t="s">
        <v>1244</v>
      </c>
      <c r="G1202" s="2">
        <v>0.52777777777777779</v>
      </c>
      <c r="H1202" t="s">
        <v>1200</v>
      </c>
      <c r="I1202" t="s">
        <v>1201</v>
      </c>
      <c r="L1202" t="s">
        <v>1363</v>
      </c>
      <c r="X1202" t="s">
        <v>1100</v>
      </c>
      <c r="Y1202">
        <v>2</v>
      </c>
      <c r="Z1202" t="s">
        <v>1396</v>
      </c>
    </row>
    <row r="1203" spans="1:30" x14ac:dyDescent="0.3">
      <c r="A1203" t="s">
        <v>732</v>
      </c>
      <c r="B1203" t="s">
        <v>4971</v>
      </c>
      <c r="C1203" t="s">
        <v>4972</v>
      </c>
      <c r="D1203" t="s">
        <v>4973</v>
      </c>
      <c r="E1203" t="s">
        <v>16</v>
      </c>
      <c r="F1203" t="s">
        <v>1249</v>
      </c>
      <c r="G1203" s="2">
        <v>0.52083333333333337</v>
      </c>
      <c r="H1203" t="s">
        <v>1200</v>
      </c>
      <c r="I1203" t="s">
        <v>1201</v>
      </c>
      <c r="N1203" t="s">
        <v>3969</v>
      </c>
      <c r="O1203" t="s">
        <v>3970</v>
      </c>
      <c r="P1203" t="s">
        <v>4974</v>
      </c>
      <c r="X1203" t="s">
        <v>1100</v>
      </c>
      <c r="Y1203">
        <v>1</v>
      </c>
      <c r="Z1203" t="s">
        <v>2521</v>
      </c>
    </row>
    <row r="1204" spans="1:30" x14ac:dyDescent="0.3">
      <c r="A1204" t="s">
        <v>732</v>
      </c>
      <c r="B1204" t="s">
        <v>4975</v>
      </c>
      <c r="C1204" t="s">
        <v>4976</v>
      </c>
      <c r="D1204" t="s">
        <v>4977</v>
      </c>
      <c r="E1204" t="s">
        <v>16</v>
      </c>
      <c r="F1204" t="s">
        <v>1406</v>
      </c>
      <c r="G1204" s="2">
        <v>0.51388888888888895</v>
      </c>
      <c r="H1204" t="s">
        <v>1200</v>
      </c>
      <c r="I1204" t="s">
        <v>1201</v>
      </c>
      <c r="N1204" t="s">
        <v>3969</v>
      </c>
      <c r="O1204" t="s">
        <v>3970</v>
      </c>
      <c r="P1204" t="s">
        <v>4974</v>
      </c>
      <c r="X1204" t="s">
        <v>1100</v>
      </c>
      <c r="Y1204">
        <v>1</v>
      </c>
      <c r="Z1204" t="s">
        <v>2521</v>
      </c>
    </row>
    <row r="1205" spans="1:30" x14ac:dyDescent="0.3">
      <c r="A1205" t="s">
        <v>732</v>
      </c>
      <c r="B1205" t="s">
        <v>4978</v>
      </c>
      <c r="C1205" t="s">
        <v>4979</v>
      </c>
      <c r="D1205" t="s">
        <v>4980</v>
      </c>
      <c r="E1205" t="s">
        <v>16</v>
      </c>
      <c r="F1205" t="s">
        <v>1254</v>
      </c>
      <c r="G1205" s="2">
        <v>0.50694444444444442</v>
      </c>
      <c r="H1205" t="s">
        <v>1200</v>
      </c>
      <c r="I1205" t="s">
        <v>1201</v>
      </c>
      <c r="L1205" t="s">
        <v>1202</v>
      </c>
      <c r="X1205" t="s">
        <v>1100</v>
      </c>
      <c r="Y1205">
        <v>4</v>
      </c>
      <c r="Z1205" t="s">
        <v>1496</v>
      </c>
    </row>
    <row r="1206" spans="1:30" x14ac:dyDescent="0.3">
      <c r="A1206" t="s">
        <v>732</v>
      </c>
      <c r="B1206" t="s">
        <v>4981</v>
      </c>
      <c r="C1206" t="s">
        <v>4982</v>
      </c>
      <c r="D1206" t="s">
        <v>4983</v>
      </c>
      <c r="E1206" t="s">
        <v>16</v>
      </c>
      <c r="F1206" t="s">
        <v>1259</v>
      </c>
      <c r="G1206" s="2">
        <v>0.5</v>
      </c>
      <c r="H1206" t="s">
        <v>1200</v>
      </c>
      <c r="I1206" t="s">
        <v>1201</v>
      </c>
      <c r="M1206" t="s">
        <v>1292</v>
      </c>
      <c r="X1206" t="s">
        <v>1100</v>
      </c>
      <c r="Y1206">
        <v>3</v>
      </c>
      <c r="Z1206" t="s">
        <v>1245</v>
      </c>
    </row>
    <row r="1207" spans="1:30" x14ac:dyDescent="0.3">
      <c r="A1207" t="s">
        <v>732</v>
      </c>
      <c r="B1207" t="s">
        <v>4984</v>
      </c>
      <c r="C1207" t="s">
        <v>4985</v>
      </c>
      <c r="D1207" t="s">
        <v>4986</v>
      </c>
      <c r="E1207" t="s">
        <v>16</v>
      </c>
      <c r="F1207" t="s">
        <v>1265</v>
      </c>
      <c r="G1207" s="2">
        <v>0.49305555555555558</v>
      </c>
      <c r="H1207" t="s">
        <v>1200</v>
      </c>
      <c r="I1207" t="s">
        <v>1201</v>
      </c>
      <c r="M1207" t="s">
        <v>1292</v>
      </c>
      <c r="X1207" t="s">
        <v>1100</v>
      </c>
      <c r="Y1207">
        <v>4</v>
      </c>
      <c r="Z1207" t="s">
        <v>1245</v>
      </c>
    </row>
    <row r="1208" spans="1:30" x14ac:dyDescent="0.3">
      <c r="A1208" t="s">
        <v>732</v>
      </c>
      <c r="B1208" t="s">
        <v>4987</v>
      </c>
      <c r="C1208" t="s">
        <v>4988</v>
      </c>
      <c r="D1208" t="s">
        <v>4989</v>
      </c>
      <c r="E1208" t="s">
        <v>16</v>
      </c>
      <c r="F1208" t="s">
        <v>1270</v>
      </c>
      <c r="G1208" s="2">
        <v>0.4861111111111111</v>
      </c>
      <c r="H1208" t="s">
        <v>1200</v>
      </c>
      <c r="I1208" t="s">
        <v>1201</v>
      </c>
      <c r="M1208" t="s">
        <v>1640</v>
      </c>
      <c r="X1208" t="s">
        <v>1100</v>
      </c>
      <c r="Y1208">
        <v>3</v>
      </c>
      <c r="Z1208" t="s">
        <v>2047</v>
      </c>
    </row>
    <row r="1209" spans="1:30" x14ac:dyDescent="0.3">
      <c r="A1209" t="s">
        <v>732</v>
      </c>
      <c r="B1209" t="s">
        <v>4990</v>
      </c>
      <c r="C1209" t="s">
        <v>4991</v>
      </c>
      <c r="D1209" t="s">
        <v>4992</v>
      </c>
      <c r="E1209" t="s">
        <v>16</v>
      </c>
      <c r="F1209" t="s">
        <v>1274</v>
      </c>
      <c r="G1209" s="2">
        <v>0.47916666666666669</v>
      </c>
      <c r="H1209" t="s">
        <v>1200</v>
      </c>
      <c r="I1209" t="s">
        <v>1201</v>
      </c>
      <c r="M1209" t="s">
        <v>1640</v>
      </c>
      <c r="X1209" t="s">
        <v>1100</v>
      </c>
      <c r="Y1209">
        <v>2</v>
      </c>
      <c r="Z1209" t="s">
        <v>2047</v>
      </c>
      <c r="AB1209" t="s">
        <v>752</v>
      </c>
      <c r="AC1209">
        <v>4</v>
      </c>
      <c r="AD1209" t="s">
        <v>2047</v>
      </c>
    </row>
    <row r="1210" spans="1:30" x14ac:dyDescent="0.3">
      <c r="A1210" t="s">
        <v>732</v>
      </c>
      <c r="B1210" t="s">
        <v>4993</v>
      </c>
      <c r="C1210" t="s">
        <v>4994</v>
      </c>
      <c r="D1210" t="s">
        <v>4995</v>
      </c>
      <c r="E1210" t="s">
        <v>16</v>
      </c>
      <c r="F1210" t="s">
        <v>1278</v>
      </c>
      <c r="G1210" s="2">
        <v>0.47222222222222227</v>
      </c>
      <c r="H1210" t="s">
        <v>1200</v>
      </c>
      <c r="I1210" t="s">
        <v>1201</v>
      </c>
      <c r="K1210" t="s">
        <v>1250</v>
      </c>
      <c r="X1210" t="s">
        <v>1100</v>
      </c>
      <c r="Y1210">
        <v>3</v>
      </c>
      <c r="Z1210" t="s">
        <v>1266</v>
      </c>
    </row>
    <row r="1211" spans="1:30" x14ac:dyDescent="0.3">
      <c r="A1211" t="s">
        <v>732</v>
      </c>
      <c r="B1211" t="s">
        <v>4996</v>
      </c>
      <c r="C1211" t="s">
        <v>4997</v>
      </c>
      <c r="D1211" t="s">
        <v>4998</v>
      </c>
      <c r="E1211" t="s">
        <v>16</v>
      </c>
      <c r="F1211" t="s">
        <v>1282</v>
      </c>
      <c r="G1211" s="2">
        <v>0.46527777777777773</v>
      </c>
      <c r="H1211" t="s">
        <v>1200</v>
      </c>
      <c r="I1211" t="s">
        <v>1201</v>
      </c>
      <c r="L1211" t="s">
        <v>1222</v>
      </c>
      <c r="X1211" t="s">
        <v>1100</v>
      </c>
      <c r="Y1211">
        <v>3</v>
      </c>
      <c r="Z1211" t="s">
        <v>1228</v>
      </c>
    </row>
    <row r="1212" spans="1:30" x14ac:dyDescent="0.3">
      <c r="A1212" t="s">
        <v>732</v>
      </c>
      <c r="B1212" t="s">
        <v>4999</v>
      </c>
      <c r="C1212" t="s">
        <v>5000</v>
      </c>
      <c r="D1212" t="s">
        <v>5001</v>
      </c>
      <c r="E1212" t="s">
        <v>16</v>
      </c>
      <c r="F1212" t="s">
        <v>1287</v>
      </c>
      <c r="G1212" s="2">
        <v>0.45833333333333331</v>
      </c>
      <c r="H1212" t="s">
        <v>1200</v>
      </c>
      <c r="I1212" t="s">
        <v>1201</v>
      </c>
      <c r="K1212" t="s">
        <v>1250</v>
      </c>
      <c r="X1212" t="s">
        <v>1100</v>
      </c>
      <c r="Y1212">
        <v>3</v>
      </c>
      <c r="Z1212" t="s">
        <v>1266</v>
      </c>
    </row>
    <row r="1213" spans="1:30" x14ac:dyDescent="0.3">
      <c r="A1213" t="s">
        <v>732</v>
      </c>
      <c r="B1213" t="s">
        <v>5002</v>
      </c>
      <c r="C1213" t="s">
        <v>5003</v>
      </c>
      <c r="D1213" t="s">
        <v>5004</v>
      </c>
      <c r="E1213" t="s">
        <v>16</v>
      </c>
      <c r="F1213" t="s">
        <v>1291</v>
      </c>
      <c r="G1213" s="2">
        <v>0.4513888888888889</v>
      </c>
      <c r="H1213" t="s">
        <v>1200</v>
      </c>
      <c r="I1213" t="s">
        <v>1201</v>
      </c>
      <c r="M1213" t="s">
        <v>1292</v>
      </c>
      <c r="X1213" t="s">
        <v>1100</v>
      </c>
      <c r="Y1213">
        <v>4</v>
      </c>
      <c r="Z1213" t="s">
        <v>1245</v>
      </c>
    </row>
    <row r="1214" spans="1:30" x14ac:dyDescent="0.3">
      <c r="A1214" t="s">
        <v>732</v>
      </c>
      <c r="B1214" t="s">
        <v>5005</v>
      </c>
      <c r="C1214" t="s">
        <v>5006</v>
      </c>
      <c r="D1214" t="s">
        <v>5007</v>
      </c>
      <c r="E1214" t="s">
        <v>16</v>
      </c>
      <c r="F1214" t="s">
        <v>1296</v>
      </c>
      <c r="G1214" s="2">
        <v>0.44444444444444442</v>
      </c>
      <c r="H1214" t="s">
        <v>1200</v>
      </c>
      <c r="I1214" t="s">
        <v>1201</v>
      </c>
      <c r="K1214" t="s">
        <v>1250</v>
      </c>
      <c r="X1214" t="s">
        <v>1100</v>
      </c>
      <c r="Y1214">
        <v>4</v>
      </c>
      <c r="Z1214" t="s">
        <v>1228</v>
      </c>
    </row>
    <row r="1215" spans="1:30" x14ac:dyDescent="0.3">
      <c r="A1215" t="s">
        <v>732</v>
      </c>
      <c r="B1215" t="s">
        <v>5008</v>
      </c>
      <c r="C1215" t="s">
        <v>5009</v>
      </c>
      <c r="D1215" t="s">
        <v>5010</v>
      </c>
      <c r="E1215" t="s">
        <v>16</v>
      </c>
      <c r="F1215" t="s">
        <v>1300</v>
      </c>
      <c r="G1215" s="2">
        <v>0.4375</v>
      </c>
      <c r="H1215" t="s">
        <v>1200</v>
      </c>
      <c r="I1215" t="s">
        <v>1201</v>
      </c>
      <c r="M1215" t="s">
        <v>1292</v>
      </c>
      <c r="X1215" t="s">
        <v>1100</v>
      </c>
      <c r="Y1215">
        <v>4</v>
      </c>
      <c r="Z1215" t="s">
        <v>1217</v>
      </c>
    </row>
    <row r="1216" spans="1:30" x14ac:dyDescent="0.3">
      <c r="A1216" t="s">
        <v>732</v>
      </c>
      <c r="B1216" t="s">
        <v>5011</v>
      </c>
      <c r="C1216" t="s">
        <v>5012</v>
      </c>
      <c r="D1216" t="s">
        <v>5013</v>
      </c>
      <c r="E1216" t="s">
        <v>16</v>
      </c>
      <c r="F1216" t="s">
        <v>1443</v>
      </c>
      <c r="G1216" s="2">
        <v>0.43055555555555558</v>
      </c>
      <c r="H1216" t="s">
        <v>1200</v>
      </c>
      <c r="I1216" t="s">
        <v>1201</v>
      </c>
      <c r="K1216" t="s">
        <v>1250</v>
      </c>
      <c r="X1216" t="s">
        <v>1100</v>
      </c>
      <c r="Y1216">
        <v>6</v>
      </c>
      <c r="Z1216" t="s">
        <v>1228</v>
      </c>
      <c r="AB1216" t="s">
        <v>498</v>
      </c>
      <c r="AC1216">
        <v>7</v>
      </c>
      <c r="AD1216" t="s">
        <v>1228</v>
      </c>
    </row>
    <row r="1217" spans="1:30" x14ac:dyDescent="0.3">
      <c r="A1217" t="s">
        <v>732</v>
      </c>
      <c r="B1217" t="s">
        <v>5014</v>
      </c>
      <c r="C1217" t="s">
        <v>5015</v>
      </c>
      <c r="D1217" t="s">
        <v>5016</v>
      </c>
      <c r="E1217" t="s">
        <v>16</v>
      </c>
      <c r="F1217" t="s">
        <v>1447</v>
      </c>
      <c r="G1217" s="2">
        <v>0.4236111111111111</v>
      </c>
      <c r="H1217" t="s">
        <v>1200</v>
      </c>
      <c r="I1217" t="s">
        <v>1201</v>
      </c>
      <c r="K1217" t="s">
        <v>1250</v>
      </c>
      <c r="X1217" t="s">
        <v>1100</v>
      </c>
      <c r="Y1217">
        <v>4</v>
      </c>
      <c r="Z1217" t="s">
        <v>1245</v>
      </c>
      <c r="AB1217" t="s">
        <v>498</v>
      </c>
      <c r="AC1217">
        <v>5</v>
      </c>
      <c r="AD1217" t="s">
        <v>1717</v>
      </c>
    </row>
    <row r="1218" spans="1:30" x14ac:dyDescent="0.3">
      <c r="A1218" t="s">
        <v>732</v>
      </c>
      <c r="B1218" t="s">
        <v>5017</v>
      </c>
      <c r="C1218" t="s">
        <v>5018</v>
      </c>
      <c r="D1218" t="s">
        <v>5019</v>
      </c>
      <c r="E1218" t="s">
        <v>16</v>
      </c>
      <c r="F1218" t="s">
        <v>1451</v>
      </c>
      <c r="G1218" s="2">
        <v>0.41666666666666669</v>
      </c>
      <c r="H1218" t="s">
        <v>1200</v>
      </c>
      <c r="I1218" t="s">
        <v>1201</v>
      </c>
      <c r="K1218" t="s">
        <v>1250</v>
      </c>
      <c r="X1218" t="s">
        <v>1100</v>
      </c>
      <c r="Y1218">
        <v>3</v>
      </c>
      <c r="Z1218" t="s">
        <v>1266</v>
      </c>
      <c r="AB1218" t="s">
        <v>498</v>
      </c>
      <c r="AC1218">
        <v>4</v>
      </c>
      <c r="AD1218" t="s">
        <v>1704</v>
      </c>
    </row>
    <row r="1219" spans="1:30" x14ac:dyDescent="0.3">
      <c r="A1219" t="s">
        <v>732</v>
      </c>
      <c r="B1219" t="s">
        <v>5020</v>
      </c>
      <c r="C1219" t="s">
        <v>5021</v>
      </c>
      <c r="D1219" t="s">
        <v>5022</v>
      </c>
      <c r="E1219" t="s">
        <v>16</v>
      </c>
      <c r="F1219" t="s">
        <v>1455</v>
      </c>
      <c r="G1219" s="2">
        <v>0.40972222222222227</v>
      </c>
      <c r="H1219" t="s">
        <v>1200</v>
      </c>
      <c r="I1219" t="s">
        <v>1201</v>
      </c>
      <c r="L1219" t="s">
        <v>1363</v>
      </c>
      <c r="X1219" t="s">
        <v>1100</v>
      </c>
      <c r="Y1219">
        <v>1</v>
      </c>
      <c r="Z1219" t="s">
        <v>1396</v>
      </c>
      <c r="AB1219" t="s">
        <v>498</v>
      </c>
      <c r="AC1219">
        <v>4</v>
      </c>
      <c r="AD1219" t="s">
        <v>1396</v>
      </c>
    </row>
    <row r="1220" spans="1:30" x14ac:dyDescent="0.3">
      <c r="A1220" t="s">
        <v>732</v>
      </c>
      <c r="B1220" t="s">
        <v>5023</v>
      </c>
      <c r="C1220" t="s">
        <v>5024</v>
      </c>
      <c r="D1220" t="s">
        <v>5025</v>
      </c>
      <c r="E1220" t="s">
        <v>16</v>
      </c>
      <c r="F1220" t="s">
        <v>1459</v>
      </c>
      <c r="G1220" s="2">
        <v>0.40277777777777773</v>
      </c>
      <c r="H1220" t="s">
        <v>1200</v>
      </c>
      <c r="I1220" t="s">
        <v>1201</v>
      </c>
      <c r="L1220" t="s">
        <v>1363</v>
      </c>
      <c r="X1220" t="s">
        <v>1100</v>
      </c>
      <c r="Y1220">
        <v>1</v>
      </c>
      <c r="Z1220" t="s">
        <v>1396</v>
      </c>
      <c r="AB1220" t="s">
        <v>498</v>
      </c>
      <c r="AC1220">
        <v>4</v>
      </c>
      <c r="AD1220" t="s">
        <v>1396</v>
      </c>
    </row>
    <row r="1221" spans="1:30" x14ac:dyDescent="0.3">
      <c r="A1221" t="s">
        <v>732</v>
      </c>
      <c r="B1221" t="s">
        <v>5026</v>
      </c>
      <c r="C1221" t="s">
        <v>5027</v>
      </c>
      <c r="D1221" t="s">
        <v>5028</v>
      </c>
      <c r="E1221" t="s">
        <v>16</v>
      </c>
      <c r="F1221" t="s">
        <v>1469</v>
      </c>
      <c r="G1221" s="2">
        <v>0.3888888888888889</v>
      </c>
      <c r="H1221" t="s">
        <v>1200</v>
      </c>
      <c r="I1221" t="s">
        <v>1201</v>
      </c>
      <c r="L1221" t="s">
        <v>1363</v>
      </c>
      <c r="X1221" t="s">
        <v>1100</v>
      </c>
      <c r="Y1221">
        <v>1</v>
      </c>
      <c r="Z1221" t="s">
        <v>1396</v>
      </c>
      <c r="AB1221" t="s">
        <v>498</v>
      </c>
      <c r="AC1221">
        <v>4</v>
      </c>
      <c r="AD1221" t="s">
        <v>1396</v>
      </c>
    </row>
    <row r="1222" spans="1:30" x14ac:dyDescent="0.3">
      <c r="A1222" t="s">
        <v>732</v>
      </c>
      <c r="B1222" t="s">
        <v>5029</v>
      </c>
      <c r="C1222" t="s">
        <v>5030</v>
      </c>
      <c r="D1222" t="s">
        <v>5031</v>
      </c>
      <c r="E1222" t="s">
        <v>16</v>
      </c>
      <c r="F1222" t="s">
        <v>1473</v>
      </c>
      <c r="G1222" s="2">
        <v>0.38194444444444442</v>
      </c>
      <c r="H1222" t="s">
        <v>1200</v>
      </c>
      <c r="I1222" t="s">
        <v>1201</v>
      </c>
      <c r="L1222" t="s">
        <v>1202</v>
      </c>
      <c r="X1222" t="s">
        <v>1100</v>
      </c>
      <c r="Y1222">
        <v>1</v>
      </c>
      <c r="Z1222" t="s">
        <v>1203</v>
      </c>
      <c r="AB1222" t="s">
        <v>498</v>
      </c>
      <c r="AC1222">
        <v>4</v>
      </c>
      <c r="AD1222" t="s">
        <v>1203</v>
      </c>
    </row>
    <row r="1223" spans="1:30" x14ac:dyDescent="0.3">
      <c r="A1223" t="s">
        <v>732</v>
      </c>
      <c r="B1223" t="s">
        <v>5032</v>
      </c>
      <c r="C1223" t="s">
        <v>5033</v>
      </c>
      <c r="D1223" t="s">
        <v>5034</v>
      </c>
      <c r="E1223" t="s">
        <v>16</v>
      </c>
      <c r="F1223" t="s">
        <v>1477</v>
      </c>
      <c r="G1223" s="2">
        <v>0.375</v>
      </c>
      <c r="H1223" t="s">
        <v>1200</v>
      </c>
      <c r="I1223" t="s">
        <v>1201</v>
      </c>
      <c r="L1223" t="s">
        <v>1202</v>
      </c>
      <c r="X1223" t="s">
        <v>1100</v>
      </c>
      <c r="Y1223">
        <v>3</v>
      </c>
      <c r="Z1223" t="s">
        <v>1266</v>
      </c>
      <c r="AB1223" t="s">
        <v>498</v>
      </c>
      <c r="AC1223">
        <v>7</v>
      </c>
      <c r="AD1223" t="s">
        <v>1228</v>
      </c>
    </row>
    <row r="1224" spans="1:30" x14ac:dyDescent="0.3">
      <c r="A1224" t="s">
        <v>732</v>
      </c>
      <c r="B1224" t="s">
        <v>5035</v>
      </c>
      <c r="C1224" t="s">
        <v>5036</v>
      </c>
      <c r="D1224" t="s">
        <v>5037</v>
      </c>
      <c r="E1224" t="s">
        <v>16</v>
      </c>
      <c r="F1224" t="s">
        <v>1482</v>
      </c>
      <c r="G1224" s="2">
        <v>0.36805555555555558</v>
      </c>
      <c r="H1224" t="s">
        <v>1200</v>
      </c>
      <c r="I1224" t="s">
        <v>1201</v>
      </c>
      <c r="K1224" t="s">
        <v>1250</v>
      </c>
      <c r="X1224" t="s">
        <v>1100</v>
      </c>
      <c r="Y1224">
        <v>4</v>
      </c>
      <c r="Z1224" t="s">
        <v>1245</v>
      </c>
      <c r="AB1224" t="s">
        <v>498</v>
      </c>
      <c r="AC1224">
        <v>6</v>
      </c>
      <c r="AD1224" t="s">
        <v>1496</v>
      </c>
    </row>
    <row r="1225" spans="1:30" x14ac:dyDescent="0.3">
      <c r="A1225" t="s">
        <v>732</v>
      </c>
      <c r="B1225" t="s">
        <v>5038</v>
      </c>
      <c r="C1225" t="s">
        <v>5039</v>
      </c>
      <c r="D1225" t="s">
        <v>5040</v>
      </c>
      <c r="E1225" t="s">
        <v>16</v>
      </c>
      <c r="F1225" t="s">
        <v>1486</v>
      </c>
      <c r="G1225" s="2">
        <v>0.3611111111111111</v>
      </c>
      <c r="H1225" t="s">
        <v>1200</v>
      </c>
      <c r="I1225" t="s">
        <v>1201</v>
      </c>
      <c r="L1225" t="s">
        <v>1283</v>
      </c>
      <c r="X1225" t="s">
        <v>1100</v>
      </c>
      <c r="Y1225">
        <v>5</v>
      </c>
      <c r="Z1225" t="s">
        <v>2390</v>
      </c>
      <c r="AB1225" t="s">
        <v>498</v>
      </c>
      <c r="AC1225">
        <v>5</v>
      </c>
      <c r="AD1225" t="s">
        <v>2390</v>
      </c>
    </row>
    <row r="1226" spans="1:30" x14ac:dyDescent="0.3">
      <c r="A1226" t="s">
        <v>732</v>
      </c>
      <c r="B1226" t="s">
        <v>5041</v>
      </c>
      <c r="C1226" t="s">
        <v>5042</v>
      </c>
      <c r="D1226" t="s">
        <v>5043</v>
      </c>
      <c r="E1226" t="s">
        <v>16</v>
      </c>
      <c r="F1226" t="s">
        <v>1490</v>
      </c>
      <c r="G1226" s="2">
        <v>0.35416666666666669</v>
      </c>
      <c r="H1226" t="s">
        <v>1200</v>
      </c>
      <c r="I1226" t="s">
        <v>1201</v>
      </c>
      <c r="K1226" t="s">
        <v>1250</v>
      </c>
      <c r="X1226" t="s">
        <v>1100</v>
      </c>
      <c r="Y1226">
        <v>3</v>
      </c>
      <c r="Z1226" t="s">
        <v>2609</v>
      </c>
      <c r="AB1226" t="s">
        <v>498</v>
      </c>
      <c r="AC1226">
        <v>8</v>
      </c>
      <c r="AD1226" t="s">
        <v>1266</v>
      </c>
    </row>
    <row r="1227" spans="1:30" x14ac:dyDescent="0.3">
      <c r="A1227" t="s">
        <v>732</v>
      </c>
      <c r="B1227" t="s">
        <v>5044</v>
      </c>
      <c r="C1227" t="s">
        <v>5045</v>
      </c>
      <c r="D1227" t="s">
        <v>5046</v>
      </c>
      <c r="E1227" t="s">
        <v>16</v>
      </c>
      <c r="F1227" t="s">
        <v>1495</v>
      </c>
      <c r="G1227" s="2">
        <v>0.34722222222222227</v>
      </c>
      <c r="H1227" t="s">
        <v>1200</v>
      </c>
      <c r="I1227" t="s">
        <v>1201</v>
      </c>
      <c r="L1227" t="s">
        <v>1255</v>
      </c>
      <c r="X1227" t="s">
        <v>1100</v>
      </c>
      <c r="Y1227">
        <v>4</v>
      </c>
      <c r="Z1227" t="s">
        <v>1245</v>
      </c>
      <c r="AB1227" t="s">
        <v>498</v>
      </c>
      <c r="AC1227">
        <v>6</v>
      </c>
      <c r="AD1227" t="s">
        <v>1203</v>
      </c>
    </row>
    <row r="1228" spans="1:30" x14ac:dyDescent="0.3">
      <c r="A1228" t="s">
        <v>732</v>
      </c>
      <c r="B1228" t="s">
        <v>5047</v>
      </c>
      <c r="C1228" t="s">
        <v>5048</v>
      </c>
      <c r="D1228" t="s">
        <v>5049</v>
      </c>
      <c r="E1228" t="s">
        <v>16</v>
      </c>
      <c r="F1228" t="s">
        <v>1500</v>
      </c>
      <c r="G1228" s="2">
        <v>0.34027777777777773</v>
      </c>
      <c r="H1228" t="s">
        <v>1200</v>
      </c>
      <c r="I1228" t="s">
        <v>1201</v>
      </c>
      <c r="M1228" t="s">
        <v>1464</v>
      </c>
      <c r="X1228" t="s">
        <v>1100</v>
      </c>
      <c r="Y1228">
        <v>5</v>
      </c>
      <c r="Z1228" t="s">
        <v>1496</v>
      </c>
      <c r="AB1228" t="s">
        <v>498</v>
      </c>
      <c r="AC1228">
        <v>6</v>
      </c>
      <c r="AD1228" t="s">
        <v>1496</v>
      </c>
    </row>
    <row r="1229" spans="1:30" x14ac:dyDescent="0.3">
      <c r="A1229" t="s">
        <v>732</v>
      </c>
      <c r="B1229" t="s">
        <v>5050</v>
      </c>
      <c r="C1229" t="s">
        <v>5051</v>
      </c>
      <c r="D1229" t="s">
        <v>5052</v>
      </c>
      <c r="E1229" t="s">
        <v>16</v>
      </c>
      <c r="F1229" t="s">
        <v>3030</v>
      </c>
      <c r="G1229" s="2">
        <v>0.33333333333333331</v>
      </c>
      <c r="H1229" t="s">
        <v>1200</v>
      </c>
      <c r="I1229" t="s">
        <v>1201</v>
      </c>
      <c r="M1229" t="s">
        <v>1464</v>
      </c>
      <c r="X1229" t="s">
        <v>1100</v>
      </c>
      <c r="Y1229">
        <v>4</v>
      </c>
      <c r="Z1229" t="s">
        <v>1266</v>
      </c>
      <c r="AB1229" t="s">
        <v>498</v>
      </c>
      <c r="AC1229">
        <v>8</v>
      </c>
      <c r="AD1229" t="s">
        <v>1245</v>
      </c>
    </row>
    <row r="1230" spans="1:30" x14ac:dyDescent="0.3">
      <c r="A1230" t="s">
        <v>732</v>
      </c>
      <c r="B1230" t="s">
        <v>5053</v>
      </c>
      <c r="C1230" t="s">
        <v>5054</v>
      </c>
      <c r="D1230" t="s">
        <v>5055</v>
      </c>
      <c r="E1230" t="s">
        <v>16</v>
      </c>
      <c r="F1230" t="s">
        <v>3034</v>
      </c>
      <c r="G1230" s="2">
        <v>0.3263888888888889</v>
      </c>
      <c r="H1230" t="s">
        <v>1200</v>
      </c>
      <c r="I1230" t="s">
        <v>1201</v>
      </c>
      <c r="M1230" t="s">
        <v>1464</v>
      </c>
      <c r="X1230" t="s">
        <v>1100</v>
      </c>
      <c r="Y1230">
        <v>3</v>
      </c>
      <c r="Z1230" t="s">
        <v>1465</v>
      </c>
      <c r="AB1230" t="s">
        <v>498</v>
      </c>
      <c r="AC1230">
        <v>8</v>
      </c>
      <c r="AD1230" t="s">
        <v>1266</v>
      </c>
    </row>
    <row r="1231" spans="1:30" x14ac:dyDescent="0.3">
      <c r="A1231" t="s">
        <v>732</v>
      </c>
      <c r="B1231" t="s">
        <v>5056</v>
      </c>
      <c r="C1231" t="s">
        <v>5057</v>
      </c>
      <c r="D1231" t="s">
        <v>5058</v>
      </c>
      <c r="E1231" t="s">
        <v>16</v>
      </c>
      <c r="F1231" t="s">
        <v>3038</v>
      </c>
      <c r="G1231" s="2">
        <v>0.31944444444444448</v>
      </c>
      <c r="H1231" t="s">
        <v>1200</v>
      </c>
      <c r="I1231" t="s">
        <v>1201</v>
      </c>
      <c r="K1231" t="s">
        <v>1250</v>
      </c>
      <c r="X1231" t="s">
        <v>1100</v>
      </c>
      <c r="Y1231">
        <v>3</v>
      </c>
      <c r="Z1231" t="s">
        <v>1266</v>
      </c>
      <c r="AB1231" t="s">
        <v>498</v>
      </c>
      <c r="AC1231">
        <v>7</v>
      </c>
      <c r="AD1231" t="s">
        <v>1266</v>
      </c>
    </row>
    <row r="1232" spans="1:30" x14ac:dyDescent="0.3">
      <c r="A1232" t="s">
        <v>732</v>
      </c>
      <c r="B1232" t="s">
        <v>5059</v>
      </c>
      <c r="C1232" t="s">
        <v>5060</v>
      </c>
      <c r="D1232" t="s">
        <v>5061</v>
      </c>
      <c r="E1232" t="s">
        <v>16</v>
      </c>
      <c r="F1232" t="s">
        <v>3042</v>
      </c>
      <c r="G1232" s="2">
        <v>0.3125</v>
      </c>
      <c r="H1232" t="s">
        <v>1200</v>
      </c>
      <c r="I1232" t="s">
        <v>1201</v>
      </c>
      <c r="K1232" t="s">
        <v>1250</v>
      </c>
      <c r="X1232" t="s">
        <v>1100</v>
      </c>
      <c r="Y1232">
        <v>3</v>
      </c>
      <c r="Z1232" t="s">
        <v>1203</v>
      </c>
      <c r="AB1232" t="s">
        <v>498</v>
      </c>
      <c r="AC1232">
        <v>6</v>
      </c>
      <c r="AD1232" t="s">
        <v>1228</v>
      </c>
    </row>
    <row r="1233" spans="1:33" x14ac:dyDescent="0.3">
      <c r="A1233" t="s">
        <v>736</v>
      </c>
      <c r="B1233" t="s">
        <v>5062</v>
      </c>
      <c r="C1233" t="s">
        <v>5063</v>
      </c>
      <c r="D1233" t="s">
        <v>5064</v>
      </c>
      <c r="E1233" t="s">
        <v>16</v>
      </c>
      <c r="F1233" t="s">
        <v>1346</v>
      </c>
      <c r="G1233" s="2">
        <v>0.63888888888888895</v>
      </c>
      <c r="H1233" t="s">
        <v>1200</v>
      </c>
      <c r="I1233" t="s">
        <v>1201</v>
      </c>
      <c r="K1233" t="s">
        <v>1250</v>
      </c>
      <c r="X1233" t="s">
        <v>1100</v>
      </c>
      <c r="Y1233">
        <v>3</v>
      </c>
      <c r="Z1233" t="s">
        <v>1266</v>
      </c>
      <c r="AB1233" t="s">
        <v>1100</v>
      </c>
      <c r="AC1233">
        <v>3</v>
      </c>
    </row>
    <row r="1234" spans="1:33" x14ac:dyDescent="0.3">
      <c r="A1234" t="s">
        <v>736</v>
      </c>
      <c r="B1234" t="s">
        <v>5065</v>
      </c>
      <c r="C1234" t="s">
        <v>5066</v>
      </c>
      <c r="D1234" t="s">
        <v>5067</v>
      </c>
      <c r="E1234" t="s">
        <v>16</v>
      </c>
      <c r="F1234" s="2">
        <v>0.63194444444444442</v>
      </c>
      <c r="G1234" s="2">
        <v>0.63194444444444442</v>
      </c>
    </row>
    <row r="1235" spans="1:33" x14ac:dyDescent="0.3">
      <c r="A1235" t="s">
        <v>736</v>
      </c>
      <c r="B1235" t="s">
        <v>5068</v>
      </c>
      <c r="C1235" t="s">
        <v>5069</v>
      </c>
      <c r="D1235" t="s">
        <v>5070</v>
      </c>
      <c r="E1235" t="s">
        <v>16</v>
      </c>
      <c r="F1235" s="2">
        <v>0.625</v>
      </c>
      <c r="G1235" s="2">
        <v>0.625</v>
      </c>
    </row>
    <row r="1236" spans="1:33" x14ac:dyDescent="0.3">
      <c r="A1236" t="s">
        <v>736</v>
      </c>
      <c r="B1236" t="s">
        <v>5071</v>
      </c>
      <c r="C1236" t="s">
        <v>5072</v>
      </c>
      <c r="D1236" t="s">
        <v>5073</v>
      </c>
      <c r="E1236" t="s">
        <v>16</v>
      </c>
      <c r="F1236" s="2">
        <v>0.61805555555555558</v>
      </c>
      <c r="G1236" s="2">
        <v>0.61805555555555558</v>
      </c>
    </row>
    <row r="1237" spans="1:33" x14ac:dyDescent="0.3">
      <c r="A1237" t="s">
        <v>736</v>
      </c>
      <c r="B1237" t="s">
        <v>5074</v>
      </c>
      <c r="C1237" t="s">
        <v>5075</v>
      </c>
      <c r="D1237" t="s">
        <v>5076</v>
      </c>
      <c r="E1237" t="s">
        <v>16</v>
      </c>
      <c r="F1237" t="s">
        <v>1358</v>
      </c>
      <c r="G1237" s="2">
        <v>0.61111111111111105</v>
      </c>
      <c r="H1237" t="s">
        <v>1200</v>
      </c>
      <c r="I1237" t="s">
        <v>1201</v>
      </c>
      <c r="M1237" t="s">
        <v>1292</v>
      </c>
      <c r="X1237" t="s">
        <v>1100</v>
      </c>
      <c r="Y1237">
        <v>4</v>
      </c>
      <c r="Z1237" t="s">
        <v>2403</v>
      </c>
      <c r="AB1237" t="s">
        <v>498</v>
      </c>
      <c r="AC1237">
        <v>6</v>
      </c>
      <c r="AD1237" t="s">
        <v>1228</v>
      </c>
      <c r="AE1237" t="s">
        <v>525</v>
      </c>
      <c r="AF1237">
        <v>8</v>
      </c>
      <c r="AG1237" t="s">
        <v>1203</v>
      </c>
    </row>
    <row r="1238" spans="1:33" x14ac:dyDescent="0.3">
      <c r="A1238" t="s">
        <v>736</v>
      </c>
      <c r="B1238" t="s">
        <v>5077</v>
      </c>
      <c r="C1238" t="s">
        <v>5078</v>
      </c>
      <c r="D1238" t="s">
        <v>5079</v>
      </c>
      <c r="E1238" t="s">
        <v>16</v>
      </c>
      <c r="F1238" t="s">
        <v>1362</v>
      </c>
      <c r="G1238" s="2">
        <v>0.60416666666666663</v>
      </c>
      <c r="H1238" t="s">
        <v>1200</v>
      </c>
      <c r="I1238" t="s">
        <v>1201</v>
      </c>
      <c r="K1238" t="s">
        <v>1250</v>
      </c>
      <c r="X1238" t="s">
        <v>1100</v>
      </c>
      <c r="Y1238">
        <v>1</v>
      </c>
      <c r="Z1238" t="s">
        <v>2516</v>
      </c>
      <c r="AB1238" t="s">
        <v>546</v>
      </c>
      <c r="AC1238">
        <v>5</v>
      </c>
      <c r="AD1238" t="s">
        <v>1266</v>
      </c>
      <c r="AE1238" t="s">
        <v>1100</v>
      </c>
      <c r="AF1238">
        <v>6</v>
      </c>
      <c r="AG1238" t="s">
        <v>1266</v>
      </c>
    </row>
    <row r="1239" spans="1:33" x14ac:dyDescent="0.3">
      <c r="A1239" t="s">
        <v>740</v>
      </c>
      <c r="B1239" t="s">
        <v>5080</v>
      </c>
      <c r="C1239" t="s">
        <v>5081</v>
      </c>
      <c r="D1239" t="s">
        <v>5082</v>
      </c>
      <c r="E1239" t="s">
        <v>16</v>
      </c>
      <c r="F1239" t="s">
        <v>1215</v>
      </c>
      <c r="G1239" s="2">
        <v>0.5625</v>
      </c>
      <c r="H1239" t="s">
        <v>1200</v>
      </c>
      <c r="I1239" t="s">
        <v>1201</v>
      </c>
      <c r="K1239" t="s">
        <v>1250</v>
      </c>
      <c r="R1239" t="s">
        <v>1223</v>
      </c>
      <c r="X1239" t="s">
        <v>546</v>
      </c>
      <c r="Y1239">
        <v>9</v>
      </c>
      <c r="Z1239" t="s">
        <v>1228</v>
      </c>
      <c r="AB1239" t="s">
        <v>1100</v>
      </c>
      <c r="AC1239">
        <v>9</v>
      </c>
      <c r="AD1239" t="s">
        <v>1228</v>
      </c>
      <c r="AE1239" t="s">
        <v>525</v>
      </c>
      <c r="AF1239">
        <v>12</v>
      </c>
      <c r="AG1239" t="s">
        <v>1266</v>
      </c>
    </row>
    <row r="1240" spans="1:33" x14ac:dyDescent="0.3">
      <c r="A1240" t="s">
        <v>740</v>
      </c>
      <c r="B1240" t="s">
        <v>5083</v>
      </c>
      <c r="C1240" t="s">
        <v>5084</v>
      </c>
      <c r="D1240" t="s">
        <v>5085</v>
      </c>
      <c r="E1240" t="s">
        <v>16</v>
      </c>
      <c r="F1240" t="s">
        <v>1221</v>
      </c>
      <c r="G1240" s="2">
        <v>0.55555555555555558</v>
      </c>
      <c r="H1240" t="s">
        <v>1200</v>
      </c>
      <c r="I1240" t="s">
        <v>1201</v>
      </c>
      <c r="K1240" t="s">
        <v>1250</v>
      </c>
      <c r="X1240" t="s">
        <v>752</v>
      </c>
      <c r="Y1240">
        <v>12</v>
      </c>
      <c r="Z1240" t="s">
        <v>1228</v>
      </c>
      <c r="AB1240" t="s">
        <v>546</v>
      </c>
      <c r="AC1240">
        <v>13</v>
      </c>
      <c r="AD1240" t="s">
        <v>1228</v>
      </c>
      <c r="AE1240" t="s">
        <v>1100</v>
      </c>
      <c r="AF1240">
        <v>13</v>
      </c>
      <c r="AG1240" t="s">
        <v>1228</v>
      </c>
    </row>
    <row r="1241" spans="1:33" x14ac:dyDescent="0.3">
      <c r="A1241" t="s">
        <v>740</v>
      </c>
      <c r="B1241" t="s">
        <v>5086</v>
      </c>
      <c r="C1241" t="s">
        <v>5087</v>
      </c>
      <c r="D1241" t="s">
        <v>5088</v>
      </c>
      <c r="E1241" t="s">
        <v>16</v>
      </c>
      <c r="F1241" t="s">
        <v>1232</v>
      </c>
      <c r="G1241" s="2">
        <v>0.54861111111111105</v>
      </c>
      <c r="H1241" t="s">
        <v>1200</v>
      </c>
      <c r="I1241" t="s">
        <v>1201</v>
      </c>
      <c r="L1241" t="s">
        <v>1222</v>
      </c>
      <c r="X1241" t="s">
        <v>1100</v>
      </c>
      <c r="Y1241">
        <v>8</v>
      </c>
      <c r="Z1241" t="s">
        <v>1228</v>
      </c>
      <c r="AB1241" t="s">
        <v>752</v>
      </c>
      <c r="AC1241">
        <v>8</v>
      </c>
      <c r="AD1241" t="s">
        <v>1228</v>
      </c>
      <c r="AE1241" t="s">
        <v>546</v>
      </c>
      <c r="AF1241">
        <v>8</v>
      </c>
      <c r="AG1241" t="s">
        <v>1228</v>
      </c>
    </row>
    <row r="1242" spans="1:33" x14ac:dyDescent="0.3">
      <c r="A1242" t="s">
        <v>740</v>
      </c>
      <c r="B1242" t="s">
        <v>5089</v>
      </c>
      <c r="C1242" t="s">
        <v>5090</v>
      </c>
      <c r="D1242" t="s">
        <v>5091</v>
      </c>
      <c r="E1242" t="s">
        <v>16</v>
      </c>
      <c r="F1242" t="s">
        <v>1236</v>
      </c>
      <c r="G1242" s="2">
        <v>0.54166666666666663</v>
      </c>
      <c r="H1242" t="s">
        <v>1200</v>
      </c>
      <c r="I1242" t="s">
        <v>1201</v>
      </c>
      <c r="K1242" t="s">
        <v>1250</v>
      </c>
      <c r="X1242" t="s">
        <v>752</v>
      </c>
      <c r="Y1242">
        <v>7</v>
      </c>
      <c r="Z1242" t="s">
        <v>1228</v>
      </c>
      <c r="AB1242" t="s">
        <v>546</v>
      </c>
      <c r="AC1242">
        <v>7</v>
      </c>
      <c r="AD1242" t="s">
        <v>1228</v>
      </c>
      <c r="AE1242" t="s">
        <v>1100</v>
      </c>
      <c r="AF1242">
        <v>7</v>
      </c>
      <c r="AG1242" t="s">
        <v>1496</v>
      </c>
    </row>
    <row r="1243" spans="1:33" x14ac:dyDescent="0.3">
      <c r="A1243" t="s">
        <v>740</v>
      </c>
      <c r="B1243" t="s">
        <v>5092</v>
      </c>
      <c r="C1243" t="s">
        <v>5093</v>
      </c>
      <c r="D1243" t="s">
        <v>5094</v>
      </c>
      <c r="E1243" t="s">
        <v>16</v>
      </c>
      <c r="F1243" t="s">
        <v>1240</v>
      </c>
      <c r="G1243" s="2">
        <v>0.53472222222222221</v>
      </c>
      <c r="H1243" t="s">
        <v>1200</v>
      </c>
      <c r="I1243" t="s">
        <v>1201</v>
      </c>
      <c r="K1243" t="s">
        <v>1250</v>
      </c>
      <c r="X1243" t="s">
        <v>1100</v>
      </c>
      <c r="Y1243">
        <v>2</v>
      </c>
      <c r="Z1243" t="s">
        <v>1717</v>
      </c>
      <c r="AB1243" t="s">
        <v>752</v>
      </c>
      <c r="AC1243">
        <v>5</v>
      </c>
      <c r="AD1243" t="s">
        <v>1228</v>
      </c>
      <c r="AE1243" t="s">
        <v>546</v>
      </c>
      <c r="AF1243">
        <v>5</v>
      </c>
      <c r="AG1243" t="s">
        <v>1228</v>
      </c>
    </row>
    <row r="1244" spans="1:33" x14ac:dyDescent="0.3">
      <c r="A1244" t="s">
        <v>745</v>
      </c>
      <c r="B1244" t="s">
        <v>5095</v>
      </c>
      <c r="C1244" t="s">
        <v>5096</v>
      </c>
      <c r="D1244" t="s">
        <v>5097</v>
      </c>
      <c r="E1244" t="s">
        <v>16</v>
      </c>
      <c r="F1244" t="s">
        <v>1240</v>
      </c>
      <c r="G1244" s="2">
        <v>0.53472222222222221</v>
      </c>
      <c r="H1244" t="s">
        <v>1200</v>
      </c>
      <c r="I1244" t="s">
        <v>1201</v>
      </c>
      <c r="L1244" t="s">
        <v>1255</v>
      </c>
      <c r="R1244" t="s">
        <v>1223</v>
      </c>
      <c r="X1244" t="s">
        <v>498</v>
      </c>
      <c r="Y1244">
        <v>3</v>
      </c>
      <c r="Z1244" t="s">
        <v>1228</v>
      </c>
      <c r="AB1244" t="s">
        <v>546</v>
      </c>
      <c r="AC1244">
        <v>5</v>
      </c>
      <c r="AD1244" t="s">
        <v>1717</v>
      </c>
      <c r="AE1244" t="s">
        <v>1100</v>
      </c>
      <c r="AF1244">
        <v>5</v>
      </c>
      <c r="AG1244" t="s">
        <v>1203</v>
      </c>
    </row>
    <row r="1245" spans="1:33" x14ac:dyDescent="0.3">
      <c r="A1245" t="s">
        <v>745</v>
      </c>
      <c r="B1245" t="s">
        <v>5098</v>
      </c>
      <c r="C1245" t="s">
        <v>5099</v>
      </c>
      <c r="D1245" t="s">
        <v>5100</v>
      </c>
      <c r="E1245" t="s">
        <v>16</v>
      </c>
      <c r="F1245" t="s">
        <v>1244</v>
      </c>
      <c r="G1245" s="2">
        <v>0.52777777777777779</v>
      </c>
      <c r="H1245" t="s">
        <v>1200</v>
      </c>
      <c r="I1245" t="s">
        <v>1201</v>
      </c>
      <c r="L1245" t="s">
        <v>1202</v>
      </c>
      <c r="R1245" t="s">
        <v>1223</v>
      </c>
      <c r="X1245" t="s">
        <v>546</v>
      </c>
      <c r="Y1245">
        <v>5</v>
      </c>
      <c r="Z1245" t="s">
        <v>1203</v>
      </c>
      <c r="AB1245" t="s">
        <v>1100</v>
      </c>
      <c r="AC1245">
        <v>6</v>
      </c>
      <c r="AD1245" t="s">
        <v>1203</v>
      </c>
      <c r="AE1245" t="s">
        <v>498</v>
      </c>
      <c r="AF1245">
        <v>5</v>
      </c>
      <c r="AG1245" t="s">
        <v>1717</v>
      </c>
    </row>
    <row r="1246" spans="1:33" x14ac:dyDescent="0.3">
      <c r="A1246" t="s">
        <v>745</v>
      </c>
      <c r="B1246" t="s">
        <v>5101</v>
      </c>
      <c r="C1246" t="s">
        <v>5102</v>
      </c>
      <c r="D1246" t="s">
        <v>5103</v>
      </c>
      <c r="E1246" t="s">
        <v>16</v>
      </c>
      <c r="F1246" t="s">
        <v>1249</v>
      </c>
      <c r="G1246" s="2">
        <v>0.52083333333333337</v>
      </c>
      <c r="H1246" t="s">
        <v>1200</v>
      </c>
      <c r="I1246" t="s">
        <v>1201</v>
      </c>
      <c r="L1246" t="s">
        <v>1255</v>
      </c>
      <c r="X1246" t="s">
        <v>752</v>
      </c>
      <c r="Y1246">
        <v>4</v>
      </c>
      <c r="Z1246" t="s">
        <v>2403</v>
      </c>
      <c r="AB1246" t="s">
        <v>1100</v>
      </c>
      <c r="AC1246">
        <v>6</v>
      </c>
      <c r="AD1246" t="s">
        <v>1266</v>
      </c>
      <c r="AE1246" t="s">
        <v>498</v>
      </c>
      <c r="AF1246">
        <v>6</v>
      </c>
      <c r="AG1246" t="s">
        <v>1717</v>
      </c>
    </row>
    <row r="1247" spans="1:33" x14ac:dyDescent="0.3">
      <c r="A1247" t="s">
        <v>745</v>
      </c>
      <c r="B1247" t="s">
        <v>5104</v>
      </c>
      <c r="C1247" t="s">
        <v>5105</v>
      </c>
      <c r="D1247" t="s">
        <v>5106</v>
      </c>
      <c r="E1247" t="s">
        <v>16</v>
      </c>
      <c r="F1247" t="s">
        <v>1406</v>
      </c>
      <c r="G1247" s="2">
        <v>0.51388888888888895</v>
      </c>
      <c r="H1247" t="s">
        <v>1200</v>
      </c>
      <c r="I1247" t="s">
        <v>1201</v>
      </c>
      <c r="L1247" t="s">
        <v>1222</v>
      </c>
      <c r="R1247" t="s">
        <v>1223</v>
      </c>
      <c r="S1247" t="s">
        <v>1224</v>
      </c>
      <c r="T1247" t="s">
        <v>1676</v>
      </c>
      <c r="V1247" t="s">
        <v>1226</v>
      </c>
      <c r="W1247" t="s">
        <v>1227</v>
      </c>
      <c r="X1247" t="s">
        <v>546</v>
      </c>
      <c r="Y1247">
        <v>4</v>
      </c>
      <c r="Z1247" t="s">
        <v>1228</v>
      </c>
      <c r="AB1247" t="s">
        <v>1100</v>
      </c>
      <c r="AC1247">
        <v>6</v>
      </c>
      <c r="AD1247" t="s">
        <v>1245</v>
      </c>
      <c r="AE1247" t="s">
        <v>498</v>
      </c>
      <c r="AF1247">
        <v>7</v>
      </c>
      <c r="AG1247" t="s">
        <v>1717</v>
      </c>
    </row>
    <row r="1248" spans="1:33" x14ac:dyDescent="0.3">
      <c r="A1248" t="s">
        <v>745</v>
      </c>
      <c r="B1248" t="s">
        <v>5107</v>
      </c>
      <c r="C1248" t="s">
        <v>5108</v>
      </c>
      <c r="D1248" t="s">
        <v>5109</v>
      </c>
      <c r="E1248" t="s">
        <v>16</v>
      </c>
      <c r="F1248" t="s">
        <v>1254</v>
      </c>
      <c r="G1248" s="2">
        <v>0.50694444444444442</v>
      </c>
      <c r="H1248" t="s">
        <v>1200</v>
      </c>
      <c r="I1248" t="s">
        <v>1201</v>
      </c>
      <c r="K1248" t="s">
        <v>1250</v>
      </c>
      <c r="R1248" t="s">
        <v>1223</v>
      </c>
      <c r="X1248" t="s">
        <v>752</v>
      </c>
      <c r="Y1248">
        <v>4</v>
      </c>
      <c r="Z1248" t="s">
        <v>1245</v>
      </c>
      <c r="AB1248" t="s">
        <v>1100</v>
      </c>
      <c r="AC1248">
        <v>7</v>
      </c>
      <c r="AD1248" t="s">
        <v>1266</v>
      </c>
      <c r="AE1248" t="s">
        <v>546</v>
      </c>
      <c r="AF1248">
        <v>8</v>
      </c>
      <c r="AG1248" t="s">
        <v>2403</v>
      </c>
    </row>
    <row r="1249" spans="1:33" x14ac:dyDescent="0.3">
      <c r="A1249" t="s">
        <v>745</v>
      </c>
      <c r="B1249" t="s">
        <v>5110</v>
      </c>
      <c r="C1249" t="s">
        <v>5111</v>
      </c>
      <c r="D1249" t="s">
        <v>5112</v>
      </c>
      <c r="E1249" t="s">
        <v>16</v>
      </c>
      <c r="F1249" t="s">
        <v>1259</v>
      </c>
      <c r="G1249" s="2">
        <v>0.5</v>
      </c>
      <c r="H1249" t="s">
        <v>1200</v>
      </c>
      <c r="I1249" t="s">
        <v>1201</v>
      </c>
      <c r="K1249" t="s">
        <v>1250</v>
      </c>
      <c r="R1249" t="s">
        <v>1223</v>
      </c>
      <c r="X1249" t="s">
        <v>752</v>
      </c>
      <c r="Y1249">
        <v>5</v>
      </c>
      <c r="Z1249" t="s">
        <v>2609</v>
      </c>
      <c r="AB1249" t="s">
        <v>498</v>
      </c>
      <c r="AC1249">
        <v>7</v>
      </c>
      <c r="AD1249" t="s">
        <v>1717</v>
      </c>
      <c r="AE1249" t="s">
        <v>1100</v>
      </c>
      <c r="AF1249">
        <v>9</v>
      </c>
      <c r="AG1249" t="s">
        <v>1203</v>
      </c>
    </row>
    <row r="1250" spans="1:33" x14ac:dyDescent="0.3">
      <c r="A1250" t="s">
        <v>745</v>
      </c>
      <c r="B1250" t="s">
        <v>5113</v>
      </c>
      <c r="C1250" t="s">
        <v>5114</v>
      </c>
      <c r="D1250" t="s">
        <v>5115</v>
      </c>
      <c r="E1250" t="s">
        <v>16</v>
      </c>
      <c r="F1250" t="s">
        <v>1265</v>
      </c>
      <c r="G1250" s="2">
        <v>0.49305555555555558</v>
      </c>
      <c r="H1250" t="s">
        <v>1200</v>
      </c>
      <c r="I1250" t="s">
        <v>1201</v>
      </c>
      <c r="K1250" t="s">
        <v>1250</v>
      </c>
      <c r="R1250" t="s">
        <v>1223</v>
      </c>
      <c r="X1250" t="s">
        <v>498</v>
      </c>
      <c r="Y1250">
        <v>6</v>
      </c>
      <c r="Z1250" t="s">
        <v>1717</v>
      </c>
      <c r="AB1250" t="s">
        <v>546</v>
      </c>
      <c r="AC1250">
        <v>8</v>
      </c>
      <c r="AD1250" t="s">
        <v>1203</v>
      </c>
      <c r="AE1250" t="s">
        <v>1100</v>
      </c>
      <c r="AF1250">
        <v>7</v>
      </c>
      <c r="AG1250" t="s">
        <v>1217</v>
      </c>
    </row>
    <row r="1251" spans="1:33" x14ac:dyDescent="0.3">
      <c r="A1251" t="s">
        <v>745</v>
      </c>
      <c r="B1251" t="s">
        <v>5116</v>
      </c>
      <c r="C1251" t="s">
        <v>5117</v>
      </c>
      <c r="D1251" t="s">
        <v>5118</v>
      </c>
      <c r="E1251" t="s">
        <v>16</v>
      </c>
      <c r="F1251" t="s">
        <v>1270</v>
      </c>
      <c r="G1251" s="2">
        <v>0.4861111111111111</v>
      </c>
      <c r="H1251" t="s">
        <v>1200</v>
      </c>
      <c r="I1251" t="s">
        <v>1201</v>
      </c>
      <c r="L1251" t="s">
        <v>1255</v>
      </c>
      <c r="R1251" t="s">
        <v>1223</v>
      </c>
      <c r="X1251" t="s">
        <v>498</v>
      </c>
      <c r="Y1251">
        <v>6</v>
      </c>
      <c r="Z1251" t="s">
        <v>1717</v>
      </c>
      <c r="AB1251" t="s">
        <v>546</v>
      </c>
      <c r="AC1251">
        <v>6</v>
      </c>
      <c r="AD1251" t="s">
        <v>2390</v>
      </c>
      <c r="AE1251" t="s">
        <v>1100</v>
      </c>
      <c r="AF1251">
        <v>7</v>
      </c>
      <c r="AG1251" t="s">
        <v>1491</v>
      </c>
    </row>
    <row r="1252" spans="1:33" x14ac:dyDescent="0.3">
      <c r="A1252" t="s">
        <v>745</v>
      </c>
      <c r="B1252" t="s">
        <v>5119</v>
      </c>
      <c r="C1252" t="s">
        <v>5120</v>
      </c>
      <c r="D1252" t="s">
        <v>5121</v>
      </c>
      <c r="E1252" t="s">
        <v>16</v>
      </c>
      <c r="F1252" t="s">
        <v>1274</v>
      </c>
      <c r="G1252" s="2">
        <v>0.47916666666666669</v>
      </c>
      <c r="H1252" t="s">
        <v>1200</v>
      </c>
      <c r="I1252" t="s">
        <v>1201</v>
      </c>
      <c r="L1252" t="s">
        <v>1255</v>
      </c>
      <c r="X1252" t="s">
        <v>546</v>
      </c>
      <c r="Y1252">
        <v>5</v>
      </c>
      <c r="Z1252" t="s">
        <v>1228</v>
      </c>
      <c r="AB1252" t="s">
        <v>1100</v>
      </c>
      <c r="AC1252">
        <v>5</v>
      </c>
      <c r="AD1252" t="s">
        <v>1203</v>
      </c>
      <c r="AE1252" t="s">
        <v>498</v>
      </c>
      <c r="AF1252">
        <v>8</v>
      </c>
      <c r="AG1252" t="s">
        <v>1266</v>
      </c>
    </row>
    <row r="1253" spans="1:33" x14ac:dyDescent="0.3">
      <c r="A1253" t="s">
        <v>745</v>
      </c>
      <c r="B1253" t="s">
        <v>5122</v>
      </c>
      <c r="C1253" t="s">
        <v>5123</v>
      </c>
      <c r="D1253" t="s">
        <v>5124</v>
      </c>
      <c r="E1253" t="s">
        <v>16</v>
      </c>
      <c r="F1253" t="s">
        <v>1278</v>
      </c>
      <c r="G1253" s="2">
        <v>0.47222222222222227</v>
      </c>
      <c r="H1253" t="s">
        <v>1200</v>
      </c>
      <c r="I1253" t="s">
        <v>1201</v>
      </c>
      <c r="K1253" t="s">
        <v>1250</v>
      </c>
      <c r="R1253" t="s">
        <v>1223</v>
      </c>
      <c r="S1253" t="s">
        <v>364</v>
      </c>
      <c r="T1253" t="s">
        <v>1676</v>
      </c>
      <c r="X1253" t="s">
        <v>546</v>
      </c>
      <c r="Y1253">
        <v>5</v>
      </c>
      <c r="Z1253" t="s">
        <v>2403</v>
      </c>
      <c r="AB1253" t="s">
        <v>1100</v>
      </c>
      <c r="AC1253">
        <v>4</v>
      </c>
      <c r="AD1253" t="s">
        <v>1203</v>
      </c>
      <c r="AE1253" t="s">
        <v>498</v>
      </c>
      <c r="AF1253">
        <v>10</v>
      </c>
      <c r="AG1253" t="s">
        <v>1717</v>
      </c>
    </row>
    <row r="1254" spans="1:33" x14ac:dyDescent="0.3">
      <c r="A1254" t="s">
        <v>745</v>
      </c>
      <c r="B1254" t="s">
        <v>5125</v>
      </c>
      <c r="C1254" t="s">
        <v>5126</v>
      </c>
      <c r="D1254" t="s">
        <v>5127</v>
      </c>
      <c r="E1254" t="s">
        <v>16</v>
      </c>
      <c r="F1254" t="s">
        <v>1282</v>
      </c>
      <c r="G1254" s="2">
        <v>0.46527777777777773</v>
      </c>
      <c r="I1254" t="s">
        <v>1201</v>
      </c>
      <c r="L1254" t="s">
        <v>1255</v>
      </c>
      <c r="R1254" t="s">
        <v>1223</v>
      </c>
      <c r="S1254" t="s">
        <v>364</v>
      </c>
      <c r="T1254" t="s">
        <v>1676</v>
      </c>
      <c r="X1254" t="s">
        <v>1100</v>
      </c>
      <c r="Y1254">
        <v>3</v>
      </c>
      <c r="Z1254" t="s">
        <v>1228</v>
      </c>
      <c r="AB1254" t="s">
        <v>546</v>
      </c>
      <c r="AC1254">
        <v>5</v>
      </c>
      <c r="AD1254" t="s">
        <v>1228</v>
      </c>
      <c r="AE1254" t="s">
        <v>498</v>
      </c>
      <c r="AF1254">
        <v>10</v>
      </c>
      <c r="AG1254" t="s">
        <v>1717</v>
      </c>
    </row>
    <row r="1255" spans="1:33" x14ac:dyDescent="0.3">
      <c r="A1255" t="s">
        <v>745</v>
      </c>
      <c r="B1255" t="s">
        <v>5128</v>
      </c>
      <c r="C1255" t="s">
        <v>5129</v>
      </c>
      <c r="D1255" t="s">
        <v>5130</v>
      </c>
      <c r="E1255" t="s">
        <v>16</v>
      </c>
      <c r="F1255" t="s">
        <v>1287</v>
      </c>
      <c r="G1255" s="2">
        <v>0.45833333333333331</v>
      </c>
      <c r="H1255" t="s">
        <v>1200</v>
      </c>
      <c r="I1255" t="s">
        <v>1201</v>
      </c>
      <c r="L1255" t="s">
        <v>1202</v>
      </c>
      <c r="X1255" t="s">
        <v>546</v>
      </c>
      <c r="Y1255">
        <v>5</v>
      </c>
      <c r="Z1255" t="s">
        <v>1203</v>
      </c>
      <c r="AB1255" t="s">
        <v>1100</v>
      </c>
      <c r="AC1255">
        <v>5</v>
      </c>
      <c r="AD1255" t="s">
        <v>1203</v>
      </c>
    </row>
    <row r="1256" spans="1:33" x14ac:dyDescent="0.3">
      <c r="A1256" t="s">
        <v>745</v>
      </c>
      <c r="B1256" t="s">
        <v>5131</v>
      </c>
      <c r="C1256" t="s">
        <v>5132</v>
      </c>
      <c r="D1256" t="s">
        <v>5133</v>
      </c>
      <c r="E1256" t="s">
        <v>16</v>
      </c>
      <c r="F1256" t="s">
        <v>1291</v>
      </c>
      <c r="G1256" s="2">
        <v>0.4513888888888889</v>
      </c>
      <c r="H1256" t="s">
        <v>1200</v>
      </c>
      <c r="I1256" t="s">
        <v>1201</v>
      </c>
      <c r="L1256" t="s">
        <v>1255</v>
      </c>
      <c r="S1256" t="s">
        <v>364</v>
      </c>
      <c r="T1256" t="s">
        <v>1676</v>
      </c>
      <c r="X1256" t="s">
        <v>1100</v>
      </c>
      <c r="Y1256">
        <v>4</v>
      </c>
      <c r="Z1256" t="s">
        <v>1203</v>
      </c>
      <c r="AB1256" t="s">
        <v>546</v>
      </c>
      <c r="AC1256">
        <v>6</v>
      </c>
      <c r="AD1256" t="s">
        <v>1203</v>
      </c>
      <c r="AE1256" t="s">
        <v>498</v>
      </c>
      <c r="AF1256">
        <v>10</v>
      </c>
      <c r="AG1256" t="s">
        <v>1717</v>
      </c>
    </row>
    <row r="1257" spans="1:33" x14ac:dyDescent="0.3">
      <c r="A1257" t="s">
        <v>745</v>
      </c>
      <c r="B1257" t="s">
        <v>5134</v>
      </c>
      <c r="C1257" t="s">
        <v>5135</v>
      </c>
      <c r="D1257" t="s">
        <v>5136</v>
      </c>
      <c r="E1257" t="s">
        <v>16</v>
      </c>
      <c r="F1257" t="s">
        <v>1296</v>
      </c>
      <c r="G1257" s="2">
        <v>0.44444444444444442</v>
      </c>
      <c r="H1257" t="s">
        <v>1200</v>
      </c>
      <c r="I1257" t="s">
        <v>1201</v>
      </c>
      <c r="L1257" t="s">
        <v>1202</v>
      </c>
      <c r="X1257" t="s">
        <v>525</v>
      </c>
      <c r="Y1257">
        <v>5</v>
      </c>
      <c r="Z1257" t="s">
        <v>1203</v>
      </c>
      <c r="AB1257" t="s">
        <v>1100</v>
      </c>
      <c r="AC1257">
        <v>5</v>
      </c>
      <c r="AD1257" t="s">
        <v>1203</v>
      </c>
    </row>
    <row r="1258" spans="1:33" x14ac:dyDescent="0.3">
      <c r="A1258" t="s">
        <v>745</v>
      </c>
      <c r="B1258" t="s">
        <v>5137</v>
      </c>
      <c r="C1258" t="s">
        <v>5138</v>
      </c>
      <c r="D1258" t="s">
        <v>5139</v>
      </c>
      <c r="E1258" t="s">
        <v>16</v>
      </c>
      <c r="F1258" t="s">
        <v>1300</v>
      </c>
      <c r="G1258" s="2">
        <v>0.4375</v>
      </c>
      <c r="H1258" t="s">
        <v>1200</v>
      </c>
      <c r="I1258" t="s">
        <v>1201</v>
      </c>
      <c r="L1258" t="s">
        <v>1202</v>
      </c>
      <c r="X1258" t="s">
        <v>1100</v>
      </c>
      <c r="Y1258">
        <v>5</v>
      </c>
      <c r="Z1258" t="s">
        <v>1396</v>
      </c>
      <c r="AB1258" t="s">
        <v>546</v>
      </c>
      <c r="AC1258">
        <v>5</v>
      </c>
      <c r="AD1258" t="s">
        <v>1396</v>
      </c>
    </row>
    <row r="1259" spans="1:33" x14ac:dyDescent="0.3">
      <c r="A1259" t="s">
        <v>745</v>
      </c>
      <c r="B1259" t="s">
        <v>5140</v>
      </c>
      <c r="C1259" t="s">
        <v>5141</v>
      </c>
      <c r="D1259" t="s">
        <v>5142</v>
      </c>
      <c r="E1259" t="s">
        <v>16</v>
      </c>
      <c r="F1259" t="s">
        <v>1443</v>
      </c>
      <c r="G1259" s="2">
        <v>0.43055555555555558</v>
      </c>
      <c r="H1259" t="s">
        <v>1200</v>
      </c>
      <c r="I1259" t="s">
        <v>1201</v>
      </c>
      <c r="L1259" t="s">
        <v>1202</v>
      </c>
      <c r="X1259" t="s">
        <v>1100</v>
      </c>
      <c r="Y1259">
        <v>5</v>
      </c>
      <c r="Z1259" t="s">
        <v>1203</v>
      </c>
      <c r="AB1259" t="s">
        <v>546</v>
      </c>
      <c r="AC1259">
        <v>5</v>
      </c>
      <c r="AD1259" t="s">
        <v>1228</v>
      </c>
    </row>
    <row r="1260" spans="1:33" x14ac:dyDescent="0.3">
      <c r="A1260" t="s">
        <v>745</v>
      </c>
      <c r="B1260" s="3" t="s">
        <v>5143</v>
      </c>
      <c r="C1260" t="s">
        <v>5144</v>
      </c>
      <c r="D1260" t="s">
        <v>5145</v>
      </c>
      <c r="E1260" t="s">
        <v>16</v>
      </c>
      <c r="F1260" t="s">
        <v>1447</v>
      </c>
      <c r="G1260" s="2">
        <v>0.4236111111111111</v>
      </c>
      <c r="H1260" t="s">
        <v>1200</v>
      </c>
      <c r="I1260" t="s">
        <v>1201</v>
      </c>
      <c r="L1260" t="s">
        <v>1202</v>
      </c>
      <c r="X1260" t="s">
        <v>546</v>
      </c>
      <c r="Y1260">
        <v>6</v>
      </c>
      <c r="Z1260" t="s">
        <v>1203</v>
      </c>
      <c r="AB1260" t="s">
        <v>1100</v>
      </c>
      <c r="AC1260">
        <v>6</v>
      </c>
      <c r="AD1260" t="s">
        <v>1203</v>
      </c>
    </row>
    <row r="1261" spans="1:33" x14ac:dyDescent="0.3">
      <c r="A1261" t="s">
        <v>745</v>
      </c>
      <c r="B1261" t="s">
        <v>5146</v>
      </c>
      <c r="C1261" t="s">
        <v>5147</v>
      </c>
      <c r="D1261" t="s">
        <v>5148</v>
      </c>
      <c r="E1261" t="s">
        <v>16</v>
      </c>
      <c r="F1261" t="s">
        <v>1451</v>
      </c>
      <c r="G1261" s="2">
        <v>0.41666666666666669</v>
      </c>
      <c r="H1261" t="s">
        <v>1200</v>
      </c>
      <c r="I1261" t="s">
        <v>1201</v>
      </c>
      <c r="L1261" t="s">
        <v>1202</v>
      </c>
      <c r="X1261" t="s">
        <v>1100</v>
      </c>
      <c r="Y1261">
        <v>5</v>
      </c>
      <c r="Z1261" t="s">
        <v>1203</v>
      </c>
      <c r="AB1261" t="s">
        <v>546</v>
      </c>
      <c r="AC1261">
        <v>6</v>
      </c>
      <c r="AD1261" t="s">
        <v>1203</v>
      </c>
    </row>
    <row r="1262" spans="1:33" x14ac:dyDescent="0.3">
      <c r="A1262" t="s">
        <v>745</v>
      </c>
      <c r="B1262" t="s">
        <v>5149</v>
      </c>
      <c r="C1262" t="s">
        <v>5150</v>
      </c>
      <c r="D1262" t="s">
        <v>5151</v>
      </c>
      <c r="E1262" t="s">
        <v>16</v>
      </c>
      <c r="F1262" t="s">
        <v>1455</v>
      </c>
      <c r="G1262" s="2">
        <v>0.40972222222222227</v>
      </c>
      <c r="H1262" t="s">
        <v>1200</v>
      </c>
      <c r="I1262" t="s">
        <v>1201</v>
      </c>
      <c r="L1262" t="s">
        <v>1255</v>
      </c>
      <c r="X1262" t="s">
        <v>1100</v>
      </c>
      <c r="Y1262">
        <v>5</v>
      </c>
      <c r="Z1262" t="s">
        <v>1203</v>
      </c>
      <c r="AB1262" t="s">
        <v>525</v>
      </c>
      <c r="AC1262">
        <v>6</v>
      </c>
    </row>
    <row r="1263" spans="1:33" x14ac:dyDescent="0.3">
      <c r="A1263" t="s">
        <v>745</v>
      </c>
      <c r="B1263" t="s">
        <v>5152</v>
      </c>
      <c r="C1263" t="s">
        <v>5153</v>
      </c>
      <c r="D1263" t="s">
        <v>5154</v>
      </c>
      <c r="E1263" t="s">
        <v>16</v>
      </c>
      <c r="F1263" t="s">
        <v>1459</v>
      </c>
      <c r="G1263" s="2">
        <v>0.40277777777777773</v>
      </c>
      <c r="H1263" t="s">
        <v>1200</v>
      </c>
      <c r="I1263" t="s">
        <v>1201</v>
      </c>
      <c r="L1263" t="s">
        <v>1255</v>
      </c>
      <c r="X1263" t="s">
        <v>1100</v>
      </c>
      <c r="Y1263">
        <v>7</v>
      </c>
      <c r="Z1263" t="s">
        <v>1203</v>
      </c>
      <c r="AB1263" t="s">
        <v>525</v>
      </c>
      <c r="AC1263">
        <v>7</v>
      </c>
      <c r="AD1263" t="s">
        <v>1203</v>
      </c>
    </row>
    <row r="1264" spans="1:33" x14ac:dyDescent="0.3">
      <c r="A1264" t="s">
        <v>753</v>
      </c>
      <c r="B1264" t="s">
        <v>5155</v>
      </c>
      <c r="C1264" t="s">
        <v>5156</v>
      </c>
      <c r="D1264" t="s">
        <v>5157</v>
      </c>
      <c r="E1264" t="s">
        <v>16</v>
      </c>
      <c r="F1264" t="s">
        <v>1304</v>
      </c>
      <c r="G1264" s="2">
        <v>0.70833333333333337</v>
      </c>
      <c r="H1264" t="s">
        <v>1200</v>
      </c>
      <c r="I1264" t="s">
        <v>1201</v>
      </c>
      <c r="L1264" t="s">
        <v>1202</v>
      </c>
      <c r="R1264" t="s">
        <v>1223</v>
      </c>
      <c r="X1264" t="s">
        <v>546</v>
      </c>
      <c r="Y1264">
        <v>5</v>
      </c>
      <c r="Z1264" t="s">
        <v>1266</v>
      </c>
      <c r="AB1264" t="s">
        <v>1100</v>
      </c>
      <c r="AC1264">
        <v>4</v>
      </c>
      <c r="AD1264" t="s">
        <v>1266</v>
      </c>
      <c r="AE1264" t="s">
        <v>752</v>
      </c>
      <c r="AF1264">
        <v>3</v>
      </c>
      <c r="AG1264" t="s">
        <v>1203</v>
      </c>
    </row>
    <row r="1265" spans="1:33" x14ac:dyDescent="0.3">
      <c r="A1265" t="s">
        <v>753</v>
      </c>
      <c r="B1265" t="s">
        <v>5158</v>
      </c>
      <c r="C1265" t="s">
        <v>5159</v>
      </c>
      <c r="D1265" t="s">
        <v>5160</v>
      </c>
      <c r="E1265" t="s">
        <v>16</v>
      </c>
      <c r="F1265" t="s">
        <v>1308</v>
      </c>
      <c r="G1265" s="2">
        <v>0.70138888888888884</v>
      </c>
      <c r="H1265" t="s">
        <v>1200</v>
      </c>
      <c r="I1265" t="s">
        <v>1201</v>
      </c>
      <c r="M1265" t="s">
        <v>1292</v>
      </c>
      <c r="X1265" t="s">
        <v>546</v>
      </c>
      <c r="Y1265">
        <v>4</v>
      </c>
      <c r="Z1265" t="s">
        <v>1203</v>
      </c>
      <c r="AB1265" t="s">
        <v>1100</v>
      </c>
      <c r="AC1265">
        <v>4</v>
      </c>
      <c r="AD1265" t="s">
        <v>1717</v>
      </c>
      <c r="AE1265" t="s">
        <v>752</v>
      </c>
      <c r="AF1265">
        <v>6</v>
      </c>
      <c r="AG1265" t="s">
        <v>1266</v>
      </c>
    </row>
    <row r="1266" spans="1:33" x14ac:dyDescent="0.3">
      <c r="A1266" t="s">
        <v>753</v>
      </c>
      <c r="B1266" t="s">
        <v>5161</v>
      </c>
      <c r="C1266" t="s">
        <v>5162</v>
      </c>
      <c r="D1266" t="s">
        <v>5163</v>
      </c>
      <c r="E1266" t="s">
        <v>16</v>
      </c>
      <c r="F1266" t="s">
        <v>1313</v>
      </c>
      <c r="G1266" s="2">
        <v>0.69444444444444453</v>
      </c>
      <c r="H1266" t="s">
        <v>1200</v>
      </c>
      <c r="I1266" t="s">
        <v>1201</v>
      </c>
      <c r="M1266" t="s">
        <v>1292</v>
      </c>
      <c r="X1266" t="s">
        <v>546</v>
      </c>
      <c r="Y1266">
        <v>3</v>
      </c>
      <c r="Z1266" t="s">
        <v>1217</v>
      </c>
      <c r="AB1266" t="s">
        <v>1100</v>
      </c>
      <c r="AC1266">
        <v>5</v>
      </c>
      <c r="AD1266" t="s">
        <v>1266</v>
      </c>
    </row>
    <row r="1267" spans="1:33" x14ac:dyDescent="0.3">
      <c r="A1267" t="s">
        <v>753</v>
      </c>
      <c r="B1267" s="3" t="s">
        <v>5164</v>
      </c>
      <c r="C1267" t="s">
        <v>5165</v>
      </c>
      <c r="D1267" t="s">
        <v>5166</v>
      </c>
      <c r="E1267" t="s">
        <v>16</v>
      </c>
      <c r="F1267" t="s">
        <v>1317</v>
      </c>
      <c r="G1267" s="2">
        <v>0.6875</v>
      </c>
      <c r="H1267" t="s">
        <v>1200</v>
      </c>
      <c r="I1267" t="s">
        <v>1201</v>
      </c>
      <c r="M1267" t="s">
        <v>1292</v>
      </c>
      <c r="X1267" t="s">
        <v>546</v>
      </c>
      <c r="Y1267">
        <v>3</v>
      </c>
      <c r="Z1267" t="s">
        <v>1203</v>
      </c>
      <c r="AB1267" t="s">
        <v>1100</v>
      </c>
      <c r="AC1267">
        <v>2</v>
      </c>
      <c r="AD1267" t="s">
        <v>1203</v>
      </c>
    </row>
    <row r="1268" spans="1:33" x14ac:dyDescent="0.3">
      <c r="A1268" t="s">
        <v>753</v>
      </c>
      <c r="B1268" t="s">
        <v>5167</v>
      </c>
      <c r="C1268" t="s">
        <v>5168</v>
      </c>
      <c r="D1268" t="s">
        <v>5169</v>
      </c>
      <c r="E1268" t="s">
        <v>16</v>
      </c>
      <c r="F1268" t="s">
        <v>1321</v>
      </c>
      <c r="G1268" s="2">
        <v>0.68055555555555547</v>
      </c>
      <c r="H1268" t="s">
        <v>1200</v>
      </c>
      <c r="I1268" t="s">
        <v>1201</v>
      </c>
      <c r="K1268" t="s">
        <v>1250</v>
      </c>
      <c r="X1268" t="s">
        <v>1100</v>
      </c>
      <c r="Y1268">
        <v>3</v>
      </c>
      <c r="Z1268" t="s">
        <v>1717</v>
      </c>
    </row>
    <row r="1269" spans="1:33" x14ac:dyDescent="0.3">
      <c r="A1269" t="s">
        <v>753</v>
      </c>
      <c r="B1269" t="s">
        <v>5170</v>
      </c>
      <c r="C1269" t="s">
        <v>5171</v>
      </c>
      <c r="D1269" t="s">
        <v>5172</v>
      </c>
      <c r="E1269" t="s">
        <v>16</v>
      </c>
      <c r="F1269" t="s">
        <v>1325</v>
      </c>
      <c r="G1269" s="2">
        <v>0.67361111111111116</v>
      </c>
      <c r="H1269" t="s">
        <v>1200</v>
      </c>
      <c r="I1269" t="s">
        <v>1201</v>
      </c>
      <c r="M1269" t="s">
        <v>1292</v>
      </c>
    </row>
    <row r="1270" spans="1:33" x14ac:dyDescent="0.3">
      <c r="A1270" t="s">
        <v>753</v>
      </c>
      <c r="B1270" t="s">
        <v>5173</v>
      </c>
      <c r="C1270" t="s">
        <v>5174</v>
      </c>
      <c r="D1270" t="s">
        <v>5175</v>
      </c>
      <c r="E1270" t="s">
        <v>16</v>
      </c>
      <c r="F1270" t="s">
        <v>1329</v>
      </c>
      <c r="G1270" s="2">
        <v>0.66666666666666663</v>
      </c>
      <c r="H1270" t="s">
        <v>1200</v>
      </c>
      <c r="I1270" t="s">
        <v>1201</v>
      </c>
      <c r="M1270" t="s">
        <v>1292</v>
      </c>
    </row>
    <row r="1271" spans="1:33" x14ac:dyDescent="0.3">
      <c r="A1271" t="s">
        <v>753</v>
      </c>
      <c r="B1271" t="s">
        <v>5176</v>
      </c>
      <c r="C1271" t="s">
        <v>5177</v>
      </c>
      <c r="D1271" t="s">
        <v>5178</v>
      </c>
      <c r="E1271" t="s">
        <v>16</v>
      </c>
      <c r="F1271" t="s">
        <v>1333</v>
      </c>
      <c r="G1271" s="2">
        <v>0.65972222222222221</v>
      </c>
      <c r="H1271" t="s">
        <v>1200</v>
      </c>
      <c r="I1271" t="s">
        <v>1201</v>
      </c>
      <c r="M1271" t="s">
        <v>1292</v>
      </c>
    </row>
    <row r="1272" spans="1:33" x14ac:dyDescent="0.3">
      <c r="A1272" t="s">
        <v>753</v>
      </c>
      <c r="B1272" t="s">
        <v>5179</v>
      </c>
      <c r="C1272" t="s">
        <v>5180</v>
      </c>
      <c r="D1272" t="s">
        <v>5181</v>
      </c>
      <c r="E1272" t="s">
        <v>16</v>
      </c>
      <c r="F1272" t="s">
        <v>1338</v>
      </c>
      <c r="G1272" s="2">
        <v>0.65277777777777779</v>
      </c>
      <c r="H1272" t="s">
        <v>1200</v>
      </c>
      <c r="I1272" t="s">
        <v>1201</v>
      </c>
      <c r="M1272" t="s">
        <v>1216</v>
      </c>
      <c r="X1272" t="s">
        <v>1100</v>
      </c>
      <c r="Y1272">
        <v>2</v>
      </c>
      <c r="Z1272" t="s">
        <v>1245</v>
      </c>
      <c r="AB1272" t="s">
        <v>525</v>
      </c>
      <c r="AC1272">
        <v>2</v>
      </c>
      <c r="AD1272" t="s">
        <v>1245</v>
      </c>
      <c r="AE1272" t="s">
        <v>546</v>
      </c>
      <c r="AF1272">
        <v>3</v>
      </c>
      <c r="AG1272" t="s">
        <v>4186</v>
      </c>
    </row>
    <row r="1273" spans="1:33" x14ac:dyDescent="0.3">
      <c r="A1273" t="s">
        <v>753</v>
      </c>
      <c r="B1273" t="s">
        <v>5182</v>
      </c>
      <c r="C1273" t="s">
        <v>5183</v>
      </c>
      <c r="D1273" t="s">
        <v>5184</v>
      </c>
      <c r="E1273" t="s">
        <v>16</v>
      </c>
      <c r="F1273" t="s">
        <v>1342</v>
      </c>
      <c r="G1273" s="2">
        <v>0.64583333333333337</v>
      </c>
      <c r="H1273" t="s">
        <v>1200</v>
      </c>
      <c r="I1273" t="s">
        <v>1201</v>
      </c>
      <c r="M1273" t="s">
        <v>1292</v>
      </c>
      <c r="X1273" t="s">
        <v>525</v>
      </c>
      <c r="Y1273">
        <v>2</v>
      </c>
      <c r="Z1273" t="s">
        <v>1217</v>
      </c>
      <c r="AB1273" t="s">
        <v>546</v>
      </c>
      <c r="AC1273">
        <v>3</v>
      </c>
      <c r="AD1273" t="s">
        <v>1217</v>
      </c>
      <c r="AE1273" t="s">
        <v>1100</v>
      </c>
      <c r="AF1273">
        <v>3</v>
      </c>
      <c r="AG1273" t="s">
        <v>1266</v>
      </c>
    </row>
    <row r="1274" spans="1:33" x14ac:dyDescent="0.3">
      <c r="A1274" t="s">
        <v>757</v>
      </c>
      <c r="B1274" t="s">
        <v>5185</v>
      </c>
      <c r="C1274" t="s">
        <v>5186</v>
      </c>
      <c r="D1274" t="s">
        <v>5187</v>
      </c>
      <c r="E1274" t="s">
        <v>16</v>
      </c>
      <c r="F1274" t="s">
        <v>1350</v>
      </c>
      <c r="G1274" s="2">
        <v>0.63194444444444442</v>
      </c>
      <c r="H1274" t="s">
        <v>1200</v>
      </c>
      <c r="I1274" t="s">
        <v>1201</v>
      </c>
      <c r="K1274" t="s">
        <v>1283</v>
      </c>
      <c r="X1274" t="s">
        <v>498</v>
      </c>
      <c r="Y1274">
        <v>6</v>
      </c>
      <c r="Z1274" t="s">
        <v>2403</v>
      </c>
      <c r="AB1274" t="s">
        <v>498</v>
      </c>
      <c r="AC1274">
        <v>8</v>
      </c>
      <c r="AD1274" t="s">
        <v>1717</v>
      </c>
    </row>
    <row r="1275" spans="1:33" x14ac:dyDescent="0.3">
      <c r="A1275" t="s">
        <v>757</v>
      </c>
      <c r="B1275" t="s">
        <v>5188</v>
      </c>
      <c r="C1275" t="s">
        <v>5189</v>
      </c>
      <c r="D1275" t="s">
        <v>5190</v>
      </c>
      <c r="E1275" t="s">
        <v>16</v>
      </c>
      <c r="F1275" t="s">
        <v>1354</v>
      </c>
      <c r="G1275" s="2">
        <v>0.625</v>
      </c>
      <c r="H1275" t="s">
        <v>1200</v>
      </c>
      <c r="I1275" t="s">
        <v>1201</v>
      </c>
      <c r="K1275" t="s">
        <v>1250</v>
      </c>
      <c r="X1275" t="s">
        <v>498</v>
      </c>
      <c r="Y1275">
        <v>6</v>
      </c>
      <c r="Z1275" t="s">
        <v>1266</v>
      </c>
      <c r="AB1275" t="s">
        <v>498</v>
      </c>
      <c r="AC1275">
        <v>10</v>
      </c>
      <c r="AD1275" t="s">
        <v>1717</v>
      </c>
    </row>
    <row r="1276" spans="1:33" x14ac:dyDescent="0.3">
      <c r="A1276" t="s">
        <v>757</v>
      </c>
      <c r="B1276" t="s">
        <v>5191</v>
      </c>
      <c r="C1276" t="s">
        <v>5192</v>
      </c>
      <c r="D1276" t="s">
        <v>5193</v>
      </c>
      <c r="E1276" t="s">
        <v>16</v>
      </c>
      <c r="F1276" t="s">
        <v>1558</v>
      </c>
      <c r="G1276" s="2">
        <v>0.61805555555555558</v>
      </c>
      <c r="H1276" t="s">
        <v>1200</v>
      </c>
      <c r="I1276" t="s">
        <v>1201</v>
      </c>
      <c r="K1276" t="s">
        <v>1283</v>
      </c>
      <c r="X1276" t="s">
        <v>498</v>
      </c>
      <c r="Y1276">
        <v>5</v>
      </c>
      <c r="Z1276" t="s">
        <v>1266</v>
      </c>
      <c r="AB1276" t="s">
        <v>498</v>
      </c>
      <c r="AC1276">
        <v>8</v>
      </c>
      <c r="AD1276" t="s">
        <v>1266</v>
      </c>
    </row>
    <row r="1277" spans="1:33" x14ac:dyDescent="0.3">
      <c r="A1277" t="s">
        <v>757</v>
      </c>
      <c r="B1277" t="s">
        <v>5194</v>
      </c>
      <c r="C1277" t="s">
        <v>5195</v>
      </c>
      <c r="D1277" t="s">
        <v>5196</v>
      </c>
      <c r="E1277" t="s">
        <v>16</v>
      </c>
      <c r="F1277" t="s">
        <v>1358</v>
      </c>
      <c r="G1277" s="2">
        <v>0.61111111111111105</v>
      </c>
      <c r="H1277" t="s">
        <v>1200</v>
      </c>
      <c r="I1277" t="s">
        <v>1201</v>
      </c>
      <c r="K1277" t="s">
        <v>1250</v>
      </c>
      <c r="X1277" t="s">
        <v>1100</v>
      </c>
      <c r="Y1277">
        <v>3</v>
      </c>
      <c r="Z1277" t="s">
        <v>1266</v>
      </c>
      <c r="AB1277" t="s">
        <v>752</v>
      </c>
      <c r="AC1277">
        <v>5</v>
      </c>
      <c r="AD1277" t="s">
        <v>1266</v>
      </c>
      <c r="AE1277" t="s">
        <v>752</v>
      </c>
      <c r="AF1277">
        <v>7</v>
      </c>
      <c r="AG1277" t="s">
        <v>1266</v>
      </c>
    </row>
    <row r="1278" spans="1:33" x14ac:dyDescent="0.3">
      <c r="A1278" t="s">
        <v>757</v>
      </c>
      <c r="B1278" t="s">
        <v>5197</v>
      </c>
      <c r="C1278" t="s">
        <v>5198</v>
      </c>
      <c r="D1278" t="s">
        <v>5199</v>
      </c>
      <c r="E1278" t="s">
        <v>16</v>
      </c>
      <c r="F1278" t="s">
        <v>1362</v>
      </c>
      <c r="G1278" s="2">
        <v>0.60416666666666663</v>
      </c>
      <c r="H1278" t="s">
        <v>1200</v>
      </c>
      <c r="I1278" t="s">
        <v>1201</v>
      </c>
      <c r="K1278" t="s">
        <v>1250</v>
      </c>
      <c r="X1278" t="s">
        <v>1100</v>
      </c>
      <c r="Y1278">
        <v>0</v>
      </c>
      <c r="Z1278" t="s">
        <v>1203</v>
      </c>
      <c r="AB1278" t="s">
        <v>752</v>
      </c>
      <c r="AC1278">
        <v>6</v>
      </c>
      <c r="AD1278" t="s">
        <v>1266</v>
      </c>
      <c r="AE1278" t="s">
        <v>752</v>
      </c>
      <c r="AF1278">
        <v>5</v>
      </c>
      <c r="AG1278" t="s">
        <v>1266</v>
      </c>
    </row>
    <row r="1279" spans="1:33" x14ac:dyDescent="0.3">
      <c r="A1279" t="s">
        <v>757</v>
      </c>
      <c r="B1279" t="s">
        <v>5200</v>
      </c>
      <c r="C1279" t="s">
        <v>5201</v>
      </c>
      <c r="D1279" t="s">
        <v>5202</v>
      </c>
      <c r="E1279" t="s">
        <v>16</v>
      </c>
      <c r="F1279" t="s">
        <v>1367</v>
      </c>
      <c r="G1279" s="2">
        <v>0.59722222222222221</v>
      </c>
      <c r="H1279" t="s">
        <v>1200</v>
      </c>
      <c r="I1279" t="s">
        <v>1201</v>
      </c>
      <c r="L1279" t="s">
        <v>1222</v>
      </c>
      <c r="R1279" t="s">
        <v>1223</v>
      </c>
      <c r="S1279" t="s">
        <v>1224</v>
      </c>
      <c r="T1279" t="s">
        <v>1676</v>
      </c>
      <c r="V1279" t="s">
        <v>1226</v>
      </c>
      <c r="W1279" t="s">
        <v>1227</v>
      </c>
      <c r="X1279" t="s">
        <v>525</v>
      </c>
      <c r="Y1279">
        <v>4</v>
      </c>
      <c r="Z1279" t="s">
        <v>1496</v>
      </c>
      <c r="AB1279" t="s">
        <v>498</v>
      </c>
      <c r="AC1279">
        <v>6</v>
      </c>
      <c r="AD1279" t="s">
        <v>1595</v>
      </c>
    </row>
    <row r="1280" spans="1:33" x14ac:dyDescent="0.3">
      <c r="A1280" t="s">
        <v>757</v>
      </c>
      <c r="B1280" t="s">
        <v>5203</v>
      </c>
      <c r="C1280" t="s">
        <v>5204</v>
      </c>
      <c r="D1280" t="s">
        <v>5205</v>
      </c>
      <c r="E1280" t="s">
        <v>16</v>
      </c>
      <c r="F1280" t="s">
        <v>1371</v>
      </c>
      <c r="G1280" s="2">
        <v>0.59027777777777779</v>
      </c>
      <c r="H1280" t="s">
        <v>1200</v>
      </c>
      <c r="I1280" t="s">
        <v>1201</v>
      </c>
      <c r="L1280" t="s">
        <v>1363</v>
      </c>
      <c r="X1280" t="s">
        <v>525</v>
      </c>
      <c r="Y1280">
        <v>4</v>
      </c>
      <c r="Z1280" t="s">
        <v>1396</v>
      </c>
      <c r="AB1280" t="s">
        <v>498</v>
      </c>
      <c r="AC1280">
        <v>6</v>
      </c>
      <c r="AD1280" t="s">
        <v>1396</v>
      </c>
    </row>
    <row r="1281" spans="1:30" x14ac:dyDescent="0.3">
      <c r="A1281" t="s">
        <v>757</v>
      </c>
      <c r="B1281" t="s">
        <v>5206</v>
      </c>
      <c r="C1281" t="s">
        <v>5207</v>
      </c>
      <c r="D1281" t="s">
        <v>5208</v>
      </c>
      <c r="E1281" t="s">
        <v>16</v>
      </c>
      <c r="F1281" t="s">
        <v>1199</v>
      </c>
      <c r="G1281" s="2">
        <v>0.58333333333333337</v>
      </c>
      <c r="H1281" t="s">
        <v>1200</v>
      </c>
      <c r="I1281" t="s">
        <v>1201</v>
      </c>
      <c r="L1281" t="s">
        <v>1202</v>
      </c>
      <c r="X1281" t="s">
        <v>1100</v>
      </c>
      <c r="Y1281">
        <v>0</v>
      </c>
      <c r="Z1281" t="s">
        <v>1203</v>
      </c>
      <c r="AB1281" t="s">
        <v>498</v>
      </c>
      <c r="AC1281">
        <v>6</v>
      </c>
      <c r="AD1281" t="s">
        <v>1717</v>
      </c>
    </row>
    <row r="1282" spans="1:30" x14ac:dyDescent="0.3">
      <c r="A1282" t="s">
        <v>757</v>
      </c>
      <c r="B1282" t="s">
        <v>5209</v>
      </c>
      <c r="C1282" t="s">
        <v>5210</v>
      </c>
      <c r="D1282" t="s">
        <v>5211</v>
      </c>
      <c r="E1282" t="s">
        <v>16</v>
      </c>
      <c r="F1282" t="s">
        <v>1207</v>
      </c>
      <c r="G1282" s="2">
        <v>0.57638888888888895</v>
      </c>
      <c r="H1282" t="s">
        <v>1200</v>
      </c>
      <c r="I1282" t="s">
        <v>1201</v>
      </c>
      <c r="L1282" t="s">
        <v>1363</v>
      </c>
      <c r="X1282" t="s">
        <v>1100</v>
      </c>
      <c r="Y1282">
        <v>2</v>
      </c>
      <c r="Z1282" t="s">
        <v>1396</v>
      </c>
      <c r="AB1282" t="s">
        <v>498</v>
      </c>
      <c r="AC1282">
        <v>5</v>
      </c>
      <c r="AD1282" t="s">
        <v>1228</v>
      </c>
    </row>
    <row r="1283" spans="1:30" x14ac:dyDescent="0.3">
      <c r="A1283" t="s">
        <v>757</v>
      </c>
      <c r="B1283" t="s">
        <v>5212</v>
      </c>
      <c r="C1283" t="s">
        <v>5213</v>
      </c>
      <c r="D1283" t="s">
        <v>5214</v>
      </c>
      <c r="E1283" t="s">
        <v>16</v>
      </c>
      <c r="F1283" t="s">
        <v>1211</v>
      </c>
      <c r="G1283" s="2">
        <v>0.56944444444444442</v>
      </c>
      <c r="H1283" t="s">
        <v>1200</v>
      </c>
      <c r="I1283" t="s">
        <v>1201</v>
      </c>
      <c r="L1283" t="s">
        <v>1363</v>
      </c>
      <c r="X1283" t="s">
        <v>1100</v>
      </c>
      <c r="Y1283">
        <v>2</v>
      </c>
      <c r="Z1283" t="s">
        <v>1396</v>
      </c>
      <c r="AB1283" t="s">
        <v>498</v>
      </c>
      <c r="AC1283">
        <v>6</v>
      </c>
      <c r="AD1283" t="s">
        <v>1228</v>
      </c>
    </row>
    <row r="1284" spans="1:30" x14ac:dyDescent="0.3">
      <c r="A1284" t="s">
        <v>757</v>
      </c>
      <c r="B1284" t="s">
        <v>5215</v>
      </c>
      <c r="C1284" t="s">
        <v>5216</v>
      </c>
      <c r="D1284" t="s">
        <v>5217</v>
      </c>
      <c r="E1284" t="s">
        <v>16</v>
      </c>
      <c r="F1284" t="s">
        <v>1215</v>
      </c>
      <c r="G1284" s="2">
        <v>0.5625</v>
      </c>
      <c r="H1284" t="s">
        <v>1200</v>
      </c>
      <c r="I1284" t="s">
        <v>1201</v>
      </c>
      <c r="L1284" t="s">
        <v>1363</v>
      </c>
      <c r="X1284" t="s">
        <v>1100</v>
      </c>
      <c r="Y1284">
        <v>0</v>
      </c>
      <c r="Z1284" t="s">
        <v>1717</v>
      </c>
      <c r="AB1284" t="s">
        <v>498</v>
      </c>
      <c r="AC1284">
        <v>6</v>
      </c>
      <c r="AD1284" t="s">
        <v>1396</v>
      </c>
    </row>
    <row r="1285" spans="1:30" x14ac:dyDescent="0.3">
      <c r="A1285" t="s">
        <v>757</v>
      </c>
      <c r="B1285" t="s">
        <v>5218</v>
      </c>
      <c r="C1285" t="s">
        <v>5219</v>
      </c>
      <c r="D1285" t="s">
        <v>5220</v>
      </c>
      <c r="E1285" t="s">
        <v>16</v>
      </c>
      <c r="F1285" t="s">
        <v>1221</v>
      </c>
      <c r="G1285" s="2">
        <v>0.55555555555555558</v>
      </c>
      <c r="H1285" t="s">
        <v>1200</v>
      </c>
      <c r="I1285" t="s">
        <v>1201</v>
      </c>
      <c r="L1285" t="s">
        <v>1363</v>
      </c>
      <c r="X1285" t="s">
        <v>1100</v>
      </c>
      <c r="Y1285">
        <v>0</v>
      </c>
      <c r="Z1285" t="s">
        <v>1396</v>
      </c>
      <c r="AB1285" t="s">
        <v>498</v>
      </c>
      <c r="AC1285">
        <v>5</v>
      </c>
      <c r="AD1285" t="s">
        <v>1496</v>
      </c>
    </row>
    <row r="1286" spans="1:30" x14ac:dyDescent="0.3">
      <c r="A1286" t="s">
        <v>757</v>
      </c>
      <c r="B1286" t="s">
        <v>5221</v>
      </c>
      <c r="C1286" t="s">
        <v>5222</v>
      </c>
      <c r="D1286" t="s">
        <v>5223</v>
      </c>
      <c r="E1286" t="s">
        <v>16</v>
      </c>
      <c r="F1286" t="s">
        <v>1232</v>
      </c>
      <c r="G1286" s="2">
        <v>0.54861111111111105</v>
      </c>
      <c r="H1286" t="s">
        <v>1200</v>
      </c>
      <c r="I1286" t="s">
        <v>1201</v>
      </c>
      <c r="L1286" t="s">
        <v>1363</v>
      </c>
      <c r="X1286" t="s">
        <v>1100</v>
      </c>
      <c r="Y1286">
        <v>0</v>
      </c>
      <c r="Z1286" t="s">
        <v>1396</v>
      </c>
      <c r="AB1286" t="s">
        <v>498</v>
      </c>
      <c r="AC1286">
        <v>6</v>
      </c>
      <c r="AD1286" t="s">
        <v>1396</v>
      </c>
    </row>
    <row r="1287" spans="1:30" x14ac:dyDescent="0.3">
      <c r="A1287" t="s">
        <v>757</v>
      </c>
      <c r="B1287" t="s">
        <v>5224</v>
      </c>
      <c r="C1287" t="s">
        <v>5225</v>
      </c>
      <c r="D1287" t="s">
        <v>5226</v>
      </c>
      <c r="E1287" t="s">
        <v>16</v>
      </c>
      <c r="F1287" t="s">
        <v>1236</v>
      </c>
      <c r="G1287" s="2">
        <v>0.54166666666666663</v>
      </c>
      <c r="H1287" t="s">
        <v>1200</v>
      </c>
      <c r="I1287" t="s">
        <v>1201</v>
      </c>
      <c r="L1287" t="s">
        <v>1202</v>
      </c>
      <c r="X1287" t="s">
        <v>1100</v>
      </c>
      <c r="Y1287">
        <v>2</v>
      </c>
      <c r="Z1287" t="s">
        <v>1203</v>
      </c>
    </row>
    <row r="1288" spans="1:30" x14ac:dyDescent="0.3">
      <c r="A1288" t="s">
        <v>757</v>
      </c>
      <c r="B1288" t="s">
        <v>5227</v>
      </c>
      <c r="C1288" t="s">
        <v>5228</v>
      </c>
      <c r="D1288" t="s">
        <v>5229</v>
      </c>
      <c r="E1288" t="s">
        <v>16</v>
      </c>
      <c r="F1288" t="s">
        <v>1240</v>
      </c>
      <c r="G1288" s="2">
        <v>0.53472222222222221</v>
      </c>
      <c r="H1288" t="s">
        <v>1200</v>
      </c>
      <c r="I1288" t="s">
        <v>1201</v>
      </c>
      <c r="R1288" t="s">
        <v>1681</v>
      </c>
      <c r="X1288" t="s">
        <v>1100</v>
      </c>
      <c r="Y1288">
        <v>0</v>
      </c>
      <c r="Z1288" t="s">
        <v>1228</v>
      </c>
      <c r="AB1288" t="s">
        <v>498</v>
      </c>
      <c r="AC1288">
        <v>6</v>
      </c>
      <c r="AD1288" t="s">
        <v>1704</v>
      </c>
    </row>
    <row r="1289" spans="1:30" x14ac:dyDescent="0.3">
      <c r="A1289" t="s">
        <v>757</v>
      </c>
      <c r="B1289" t="s">
        <v>5230</v>
      </c>
      <c r="C1289" t="s">
        <v>5231</v>
      </c>
      <c r="D1289" t="s">
        <v>5232</v>
      </c>
      <c r="E1289" t="s">
        <v>16</v>
      </c>
      <c r="F1289" t="s">
        <v>1244</v>
      </c>
      <c r="G1289" s="2">
        <v>0.52777777777777779</v>
      </c>
      <c r="H1289" t="s">
        <v>1200</v>
      </c>
      <c r="I1289" t="s">
        <v>1201</v>
      </c>
      <c r="L1289" t="s">
        <v>1255</v>
      </c>
      <c r="X1289" t="s">
        <v>1100</v>
      </c>
      <c r="Y1289">
        <v>0</v>
      </c>
      <c r="Z1289" t="s">
        <v>1396</v>
      </c>
    </row>
    <row r="1290" spans="1:30" x14ac:dyDescent="0.3">
      <c r="A1290" t="s">
        <v>757</v>
      </c>
      <c r="B1290" t="s">
        <v>5233</v>
      </c>
      <c r="C1290" t="s">
        <v>5234</v>
      </c>
      <c r="D1290" t="s">
        <v>5235</v>
      </c>
      <c r="E1290" t="s">
        <v>16</v>
      </c>
      <c r="F1290" t="s">
        <v>1249</v>
      </c>
      <c r="G1290" s="2">
        <v>0.52083333333333337</v>
      </c>
      <c r="H1290" t="s">
        <v>1200</v>
      </c>
      <c r="I1290" t="s">
        <v>1201</v>
      </c>
      <c r="L1290" t="s">
        <v>1363</v>
      </c>
      <c r="X1290" t="s">
        <v>1100</v>
      </c>
      <c r="Y1290">
        <v>0</v>
      </c>
      <c r="Z1290" t="s">
        <v>1396</v>
      </c>
    </row>
    <row r="1291" spans="1:30" x14ac:dyDescent="0.3">
      <c r="A1291" t="s">
        <v>757</v>
      </c>
      <c r="B1291" t="s">
        <v>5236</v>
      </c>
      <c r="C1291" t="s">
        <v>5237</v>
      </c>
      <c r="D1291" t="s">
        <v>5238</v>
      </c>
      <c r="E1291" t="s">
        <v>16</v>
      </c>
      <c r="F1291" t="s">
        <v>1406</v>
      </c>
      <c r="G1291" s="2">
        <v>0.51388888888888895</v>
      </c>
      <c r="H1291" t="s">
        <v>1200</v>
      </c>
      <c r="I1291" t="s">
        <v>1201</v>
      </c>
      <c r="L1291" t="s">
        <v>1363</v>
      </c>
      <c r="X1291" t="s">
        <v>1100</v>
      </c>
      <c r="Y1291">
        <v>1</v>
      </c>
      <c r="Z1291" t="s">
        <v>1396</v>
      </c>
    </row>
    <row r="1292" spans="1:30" x14ac:dyDescent="0.3">
      <c r="A1292" t="s">
        <v>757</v>
      </c>
      <c r="B1292" t="s">
        <v>5239</v>
      </c>
      <c r="C1292" t="s">
        <v>5240</v>
      </c>
      <c r="D1292" t="s">
        <v>5241</v>
      </c>
      <c r="E1292" t="s">
        <v>16</v>
      </c>
      <c r="F1292" t="s">
        <v>1254</v>
      </c>
      <c r="G1292" s="2">
        <v>0.50694444444444442</v>
      </c>
      <c r="H1292" t="s">
        <v>1200</v>
      </c>
      <c r="I1292" t="s">
        <v>1201</v>
      </c>
      <c r="L1292" t="s">
        <v>1363</v>
      </c>
      <c r="X1292" t="s">
        <v>1100</v>
      </c>
      <c r="Y1292">
        <v>1</v>
      </c>
      <c r="Z1292" t="s">
        <v>1396</v>
      </c>
    </row>
    <row r="1293" spans="1:30" x14ac:dyDescent="0.3">
      <c r="A1293" t="s">
        <v>757</v>
      </c>
      <c r="B1293" t="s">
        <v>5242</v>
      </c>
      <c r="C1293" t="s">
        <v>5243</v>
      </c>
      <c r="D1293" t="s">
        <v>5244</v>
      </c>
      <c r="E1293" t="s">
        <v>16</v>
      </c>
      <c r="F1293" t="s">
        <v>1259</v>
      </c>
      <c r="G1293" s="2">
        <v>0.5</v>
      </c>
      <c r="H1293" t="s">
        <v>1200</v>
      </c>
      <c r="I1293" t="s">
        <v>1201</v>
      </c>
      <c r="L1293" t="s">
        <v>1202</v>
      </c>
      <c r="X1293" t="s">
        <v>1100</v>
      </c>
      <c r="Y1293">
        <v>1</v>
      </c>
      <c r="Z1293" t="s">
        <v>1396</v>
      </c>
    </row>
    <row r="1294" spans="1:30" x14ac:dyDescent="0.3">
      <c r="A1294" t="s">
        <v>757</v>
      </c>
      <c r="B1294" t="s">
        <v>5245</v>
      </c>
      <c r="C1294" t="s">
        <v>5246</v>
      </c>
      <c r="D1294" t="s">
        <v>5247</v>
      </c>
      <c r="E1294" t="s">
        <v>16</v>
      </c>
      <c r="F1294" t="s">
        <v>1265</v>
      </c>
      <c r="G1294" s="2">
        <v>0.49305555555555558</v>
      </c>
      <c r="H1294" t="s">
        <v>1200</v>
      </c>
      <c r="I1294" t="s">
        <v>1201</v>
      </c>
      <c r="L1294" t="s">
        <v>1202</v>
      </c>
    </row>
    <row r="1295" spans="1:30" x14ac:dyDescent="0.3">
      <c r="A1295" t="s">
        <v>757</v>
      </c>
      <c r="B1295" t="s">
        <v>5248</v>
      </c>
      <c r="C1295" t="s">
        <v>5249</v>
      </c>
      <c r="D1295" t="s">
        <v>5250</v>
      </c>
      <c r="E1295" t="s">
        <v>16</v>
      </c>
      <c r="F1295" t="s">
        <v>1270</v>
      </c>
      <c r="G1295" s="2">
        <v>0.4861111111111111</v>
      </c>
      <c r="H1295" t="s">
        <v>1200</v>
      </c>
      <c r="I1295" t="s">
        <v>1201</v>
      </c>
      <c r="M1295" t="s">
        <v>1292</v>
      </c>
    </row>
    <row r="1296" spans="1:30" x14ac:dyDescent="0.3">
      <c r="A1296" t="s">
        <v>757</v>
      </c>
      <c r="B1296" t="s">
        <v>5251</v>
      </c>
      <c r="C1296" t="s">
        <v>5252</v>
      </c>
      <c r="D1296" t="s">
        <v>5253</v>
      </c>
      <c r="E1296" t="s">
        <v>16</v>
      </c>
      <c r="F1296" t="s">
        <v>1274</v>
      </c>
      <c r="G1296" s="2">
        <v>0.47916666666666669</v>
      </c>
      <c r="H1296" t="s">
        <v>1200</v>
      </c>
      <c r="I1296" t="s">
        <v>1201</v>
      </c>
      <c r="M1296" t="s">
        <v>1292</v>
      </c>
    </row>
    <row r="1297" spans="1:33" x14ac:dyDescent="0.3">
      <c r="A1297" t="s">
        <v>757</v>
      </c>
      <c r="B1297" t="s">
        <v>5254</v>
      </c>
      <c r="C1297" t="s">
        <v>5255</v>
      </c>
      <c r="D1297" t="s">
        <v>5256</v>
      </c>
      <c r="E1297" t="s">
        <v>16</v>
      </c>
      <c r="F1297" t="s">
        <v>1278</v>
      </c>
      <c r="G1297" s="2">
        <v>0.47222222222222227</v>
      </c>
      <c r="H1297" t="s">
        <v>1200</v>
      </c>
      <c r="I1297" t="s">
        <v>1201</v>
      </c>
      <c r="M1297" t="s">
        <v>1292</v>
      </c>
    </row>
    <row r="1298" spans="1:33" x14ac:dyDescent="0.3">
      <c r="A1298" t="s">
        <v>757</v>
      </c>
      <c r="B1298" t="s">
        <v>5257</v>
      </c>
      <c r="C1298" t="s">
        <v>5258</v>
      </c>
      <c r="D1298" t="s">
        <v>5259</v>
      </c>
      <c r="E1298" t="s">
        <v>16</v>
      </c>
      <c r="F1298" t="s">
        <v>1282</v>
      </c>
      <c r="G1298" s="2">
        <v>0.46527777777777773</v>
      </c>
      <c r="H1298" t="s">
        <v>1200</v>
      </c>
      <c r="I1298" t="s">
        <v>1201</v>
      </c>
      <c r="M1298" t="s">
        <v>1216</v>
      </c>
      <c r="X1298" t="s">
        <v>1100</v>
      </c>
      <c r="Y1298">
        <v>3</v>
      </c>
      <c r="Z1298" t="s">
        <v>1266</v>
      </c>
      <c r="AB1298" t="s">
        <v>498</v>
      </c>
      <c r="AC1298">
        <v>4</v>
      </c>
      <c r="AD1298" t="s">
        <v>1217</v>
      </c>
      <c r="AE1298" t="s">
        <v>525</v>
      </c>
      <c r="AF1298">
        <v>5</v>
      </c>
      <c r="AG1298" t="s">
        <v>1217</v>
      </c>
    </row>
    <row r="1299" spans="1:33" x14ac:dyDescent="0.3">
      <c r="A1299" t="s">
        <v>757</v>
      </c>
      <c r="B1299" t="s">
        <v>5260</v>
      </c>
      <c r="C1299" t="s">
        <v>5261</v>
      </c>
      <c r="D1299" t="s">
        <v>5262</v>
      </c>
      <c r="E1299" t="s">
        <v>16</v>
      </c>
      <c r="F1299" t="s">
        <v>1287</v>
      </c>
      <c r="G1299" s="2">
        <v>0.45833333333333331</v>
      </c>
      <c r="H1299" t="s">
        <v>1200</v>
      </c>
      <c r="I1299" t="s">
        <v>1201</v>
      </c>
      <c r="M1299" t="s">
        <v>1216</v>
      </c>
      <c r="X1299" t="s">
        <v>1100</v>
      </c>
      <c r="Y1299">
        <v>1</v>
      </c>
      <c r="Z1299" t="s">
        <v>1217</v>
      </c>
      <c r="AB1299" t="s">
        <v>498</v>
      </c>
      <c r="AC1299">
        <v>6</v>
      </c>
      <c r="AD1299" t="s">
        <v>1217</v>
      </c>
      <c r="AE1299" t="s">
        <v>525</v>
      </c>
      <c r="AF1299">
        <v>4</v>
      </c>
      <c r="AG1299" t="s">
        <v>1245</v>
      </c>
    </row>
    <row r="1300" spans="1:33" x14ac:dyDescent="0.3">
      <c r="A1300" t="s">
        <v>757</v>
      </c>
      <c r="B1300" t="s">
        <v>5263</v>
      </c>
      <c r="C1300" t="s">
        <v>5264</v>
      </c>
      <c r="D1300" t="s">
        <v>5265</v>
      </c>
      <c r="E1300" t="s">
        <v>16</v>
      </c>
      <c r="F1300" t="s">
        <v>1291</v>
      </c>
      <c r="G1300" s="2">
        <v>0.4513888888888889</v>
      </c>
      <c r="H1300" t="s">
        <v>1200</v>
      </c>
      <c r="I1300" t="s">
        <v>1201</v>
      </c>
      <c r="L1300" t="s">
        <v>1222</v>
      </c>
      <c r="X1300" t="s">
        <v>1100</v>
      </c>
      <c r="Y1300">
        <v>3</v>
      </c>
      <c r="Z1300" t="s">
        <v>1245</v>
      </c>
      <c r="AB1300" t="s">
        <v>525</v>
      </c>
      <c r="AC1300">
        <v>6</v>
      </c>
      <c r="AD1300" t="s">
        <v>1717</v>
      </c>
      <c r="AE1300" t="s">
        <v>525</v>
      </c>
      <c r="AF1300">
        <v>7</v>
      </c>
      <c r="AG1300" t="s">
        <v>1496</v>
      </c>
    </row>
    <row r="1301" spans="1:33" x14ac:dyDescent="0.3">
      <c r="A1301" t="s">
        <v>757</v>
      </c>
      <c r="B1301" t="s">
        <v>5266</v>
      </c>
      <c r="C1301" t="s">
        <v>5267</v>
      </c>
      <c r="D1301" t="s">
        <v>5268</v>
      </c>
      <c r="E1301" t="s">
        <v>16</v>
      </c>
      <c r="F1301" t="s">
        <v>1296</v>
      </c>
      <c r="G1301" s="2">
        <v>0.44444444444444442</v>
      </c>
      <c r="H1301" t="s">
        <v>1200</v>
      </c>
      <c r="I1301" t="s">
        <v>1201</v>
      </c>
      <c r="K1301" t="s">
        <v>1250</v>
      </c>
      <c r="S1301" t="s">
        <v>364</v>
      </c>
      <c r="T1301" t="s">
        <v>1676</v>
      </c>
      <c r="U1301" t="s">
        <v>1677</v>
      </c>
      <c r="X1301" t="s">
        <v>1100</v>
      </c>
      <c r="Y1301">
        <v>5</v>
      </c>
      <c r="Z1301" t="s">
        <v>1266</v>
      </c>
      <c r="AB1301" t="s">
        <v>498</v>
      </c>
      <c r="AC1301">
        <v>12</v>
      </c>
      <c r="AD1301" t="s">
        <v>1266</v>
      </c>
    </row>
    <row r="1302" spans="1:33" x14ac:dyDescent="0.3">
      <c r="A1302" t="s">
        <v>757</v>
      </c>
      <c r="B1302" t="s">
        <v>5269</v>
      </c>
      <c r="C1302" t="s">
        <v>5270</v>
      </c>
      <c r="D1302" t="s">
        <v>5271</v>
      </c>
      <c r="E1302" t="s">
        <v>16</v>
      </c>
      <c r="F1302" t="s">
        <v>1300</v>
      </c>
      <c r="G1302" s="2">
        <v>0.4375</v>
      </c>
      <c r="H1302" t="s">
        <v>1200</v>
      </c>
      <c r="I1302" t="s">
        <v>1201</v>
      </c>
      <c r="L1302" t="s">
        <v>1222</v>
      </c>
      <c r="R1302" t="s">
        <v>1223</v>
      </c>
      <c r="S1302" t="s">
        <v>364</v>
      </c>
      <c r="T1302" t="s">
        <v>1676</v>
      </c>
      <c r="U1302" t="s">
        <v>1677</v>
      </c>
      <c r="X1302" t="s">
        <v>1100</v>
      </c>
      <c r="Y1302">
        <v>1</v>
      </c>
      <c r="Z1302" t="s">
        <v>1496</v>
      </c>
      <c r="AB1302" t="s">
        <v>498</v>
      </c>
      <c r="AC1302">
        <v>10</v>
      </c>
      <c r="AD1302" t="s">
        <v>1704</v>
      </c>
    </row>
    <row r="1303" spans="1:33" x14ac:dyDescent="0.3">
      <c r="A1303" t="s">
        <v>757</v>
      </c>
      <c r="B1303" t="s">
        <v>5272</v>
      </c>
      <c r="C1303" t="s">
        <v>5273</v>
      </c>
      <c r="D1303" t="s">
        <v>5274</v>
      </c>
      <c r="E1303" t="s">
        <v>16</v>
      </c>
      <c r="F1303" t="s">
        <v>1443</v>
      </c>
      <c r="G1303" s="2">
        <v>0.43055555555555558</v>
      </c>
      <c r="H1303" t="s">
        <v>1200</v>
      </c>
      <c r="I1303" t="s">
        <v>1201</v>
      </c>
      <c r="L1303" t="s">
        <v>1222</v>
      </c>
      <c r="S1303" t="s">
        <v>364</v>
      </c>
      <c r="T1303" t="s">
        <v>1676</v>
      </c>
      <c r="U1303" t="s">
        <v>1677</v>
      </c>
      <c r="X1303" t="s">
        <v>1100</v>
      </c>
      <c r="Y1303">
        <v>1</v>
      </c>
      <c r="Z1303" t="s">
        <v>1496</v>
      </c>
      <c r="AB1303" t="s">
        <v>498</v>
      </c>
      <c r="AC1303">
        <v>6</v>
      </c>
      <c r="AD1303" t="s">
        <v>4376</v>
      </c>
    </row>
    <row r="1304" spans="1:33" x14ac:dyDescent="0.3">
      <c r="A1304" t="s">
        <v>757</v>
      </c>
      <c r="B1304" t="s">
        <v>5275</v>
      </c>
      <c r="C1304" t="s">
        <v>5276</v>
      </c>
      <c r="D1304" t="s">
        <v>5277</v>
      </c>
      <c r="E1304" t="s">
        <v>16</v>
      </c>
      <c r="F1304" t="s">
        <v>1447</v>
      </c>
      <c r="G1304" s="2">
        <v>0.4236111111111111</v>
      </c>
      <c r="H1304" t="s">
        <v>1200</v>
      </c>
      <c r="I1304" t="s">
        <v>1201</v>
      </c>
      <c r="L1304" t="s">
        <v>1202</v>
      </c>
      <c r="X1304" t="s">
        <v>1100</v>
      </c>
      <c r="Y1304">
        <v>1</v>
      </c>
      <c r="Z1304" t="s">
        <v>1396</v>
      </c>
      <c r="AB1304" t="s">
        <v>498</v>
      </c>
      <c r="AC1304">
        <v>8</v>
      </c>
      <c r="AD1304" t="s">
        <v>1228</v>
      </c>
    </row>
    <row r="1305" spans="1:33" x14ac:dyDescent="0.3">
      <c r="A1305" t="s">
        <v>757</v>
      </c>
      <c r="B1305" t="s">
        <v>5278</v>
      </c>
      <c r="C1305" t="s">
        <v>5279</v>
      </c>
      <c r="D1305" t="s">
        <v>5280</v>
      </c>
      <c r="E1305" t="s">
        <v>16</v>
      </c>
      <c r="F1305" t="s">
        <v>1451</v>
      </c>
      <c r="G1305" s="2">
        <v>0.41666666666666669</v>
      </c>
      <c r="H1305" t="s">
        <v>1200</v>
      </c>
      <c r="I1305" t="s">
        <v>1201</v>
      </c>
      <c r="L1305" t="s">
        <v>1202</v>
      </c>
      <c r="X1305" t="s">
        <v>1100</v>
      </c>
      <c r="Y1305">
        <v>1</v>
      </c>
      <c r="Z1305" t="s">
        <v>1396</v>
      </c>
      <c r="AB1305" t="s">
        <v>498</v>
      </c>
      <c r="AC1305">
        <v>8</v>
      </c>
      <c r="AD1305" t="s">
        <v>1228</v>
      </c>
    </row>
    <row r="1306" spans="1:33" x14ac:dyDescent="0.3">
      <c r="A1306" t="s">
        <v>757</v>
      </c>
      <c r="B1306" t="s">
        <v>5281</v>
      </c>
      <c r="C1306" t="s">
        <v>5282</v>
      </c>
      <c r="D1306" t="s">
        <v>5283</v>
      </c>
      <c r="E1306" t="s">
        <v>16</v>
      </c>
      <c r="F1306" t="s">
        <v>1455</v>
      </c>
      <c r="G1306" s="2">
        <v>0.40972222222222227</v>
      </c>
      <c r="H1306" t="s">
        <v>1200</v>
      </c>
      <c r="I1306" t="s">
        <v>1201</v>
      </c>
      <c r="L1306" t="s">
        <v>1202</v>
      </c>
      <c r="X1306" t="s">
        <v>1100</v>
      </c>
      <c r="Y1306">
        <v>1</v>
      </c>
      <c r="Z1306" t="s">
        <v>1203</v>
      </c>
      <c r="AB1306" t="s">
        <v>498</v>
      </c>
      <c r="AC1306">
        <v>8</v>
      </c>
      <c r="AD1306" t="s">
        <v>1228</v>
      </c>
    </row>
    <row r="1307" spans="1:33" x14ac:dyDescent="0.3">
      <c r="A1307" t="s">
        <v>757</v>
      </c>
      <c r="B1307" t="s">
        <v>5284</v>
      </c>
      <c r="C1307" t="s">
        <v>5285</v>
      </c>
      <c r="D1307" t="s">
        <v>5286</v>
      </c>
      <c r="E1307" t="s">
        <v>16</v>
      </c>
      <c r="F1307" t="s">
        <v>1459</v>
      </c>
      <c r="G1307" s="2">
        <v>0.40277777777777773</v>
      </c>
      <c r="H1307" t="s">
        <v>1200</v>
      </c>
      <c r="I1307" t="s">
        <v>1201</v>
      </c>
      <c r="K1307" t="s">
        <v>1250</v>
      </c>
      <c r="X1307" t="s">
        <v>1100</v>
      </c>
      <c r="Y1307">
        <v>7</v>
      </c>
      <c r="Z1307" t="s">
        <v>1266</v>
      </c>
      <c r="AB1307" t="s">
        <v>498</v>
      </c>
      <c r="AC1307">
        <v>8</v>
      </c>
      <c r="AD1307" t="s">
        <v>1228</v>
      </c>
    </row>
    <row r="1308" spans="1:33" x14ac:dyDescent="0.3">
      <c r="A1308" t="s">
        <v>757</v>
      </c>
      <c r="B1308" t="s">
        <v>5287</v>
      </c>
      <c r="C1308" t="s">
        <v>5288</v>
      </c>
      <c r="D1308" t="s">
        <v>5289</v>
      </c>
      <c r="E1308" t="s">
        <v>16</v>
      </c>
      <c r="F1308" t="s">
        <v>1463</v>
      </c>
      <c r="G1308" s="2">
        <v>0.39583333333333331</v>
      </c>
      <c r="H1308" t="s">
        <v>1200</v>
      </c>
      <c r="I1308" t="s">
        <v>1201</v>
      </c>
      <c r="L1308" t="s">
        <v>1255</v>
      </c>
      <c r="X1308" t="s">
        <v>1100</v>
      </c>
      <c r="Y1308">
        <v>5</v>
      </c>
      <c r="Z1308" t="s">
        <v>1496</v>
      </c>
      <c r="AB1308" t="s">
        <v>498</v>
      </c>
      <c r="AC1308">
        <v>7</v>
      </c>
      <c r="AD1308" t="s">
        <v>1228</v>
      </c>
    </row>
    <row r="1309" spans="1:33" x14ac:dyDescent="0.3">
      <c r="A1309" t="s">
        <v>757</v>
      </c>
      <c r="B1309" t="s">
        <v>5290</v>
      </c>
      <c r="C1309" t="s">
        <v>5291</v>
      </c>
      <c r="D1309" t="s">
        <v>5292</v>
      </c>
      <c r="E1309" t="s">
        <v>16</v>
      </c>
      <c r="F1309" t="s">
        <v>1469</v>
      </c>
      <c r="G1309" s="2">
        <v>0.3888888888888889</v>
      </c>
      <c r="H1309" t="s">
        <v>1200</v>
      </c>
      <c r="I1309" t="s">
        <v>1201</v>
      </c>
      <c r="K1309" t="s">
        <v>1250</v>
      </c>
      <c r="X1309" t="s">
        <v>1100</v>
      </c>
      <c r="Y1309">
        <v>6</v>
      </c>
      <c r="Z1309" t="s">
        <v>1717</v>
      </c>
      <c r="AB1309" t="s">
        <v>498</v>
      </c>
      <c r="AC1309">
        <v>8</v>
      </c>
      <c r="AD1309" t="s">
        <v>1228</v>
      </c>
    </row>
    <row r="1310" spans="1:33" x14ac:dyDescent="0.3">
      <c r="A1310" t="s">
        <v>757</v>
      </c>
      <c r="B1310" t="s">
        <v>5293</v>
      </c>
      <c r="C1310" t="s">
        <v>5294</v>
      </c>
      <c r="D1310" t="s">
        <v>5295</v>
      </c>
      <c r="E1310" t="s">
        <v>16</v>
      </c>
      <c r="F1310" t="s">
        <v>1473</v>
      </c>
      <c r="G1310" s="2">
        <v>0.38194444444444442</v>
      </c>
      <c r="H1310" t="s">
        <v>1200</v>
      </c>
      <c r="I1310" t="s">
        <v>1201</v>
      </c>
      <c r="M1310" t="s">
        <v>1334</v>
      </c>
      <c r="X1310" t="s">
        <v>1100</v>
      </c>
      <c r="Y1310">
        <v>3</v>
      </c>
      <c r="Z1310" t="s">
        <v>1245</v>
      </c>
      <c r="AB1310" t="s">
        <v>498</v>
      </c>
      <c r="AC1310">
        <v>8</v>
      </c>
      <c r="AD1310" t="s">
        <v>1228</v>
      </c>
    </row>
    <row r="1311" spans="1:33" x14ac:dyDescent="0.3">
      <c r="A1311" t="s">
        <v>757</v>
      </c>
      <c r="B1311" t="s">
        <v>5296</v>
      </c>
      <c r="C1311" t="s">
        <v>5297</v>
      </c>
      <c r="D1311" t="s">
        <v>5298</v>
      </c>
      <c r="E1311" t="s">
        <v>16</v>
      </c>
      <c r="F1311" t="s">
        <v>1477</v>
      </c>
      <c r="G1311" s="2">
        <v>0.375</v>
      </c>
      <c r="H1311" t="s">
        <v>1200</v>
      </c>
      <c r="I1311" t="s">
        <v>1201</v>
      </c>
      <c r="M1311" t="s">
        <v>1334</v>
      </c>
      <c r="X1311" t="s">
        <v>1100</v>
      </c>
      <c r="Y1311">
        <v>3</v>
      </c>
      <c r="Z1311" t="s">
        <v>1245</v>
      </c>
      <c r="AB1311" t="s">
        <v>498</v>
      </c>
      <c r="AC1311">
        <v>8</v>
      </c>
      <c r="AD1311" t="s">
        <v>1266</v>
      </c>
    </row>
    <row r="1312" spans="1:33" x14ac:dyDescent="0.3">
      <c r="A1312" t="s">
        <v>769</v>
      </c>
      <c r="B1312" t="s">
        <v>5299</v>
      </c>
      <c r="C1312" t="s">
        <v>5300</v>
      </c>
      <c r="D1312" t="s">
        <v>5301</v>
      </c>
      <c r="E1312" t="s">
        <v>16</v>
      </c>
      <c r="F1312" t="s">
        <v>1406</v>
      </c>
      <c r="G1312" s="2">
        <v>0.51388888888888895</v>
      </c>
      <c r="H1312" t="s">
        <v>1200</v>
      </c>
      <c r="I1312" t="s">
        <v>1201</v>
      </c>
      <c r="L1312" t="s">
        <v>1363</v>
      </c>
      <c r="X1312" t="s">
        <v>498</v>
      </c>
      <c r="Y1312">
        <v>8</v>
      </c>
      <c r="Z1312" t="s">
        <v>1203</v>
      </c>
      <c r="AB1312" t="s">
        <v>1100</v>
      </c>
      <c r="AC1312">
        <v>10</v>
      </c>
      <c r="AD1312" t="s">
        <v>1396</v>
      </c>
      <c r="AE1312" t="s">
        <v>546</v>
      </c>
      <c r="AF1312">
        <v>10</v>
      </c>
      <c r="AG1312" t="s">
        <v>1396</v>
      </c>
    </row>
    <row r="1313" spans="1:33" x14ac:dyDescent="0.3">
      <c r="A1313" t="s">
        <v>769</v>
      </c>
      <c r="B1313" t="s">
        <v>5302</v>
      </c>
      <c r="C1313" t="s">
        <v>5303</v>
      </c>
      <c r="D1313" t="s">
        <v>5304</v>
      </c>
      <c r="E1313" t="s">
        <v>16</v>
      </c>
      <c r="F1313" t="s">
        <v>1254</v>
      </c>
      <c r="G1313" s="2">
        <v>0.50694444444444442</v>
      </c>
      <c r="H1313" t="s">
        <v>1200</v>
      </c>
      <c r="I1313" t="s">
        <v>1201</v>
      </c>
      <c r="L1313" t="s">
        <v>1363</v>
      </c>
      <c r="X1313" t="s">
        <v>498</v>
      </c>
      <c r="Y1313">
        <v>8</v>
      </c>
      <c r="Z1313" t="s">
        <v>1203</v>
      </c>
      <c r="AB1313" t="s">
        <v>1100</v>
      </c>
      <c r="AC1313">
        <v>10</v>
      </c>
      <c r="AD1313" t="s">
        <v>1396</v>
      </c>
      <c r="AE1313" t="s">
        <v>546</v>
      </c>
      <c r="AF1313">
        <v>10</v>
      </c>
      <c r="AG1313" t="s">
        <v>1396</v>
      </c>
    </row>
    <row r="1314" spans="1:33" x14ac:dyDescent="0.3">
      <c r="A1314" t="s">
        <v>769</v>
      </c>
      <c r="B1314" t="s">
        <v>5305</v>
      </c>
      <c r="C1314" t="s">
        <v>5306</v>
      </c>
      <c r="D1314" t="s">
        <v>5307</v>
      </c>
      <c r="E1314" t="s">
        <v>16</v>
      </c>
      <c r="F1314" t="s">
        <v>1259</v>
      </c>
      <c r="G1314" s="2">
        <v>0.5</v>
      </c>
      <c r="H1314" t="s">
        <v>1200</v>
      </c>
      <c r="I1314" t="s">
        <v>1201</v>
      </c>
      <c r="L1314" t="s">
        <v>1363</v>
      </c>
      <c r="X1314" t="s">
        <v>498</v>
      </c>
      <c r="Y1314">
        <v>8</v>
      </c>
      <c r="Z1314" t="s">
        <v>1396</v>
      </c>
      <c r="AB1314" t="s">
        <v>1100</v>
      </c>
      <c r="AC1314">
        <v>10</v>
      </c>
      <c r="AD1314" t="s">
        <v>1396</v>
      </c>
      <c r="AE1314" t="s">
        <v>546</v>
      </c>
      <c r="AF1314">
        <v>10</v>
      </c>
      <c r="AG1314" t="s">
        <v>1396</v>
      </c>
    </row>
    <row r="1315" spans="1:33" x14ac:dyDescent="0.3">
      <c r="A1315" t="s">
        <v>769</v>
      </c>
      <c r="B1315" t="s">
        <v>5308</v>
      </c>
      <c r="C1315" t="s">
        <v>5309</v>
      </c>
      <c r="D1315" t="s">
        <v>5310</v>
      </c>
      <c r="E1315" t="s">
        <v>16</v>
      </c>
      <c r="F1315" t="s">
        <v>1265</v>
      </c>
      <c r="G1315" s="2">
        <v>0.49305555555555558</v>
      </c>
      <c r="H1315" t="s">
        <v>1200</v>
      </c>
      <c r="I1315" t="s">
        <v>1201</v>
      </c>
      <c r="L1315" t="s">
        <v>1363</v>
      </c>
      <c r="X1315" t="s">
        <v>498</v>
      </c>
      <c r="Y1315">
        <v>8</v>
      </c>
      <c r="Z1315" t="s">
        <v>1396</v>
      </c>
      <c r="AB1315" t="s">
        <v>1100</v>
      </c>
      <c r="AC1315">
        <v>10</v>
      </c>
      <c r="AD1315" t="s">
        <v>1396</v>
      </c>
      <c r="AE1315" t="s">
        <v>546</v>
      </c>
      <c r="AF1315">
        <v>10</v>
      </c>
      <c r="AG1315" t="s">
        <v>1396</v>
      </c>
    </row>
    <row r="1316" spans="1:33" x14ac:dyDescent="0.3">
      <c r="A1316" t="s">
        <v>769</v>
      </c>
      <c r="B1316" t="s">
        <v>5311</v>
      </c>
      <c r="C1316" t="s">
        <v>5312</v>
      </c>
      <c r="D1316" t="s">
        <v>5313</v>
      </c>
      <c r="E1316" t="s">
        <v>16</v>
      </c>
      <c r="F1316" t="s">
        <v>1270</v>
      </c>
      <c r="G1316" s="2">
        <v>0.4861111111111111</v>
      </c>
      <c r="H1316" t="s">
        <v>1200</v>
      </c>
      <c r="I1316" t="s">
        <v>1201</v>
      </c>
      <c r="L1316" t="s">
        <v>1363</v>
      </c>
      <c r="X1316" t="s">
        <v>498</v>
      </c>
      <c r="Y1316">
        <v>8</v>
      </c>
      <c r="Z1316" t="s">
        <v>1396</v>
      </c>
      <c r="AB1316" t="s">
        <v>1100</v>
      </c>
      <c r="AC1316">
        <v>10</v>
      </c>
      <c r="AD1316" t="s">
        <v>1396</v>
      </c>
      <c r="AE1316" t="s">
        <v>546</v>
      </c>
      <c r="AF1316">
        <v>10</v>
      </c>
      <c r="AG1316" t="s">
        <v>1396</v>
      </c>
    </row>
    <row r="1317" spans="1:33" x14ac:dyDescent="0.3">
      <c r="A1317" t="s">
        <v>769</v>
      </c>
      <c r="B1317" t="s">
        <v>5314</v>
      </c>
      <c r="C1317" t="s">
        <v>5315</v>
      </c>
      <c r="D1317" t="s">
        <v>5316</v>
      </c>
      <c r="E1317" t="s">
        <v>16</v>
      </c>
      <c r="F1317" t="s">
        <v>1274</v>
      </c>
      <c r="G1317" s="2">
        <v>0.47916666666666669</v>
      </c>
      <c r="H1317" t="s">
        <v>1200</v>
      </c>
      <c r="I1317" t="s">
        <v>1201</v>
      </c>
      <c r="L1317" t="s">
        <v>1363</v>
      </c>
      <c r="X1317" t="s">
        <v>498</v>
      </c>
      <c r="Y1317">
        <v>8</v>
      </c>
      <c r="Z1317" t="s">
        <v>1396</v>
      </c>
      <c r="AB1317" t="s">
        <v>1100</v>
      </c>
      <c r="AC1317">
        <v>10</v>
      </c>
      <c r="AD1317" t="s">
        <v>1396</v>
      </c>
      <c r="AE1317" t="s">
        <v>546</v>
      </c>
      <c r="AF1317">
        <v>10</v>
      </c>
      <c r="AG1317" t="s">
        <v>1396</v>
      </c>
    </row>
    <row r="1318" spans="1:33" x14ac:dyDescent="0.3">
      <c r="A1318" t="s">
        <v>769</v>
      </c>
      <c r="B1318" t="s">
        <v>5317</v>
      </c>
      <c r="C1318" t="s">
        <v>5318</v>
      </c>
      <c r="D1318" t="s">
        <v>5319</v>
      </c>
      <c r="E1318" t="s">
        <v>16</v>
      </c>
      <c r="F1318" t="s">
        <v>1278</v>
      </c>
      <c r="G1318" s="2">
        <v>0.47222222222222227</v>
      </c>
      <c r="H1318" t="s">
        <v>1200</v>
      </c>
      <c r="I1318" t="s">
        <v>1201</v>
      </c>
      <c r="L1318" t="s">
        <v>1363</v>
      </c>
      <c r="X1318" t="s">
        <v>498</v>
      </c>
      <c r="Y1318">
        <v>8</v>
      </c>
      <c r="Z1318" t="s">
        <v>1396</v>
      </c>
      <c r="AB1318" t="s">
        <v>546</v>
      </c>
      <c r="AC1318">
        <v>10</v>
      </c>
      <c r="AD1318" t="s">
        <v>1396</v>
      </c>
      <c r="AE1318" t="s">
        <v>1100</v>
      </c>
      <c r="AF1318">
        <v>10</v>
      </c>
      <c r="AG1318" t="s">
        <v>1396</v>
      </c>
    </row>
    <row r="1319" spans="1:33" x14ac:dyDescent="0.3">
      <c r="A1319" t="s">
        <v>769</v>
      </c>
      <c r="B1319" t="s">
        <v>5320</v>
      </c>
      <c r="C1319" t="s">
        <v>5321</v>
      </c>
      <c r="D1319" t="s">
        <v>5322</v>
      </c>
      <c r="E1319" t="s">
        <v>16</v>
      </c>
      <c r="F1319" t="s">
        <v>1282</v>
      </c>
      <c r="G1319" s="2">
        <v>0.46527777777777773</v>
      </c>
      <c r="H1319" t="s">
        <v>1200</v>
      </c>
      <c r="I1319" t="s">
        <v>1201</v>
      </c>
      <c r="L1319" t="s">
        <v>1363</v>
      </c>
      <c r="X1319" t="s">
        <v>498</v>
      </c>
      <c r="Y1319">
        <v>8</v>
      </c>
      <c r="Z1319" t="s">
        <v>1396</v>
      </c>
      <c r="AB1319" t="s">
        <v>1100</v>
      </c>
      <c r="AC1319">
        <v>10</v>
      </c>
      <c r="AD1319" t="s">
        <v>1396</v>
      </c>
      <c r="AE1319" t="s">
        <v>546</v>
      </c>
      <c r="AF1319">
        <v>10</v>
      </c>
      <c r="AG1319" t="s">
        <v>1396</v>
      </c>
    </row>
    <row r="1320" spans="1:33" x14ac:dyDescent="0.3">
      <c r="A1320" t="s">
        <v>769</v>
      </c>
      <c r="B1320" t="s">
        <v>5323</v>
      </c>
      <c r="C1320" t="s">
        <v>5324</v>
      </c>
      <c r="D1320" t="s">
        <v>5325</v>
      </c>
      <c r="E1320" t="s">
        <v>16</v>
      </c>
      <c r="F1320" t="s">
        <v>1287</v>
      </c>
      <c r="G1320" s="2">
        <v>0.45833333333333331</v>
      </c>
      <c r="H1320" t="s">
        <v>1200</v>
      </c>
      <c r="I1320" t="s">
        <v>1201</v>
      </c>
      <c r="L1320" t="s">
        <v>1363</v>
      </c>
      <c r="X1320" t="s">
        <v>498</v>
      </c>
      <c r="Y1320">
        <v>8</v>
      </c>
      <c r="Z1320" t="s">
        <v>1396</v>
      </c>
      <c r="AB1320" t="s">
        <v>1100</v>
      </c>
      <c r="AC1320">
        <v>10</v>
      </c>
      <c r="AD1320" t="s">
        <v>1396</v>
      </c>
      <c r="AE1320" t="s">
        <v>546</v>
      </c>
      <c r="AF1320">
        <v>10</v>
      </c>
      <c r="AG1320" t="s">
        <v>1396</v>
      </c>
    </row>
    <row r="1321" spans="1:33" x14ac:dyDescent="0.3">
      <c r="A1321" t="s">
        <v>769</v>
      </c>
      <c r="B1321" t="s">
        <v>5326</v>
      </c>
      <c r="C1321" t="s">
        <v>5327</v>
      </c>
      <c r="D1321" t="s">
        <v>5328</v>
      </c>
      <c r="E1321" t="s">
        <v>16</v>
      </c>
      <c r="F1321" t="s">
        <v>1291</v>
      </c>
      <c r="G1321" s="2">
        <v>0.4513888888888889</v>
      </c>
      <c r="H1321" t="s">
        <v>1200</v>
      </c>
      <c r="I1321" t="s">
        <v>1201</v>
      </c>
      <c r="L1321" t="s">
        <v>1363</v>
      </c>
      <c r="X1321" t="s">
        <v>498</v>
      </c>
      <c r="Y1321">
        <v>8</v>
      </c>
      <c r="Z1321" t="s">
        <v>1396</v>
      </c>
      <c r="AB1321" t="s">
        <v>1100</v>
      </c>
      <c r="AC1321">
        <v>10</v>
      </c>
      <c r="AD1321" t="s">
        <v>1396</v>
      </c>
      <c r="AE1321" t="s">
        <v>546</v>
      </c>
      <c r="AF1321">
        <v>10</v>
      </c>
      <c r="AG1321" t="s">
        <v>1396</v>
      </c>
    </row>
    <row r="1322" spans="1:33" x14ac:dyDescent="0.3">
      <c r="A1322" t="s">
        <v>769</v>
      </c>
      <c r="B1322" s="3" t="s">
        <v>5329</v>
      </c>
      <c r="C1322" t="s">
        <v>5330</v>
      </c>
      <c r="D1322" t="s">
        <v>5331</v>
      </c>
      <c r="E1322" t="s">
        <v>16</v>
      </c>
      <c r="F1322" t="s">
        <v>1296</v>
      </c>
      <c r="G1322" s="2">
        <v>0.44444444444444442</v>
      </c>
      <c r="H1322" t="s">
        <v>1200</v>
      </c>
      <c r="I1322" t="s">
        <v>1201</v>
      </c>
      <c r="L1322" t="s">
        <v>1363</v>
      </c>
      <c r="X1322" t="s">
        <v>498</v>
      </c>
      <c r="Y1322">
        <v>8</v>
      </c>
      <c r="Z1322" t="s">
        <v>1396</v>
      </c>
      <c r="AB1322" t="s">
        <v>1100</v>
      </c>
      <c r="AC1322">
        <v>10</v>
      </c>
      <c r="AD1322" t="s">
        <v>1396</v>
      </c>
      <c r="AE1322" t="s">
        <v>546</v>
      </c>
      <c r="AF1322">
        <v>10</v>
      </c>
      <c r="AG1322" t="s">
        <v>1396</v>
      </c>
    </row>
    <row r="1323" spans="1:33" x14ac:dyDescent="0.3">
      <c r="A1323" t="s">
        <v>769</v>
      </c>
      <c r="B1323" t="s">
        <v>5332</v>
      </c>
      <c r="C1323" t="s">
        <v>5333</v>
      </c>
      <c r="D1323" t="s">
        <v>5334</v>
      </c>
      <c r="E1323" t="s">
        <v>16</v>
      </c>
      <c r="F1323" t="s">
        <v>1300</v>
      </c>
      <c r="G1323" s="2">
        <v>0.4375</v>
      </c>
      <c r="H1323" t="s">
        <v>1200</v>
      </c>
      <c r="I1323" t="s">
        <v>1201</v>
      </c>
      <c r="L1323" t="s">
        <v>1363</v>
      </c>
      <c r="X1323" t="s">
        <v>498</v>
      </c>
      <c r="Y1323">
        <v>8</v>
      </c>
      <c r="Z1323" t="s">
        <v>1396</v>
      </c>
      <c r="AB1323" t="s">
        <v>1100</v>
      </c>
      <c r="AC1323">
        <v>10</v>
      </c>
      <c r="AD1323" t="s">
        <v>1396</v>
      </c>
      <c r="AE1323" t="s">
        <v>546</v>
      </c>
      <c r="AF1323">
        <v>10</v>
      </c>
      <c r="AG1323" t="s">
        <v>1396</v>
      </c>
    </row>
    <row r="1324" spans="1:33" x14ac:dyDescent="0.3">
      <c r="A1324" t="s">
        <v>769</v>
      </c>
      <c r="B1324" t="s">
        <v>5335</v>
      </c>
      <c r="C1324" t="s">
        <v>5336</v>
      </c>
      <c r="D1324" t="s">
        <v>5337</v>
      </c>
      <c r="E1324" t="s">
        <v>16</v>
      </c>
      <c r="F1324" t="s">
        <v>1443</v>
      </c>
      <c r="G1324" s="2">
        <v>0.43055555555555558</v>
      </c>
      <c r="H1324" t="s">
        <v>1200</v>
      </c>
      <c r="I1324" t="s">
        <v>1201</v>
      </c>
      <c r="L1324" t="s">
        <v>1363</v>
      </c>
      <c r="X1324" t="s">
        <v>498</v>
      </c>
      <c r="Y1324">
        <v>8</v>
      </c>
      <c r="Z1324" t="s">
        <v>1396</v>
      </c>
      <c r="AB1324" t="s">
        <v>546</v>
      </c>
      <c r="AC1324">
        <v>10</v>
      </c>
      <c r="AD1324" t="s">
        <v>1396</v>
      </c>
      <c r="AE1324" t="s">
        <v>1100</v>
      </c>
      <c r="AF1324">
        <v>10</v>
      </c>
      <c r="AG1324" t="s">
        <v>1396</v>
      </c>
    </row>
    <row r="1325" spans="1:33" x14ac:dyDescent="0.3">
      <c r="A1325" t="s">
        <v>769</v>
      </c>
      <c r="B1325" t="s">
        <v>5338</v>
      </c>
      <c r="C1325" t="s">
        <v>5339</v>
      </c>
      <c r="D1325" t="s">
        <v>5340</v>
      </c>
      <c r="E1325" t="s">
        <v>16</v>
      </c>
      <c r="F1325" t="s">
        <v>1447</v>
      </c>
      <c r="G1325" s="2">
        <v>0.4236111111111111</v>
      </c>
      <c r="H1325" t="s">
        <v>1200</v>
      </c>
      <c r="I1325" t="s">
        <v>1201</v>
      </c>
      <c r="L1325" t="s">
        <v>1363</v>
      </c>
      <c r="X1325" t="s">
        <v>498</v>
      </c>
      <c r="Y1325">
        <v>8</v>
      </c>
      <c r="Z1325" t="s">
        <v>1396</v>
      </c>
      <c r="AB1325" t="s">
        <v>1100</v>
      </c>
      <c r="AC1325">
        <v>10</v>
      </c>
      <c r="AD1325" t="s">
        <v>1396</v>
      </c>
      <c r="AE1325" t="s">
        <v>546</v>
      </c>
      <c r="AF1325">
        <v>10</v>
      </c>
      <c r="AG1325" t="s">
        <v>1396</v>
      </c>
    </row>
    <row r="1326" spans="1:33" x14ac:dyDescent="0.3">
      <c r="A1326" t="s">
        <v>769</v>
      </c>
      <c r="B1326" t="s">
        <v>5341</v>
      </c>
      <c r="C1326" t="s">
        <v>5342</v>
      </c>
      <c r="D1326" t="s">
        <v>5343</v>
      </c>
      <c r="E1326" t="s">
        <v>16</v>
      </c>
      <c r="F1326" t="s">
        <v>1451</v>
      </c>
      <c r="G1326" s="2">
        <v>0.41666666666666669</v>
      </c>
      <c r="H1326" t="s">
        <v>1200</v>
      </c>
      <c r="I1326" t="s">
        <v>1201</v>
      </c>
      <c r="L1326" t="s">
        <v>1363</v>
      </c>
      <c r="X1326" t="s">
        <v>498</v>
      </c>
      <c r="Y1326">
        <v>8</v>
      </c>
      <c r="Z1326" t="s">
        <v>1396</v>
      </c>
      <c r="AB1326" t="s">
        <v>1100</v>
      </c>
      <c r="AC1326">
        <v>10</v>
      </c>
      <c r="AD1326" t="s">
        <v>1396</v>
      </c>
      <c r="AE1326" t="s">
        <v>546</v>
      </c>
      <c r="AF1326">
        <v>10</v>
      </c>
      <c r="AG1326" t="s">
        <v>1396</v>
      </c>
    </row>
    <row r="1327" spans="1:33" x14ac:dyDescent="0.3">
      <c r="A1327" t="s">
        <v>769</v>
      </c>
      <c r="B1327" t="s">
        <v>5344</v>
      </c>
      <c r="C1327" t="s">
        <v>5345</v>
      </c>
      <c r="D1327" t="s">
        <v>5346</v>
      </c>
      <c r="E1327" t="s">
        <v>16</v>
      </c>
      <c r="F1327" t="s">
        <v>1455</v>
      </c>
      <c r="G1327" s="2">
        <v>0.40972222222222227</v>
      </c>
      <c r="H1327" t="s">
        <v>1200</v>
      </c>
      <c r="I1327" t="s">
        <v>1201</v>
      </c>
      <c r="L1327" t="s">
        <v>1363</v>
      </c>
      <c r="X1327" t="s">
        <v>498</v>
      </c>
      <c r="Y1327">
        <v>7</v>
      </c>
      <c r="Z1327" t="s">
        <v>1396</v>
      </c>
      <c r="AB1327" t="s">
        <v>1100</v>
      </c>
      <c r="AC1327">
        <v>10</v>
      </c>
      <c r="AD1327" t="s">
        <v>1396</v>
      </c>
      <c r="AE1327" t="s">
        <v>546</v>
      </c>
      <c r="AF1327">
        <v>10</v>
      </c>
      <c r="AG1327" t="s">
        <v>1396</v>
      </c>
    </row>
    <row r="1328" spans="1:33" x14ac:dyDescent="0.3">
      <c r="A1328" t="s">
        <v>769</v>
      </c>
      <c r="B1328" t="s">
        <v>5347</v>
      </c>
      <c r="C1328" t="s">
        <v>5348</v>
      </c>
      <c r="D1328" t="s">
        <v>5349</v>
      </c>
      <c r="E1328" t="s">
        <v>16</v>
      </c>
      <c r="F1328" t="s">
        <v>1459</v>
      </c>
      <c r="G1328" s="2">
        <v>0.40277777777777773</v>
      </c>
      <c r="H1328" t="s">
        <v>1200</v>
      </c>
      <c r="I1328" t="s">
        <v>1201</v>
      </c>
      <c r="L1328" t="s">
        <v>1202</v>
      </c>
      <c r="X1328" t="s">
        <v>498</v>
      </c>
      <c r="Y1328">
        <v>7</v>
      </c>
      <c r="Z1328" t="s">
        <v>1396</v>
      </c>
      <c r="AB1328" t="s">
        <v>1100</v>
      </c>
      <c r="AC1328">
        <v>10</v>
      </c>
      <c r="AD1328" t="s">
        <v>1396</v>
      </c>
      <c r="AE1328" t="s">
        <v>546</v>
      </c>
      <c r="AF1328">
        <v>10</v>
      </c>
      <c r="AG1328" t="s">
        <v>1396</v>
      </c>
    </row>
    <row r="1329" spans="1:33" x14ac:dyDescent="0.3">
      <c r="A1329" t="s">
        <v>769</v>
      </c>
      <c r="B1329" t="s">
        <v>5350</v>
      </c>
      <c r="C1329" t="s">
        <v>5351</v>
      </c>
      <c r="D1329" t="s">
        <v>5352</v>
      </c>
      <c r="E1329" t="s">
        <v>16</v>
      </c>
      <c r="F1329" t="s">
        <v>1463</v>
      </c>
      <c r="G1329" s="2">
        <v>0.39583333333333331</v>
      </c>
      <c r="H1329" t="s">
        <v>1200</v>
      </c>
      <c r="I1329" t="s">
        <v>1201</v>
      </c>
      <c r="L1329" t="s">
        <v>1202</v>
      </c>
      <c r="X1329" t="s">
        <v>525</v>
      </c>
      <c r="Y1329">
        <v>6</v>
      </c>
      <c r="Z1329" t="s">
        <v>1245</v>
      </c>
      <c r="AB1329" t="s">
        <v>546</v>
      </c>
      <c r="AC1329">
        <v>9</v>
      </c>
      <c r="AD1329" t="s">
        <v>1203</v>
      </c>
      <c r="AE1329" t="s">
        <v>1100</v>
      </c>
      <c r="AF1329">
        <v>12</v>
      </c>
      <c r="AG1329" t="s">
        <v>1266</v>
      </c>
    </row>
    <row r="1330" spans="1:33" x14ac:dyDescent="0.3">
      <c r="A1330" t="s">
        <v>769</v>
      </c>
      <c r="B1330" t="s">
        <v>5353</v>
      </c>
      <c r="C1330" t="s">
        <v>5354</v>
      </c>
      <c r="D1330" t="s">
        <v>5355</v>
      </c>
      <c r="E1330" t="s">
        <v>16</v>
      </c>
      <c r="F1330" t="s">
        <v>1469</v>
      </c>
      <c r="G1330" s="2">
        <v>0.3888888888888889</v>
      </c>
      <c r="H1330" t="s">
        <v>1200</v>
      </c>
      <c r="I1330" t="s">
        <v>1201</v>
      </c>
      <c r="M1330" t="s">
        <v>1292</v>
      </c>
      <c r="X1330" t="s">
        <v>546</v>
      </c>
      <c r="Y1330">
        <v>7</v>
      </c>
      <c r="Z1330" t="s">
        <v>1266</v>
      </c>
      <c r="AB1330" t="s">
        <v>1100</v>
      </c>
      <c r="AC1330">
        <v>6</v>
      </c>
      <c r="AD1330" t="s">
        <v>1266</v>
      </c>
      <c r="AE1330" t="s">
        <v>498</v>
      </c>
      <c r="AF1330">
        <v>10</v>
      </c>
      <c r="AG1330" t="s">
        <v>1228</v>
      </c>
    </row>
    <row r="1331" spans="1:33" x14ac:dyDescent="0.3">
      <c r="A1331" t="s">
        <v>769</v>
      </c>
      <c r="B1331" t="s">
        <v>5356</v>
      </c>
      <c r="C1331" t="s">
        <v>5357</v>
      </c>
      <c r="D1331" t="s">
        <v>5358</v>
      </c>
      <c r="E1331" t="s">
        <v>16</v>
      </c>
      <c r="F1331" t="s">
        <v>1473</v>
      </c>
      <c r="G1331" s="2">
        <v>0.38194444444444442</v>
      </c>
      <c r="H1331" t="s">
        <v>1200</v>
      </c>
      <c r="I1331" t="s">
        <v>1201</v>
      </c>
      <c r="M1331" t="s">
        <v>1292</v>
      </c>
      <c r="X1331" t="s">
        <v>546</v>
      </c>
      <c r="Y1331">
        <v>6</v>
      </c>
      <c r="Z1331" t="s">
        <v>1203</v>
      </c>
      <c r="AB1331" t="s">
        <v>1100</v>
      </c>
      <c r="AC1331">
        <v>9</v>
      </c>
      <c r="AD1331" t="s">
        <v>1245</v>
      </c>
    </row>
    <row r="1332" spans="1:33" x14ac:dyDescent="0.3">
      <c r="A1332" t="s">
        <v>769</v>
      </c>
      <c r="B1332" t="s">
        <v>5359</v>
      </c>
      <c r="C1332" t="s">
        <v>5360</v>
      </c>
      <c r="D1332" t="s">
        <v>5361</v>
      </c>
      <c r="E1332" t="s">
        <v>16</v>
      </c>
      <c r="F1332" t="s">
        <v>1477</v>
      </c>
      <c r="G1332" s="2">
        <v>0.375</v>
      </c>
      <c r="H1332" t="s">
        <v>1200</v>
      </c>
      <c r="I1332" t="s">
        <v>1201</v>
      </c>
      <c r="M1332" t="s">
        <v>1292</v>
      </c>
      <c r="X1332" t="s">
        <v>546</v>
      </c>
      <c r="Y1332">
        <v>6</v>
      </c>
      <c r="Z1332" t="s">
        <v>1217</v>
      </c>
      <c r="AB1332" t="s">
        <v>1100</v>
      </c>
      <c r="AC1332">
        <v>8</v>
      </c>
      <c r="AD1332" t="s">
        <v>1217</v>
      </c>
    </row>
    <row r="1333" spans="1:33" x14ac:dyDescent="0.3">
      <c r="A1333" t="s">
        <v>769</v>
      </c>
      <c r="B1333" t="s">
        <v>5362</v>
      </c>
      <c r="C1333" t="s">
        <v>5363</v>
      </c>
      <c r="D1333" t="s">
        <v>5364</v>
      </c>
      <c r="E1333" t="s">
        <v>16</v>
      </c>
      <c r="F1333" t="s">
        <v>1482</v>
      </c>
      <c r="G1333" s="2">
        <v>0.36805555555555558</v>
      </c>
      <c r="H1333" t="s">
        <v>1200</v>
      </c>
      <c r="I1333" t="s">
        <v>1201</v>
      </c>
      <c r="M1333" t="s">
        <v>1292</v>
      </c>
      <c r="X1333" t="s">
        <v>498</v>
      </c>
      <c r="Y1333">
        <v>5</v>
      </c>
      <c r="Z1333" t="s">
        <v>1717</v>
      </c>
      <c r="AB1333" t="s">
        <v>1100</v>
      </c>
      <c r="AC1333">
        <v>7</v>
      </c>
      <c r="AD1333" t="s">
        <v>1245</v>
      </c>
      <c r="AE1333" t="s">
        <v>546</v>
      </c>
      <c r="AF1333">
        <v>8</v>
      </c>
      <c r="AG1333" t="s">
        <v>1203</v>
      </c>
    </row>
    <row r="1334" spans="1:33" x14ac:dyDescent="0.3">
      <c r="A1334" t="s">
        <v>769</v>
      </c>
      <c r="B1334" t="s">
        <v>5365</v>
      </c>
      <c r="C1334" t="s">
        <v>5366</v>
      </c>
      <c r="D1334" t="s">
        <v>5367</v>
      </c>
      <c r="E1334" t="s">
        <v>16</v>
      </c>
      <c r="F1334" t="s">
        <v>1486</v>
      </c>
      <c r="G1334" s="2">
        <v>0.3611111111111111</v>
      </c>
      <c r="H1334" t="s">
        <v>1200</v>
      </c>
      <c r="I1334" t="s">
        <v>1201</v>
      </c>
      <c r="K1334" t="s">
        <v>1250</v>
      </c>
      <c r="X1334" t="s">
        <v>546</v>
      </c>
      <c r="Y1334">
        <v>10</v>
      </c>
      <c r="Z1334" t="s">
        <v>1266</v>
      </c>
      <c r="AB1334" t="s">
        <v>1100</v>
      </c>
      <c r="AC1334">
        <v>11</v>
      </c>
      <c r="AD1334" t="s">
        <v>2390</v>
      </c>
      <c r="AE1334" t="s">
        <v>498</v>
      </c>
      <c r="AF1334">
        <v>15</v>
      </c>
      <c r="AG1334" t="s">
        <v>1717</v>
      </c>
    </row>
    <row r="1335" spans="1:33" x14ac:dyDescent="0.3">
      <c r="A1335" t="s">
        <v>769</v>
      </c>
      <c r="B1335" t="s">
        <v>5368</v>
      </c>
      <c r="C1335" t="s">
        <v>5369</v>
      </c>
      <c r="D1335" t="s">
        <v>5370</v>
      </c>
      <c r="E1335" t="s">
        <v>16</v>
      </c>
      <c r="F1335" t="s">
        <v>1490</v>
      </c>
      <c r="G1335" s="2">
        <v>0.35416666666666669</v>
      </c>
      <c r="H1335" t="s">
        <v>1200</v>
      </c>
      <c r="I1335" t="s">
        <v>1201</v>
      </c>
      <c r="M1335" t="s">
        <v>1216</v>
      </c>
      <c r="X1335" t="s">
        <v>498</v>
      </c>
      <c r="Y1335">
        <v>4</v>
      </c>
      <c r="Z1335" t="s">
        <v>1217</v>
      </c>
      <c r="AB1335" t="s">
        <v>546</v>
      </c>
      <c r="AC1335">
        <v>8</v>
      </c>
      <c r="AD1335" t="s">
        <v>1217</v>
      </c>
      <c r="AE1335" t="s">
        <v>1100</v>
      </c>
      <c r="AF1335">
        <v>8</v>
      </c>
      <c r="AG1335" t="s">
        <v>1203</v>
      </c>
    </row>
    <row r="1336" spans="1:33" x14ac:dyDescent="0.3">
      <c r="A1336" t="s">
        <v>769</v>
      </c>
      <c r="B1336" t="s">
        <v>5371</v>
      </c>
      <c r="C1336" t="s">
        <v>5372</v>
      </c>
      <c r="D1336" t="s">
        <v>5373</v>
      </c>
      <c r="E1336" t="s">
        <v>16</v>
      </c>
      <c r="F1336" t="s">
        <v>1495</v>
      </c>
      <c r="G1336" s="2">
        <v>0.34722222222222227</v>
      </c>
      <c r="H1336" t="s">
        <v>1200</v>
      </c>
      <c r="I1336" t="s">
        <v>1201</v>
      </c>
      <c r="M1336" t="s">
        <v>1216</v>
      </c>
      <c r="X1336" t="s">
        <v>546</v>
      </c>
      <c r="Y1336">
        <v>4</v>
      </c>
      <c r="Z1336" t="s">
        <v>1217</v>
      </c>
      <c r="AB1336" t="s">
        <v>498</v>
      </c>
      <c r="AC1336">
        <v>5</v>
      </c>
      <c r="AD1336" t="s">
        <v>1217</v>
      </c>
      <c r="AE1336" t="s">
        <v>1100</v>
      </c>
      <c r="AF1336">
        <v>6</v>
      </c>
      <c r="AG1336" t="s">
        <v>1203</v>
      </c>
    </row>
    <row r="1337" spans="1:33" x14ac:dyDescent="0.3">
      <c r="A1337" t="s">
        <v>769</v>
      </c>
      <c r="B1337" t="s">
        <v>5374</v>
      </c>
      <c r="C1337" t="s">
        <v>5375</v>
      </c>
      <c r="D1337" t="s">
        <v>5376</v>
      </c>
      <c r="E1337" t="s">
        <v>16</v>
      </c>
      <c r="F1337" t="s">
        <v>1500</v>
      </c>
      <c r="G1337" s="2">
        <v>0.34027777777777773</v>
      </c>
      <c r="H1337" t="s">
        <v>1200</v>
      </c>
      <c r="I1337" t="s">
        <v>1201</v>
      </c>
      <c r="K1337" t="s">
        <v>1250</v>
      </c>
      <c r="X1337" t="s">
        <v>546</v>
      </c>
      <c r="Y1337">
        <v>6</v>
      </c>
      <c r="Z1337" t="s">
        <v>1266</v>
      </c>
      <c r="AB1337" t="s">
        <v>1100</v>
      </c>
      <c r="AC1337">
        <v>8</v>
      </c>
      <c r="AD1337" t="s">
        <v>1266</v>
      </c>
      <c r="AE1337" t="s">
        <v>498</v>
      </c>
      <c r="AF1337">
        <v>10</v>
      </c>
      <c r="AG1337" t="s">
        <v>2403</v>
      </c>
    </row>
    <row r="1338" spans="1:33" x14ac:dyDescent="0.3">
      <c r="A1338" t="s">
        <v>773</v>
      </c>
      <c r="B1338" t="s">
        <v>5377</v>
      </c>
      <c r="C1338" t="s">
        <v>5378</v>
      </c>
      <c r="D1338" t="s">
        <v>5379</v>
      </c>
      <c r="E1338" t="s">
        <v>16</v>
      </c>
      <c r="F1338" t="s">
        <v>1249</v>
      </c>
      <c r="G1338" s="2">
        <v>0.52083333333333337</v>
      </c>
      <c r="H1338" t="s">
        <v>1200</v>
      </c>
      <c r="I1338" t="s">
        <v>1201</v>
      </c>
      <c r="M1338" t="s">
        <v>1292</v>
      </c>
    </row>
    <row r="1339" spans="1:33" x14ac:dyDescent="0.3">
      <c r="A1339" t="s">
        <v>773</v>
      </c>
      <c r="B1339" t="s">
        <v>5380</v>
      </c>
      <c r="C1339" t="s">
        <v>5381</v>
      </c>
      <c r="D1339" t="s">
        <v>5382</v>
      </c>
      <c r="E1339" t="s">
        <v>16</v>
      </c>
      <c r="F1339" t="s">
        <v>1406</v>
      </c>
      <c r="G1339" s="2">
        <v>0.51388888888888895</v>
      </c>
      <c r="H1339" t="s">
        <v>1200</v>
      </c>
      <c r="I1339" t="s">
        <v>1201</v>
      </c>
      <c r="J1339" t="s">
        <v>1730</v>
      </c>
      <c r="M1339" t="s">
        <v>1640</v>
      </c>
    </row>
    <row r="1340" spans="1:33" x14ac:dyDescent="0.3">
      <c r="A1340" t="s">
        <v>773</v>
      </c>
      <c r="B1340" t="s">
        <v>5383</v>
      </c>
      <c r="C1340" t="s">
        <v>5384</v>
      </c>
      <c r="D1340" t="s">
        <v>5385</v>
      </c>
      <c r="E1340" t="s">
        <v>16</v>
      </c>
      <c r="F1340" t="s">
        <v>1254</v>
      </c>
      <c r="G1340" s="2">
        <v>0.50694444444444442</v>
      </c>
      <c r="H1340" t="s">
        <v>1200</v>
      </c>
      <c r="I1340" t="s">
        <v>1201</v>
      </c>
      <c r="M1340" t="s">
        <v>1640</v>
      </c>
    </row>
    <row r="1341" spans="1:33" x14ac:dyDescent="0.3">
      <c r="A1341" t="s">
        <v>773</v>
      </c>
      <c r="B1341" t="s">
        <v>5386</v>
      </c>
      <c r="C1341" t="s">
        <v>5387</v>
      </c>
      <c r="D1341" t="s">
        <v>5388</v>
      </c>
      <c r="E1341" t="s">
        <v>16</v>
      </c>
      <c r="F1341" t="s">
        <v>1259</v>
      </c>
      <c r="G1341" s="2">
        <v>0.5</v>
      </c>
      <c r="H1341" t="s">
        <v>1200</v>
      </c>
      <c r="I1341" t="s">
        <v>1201</v>
      </c>
      <c r="J1341" t="s">
        <v>1730</v>
      </c>
      <c r="M1341" t="s">
        <v>1640</v>
      </c>
    </row>
    <row r="1342" spans="1:33" x14ac:dyDescent="0.3">
      <c r="A1342" t="s">
        <v>773</v>
      </c>
      <c r="B1342" t="s">
        <v>5389</v>
      </c>
      <c r="C1342" t="s">
        <v>5390</v>
      </c>
      <c r="D1342" t="s">
        <v>5391</v>
      </c>
      <c r="E1342" t="s">
        <v>16</v>
      </c>
      <c r="F1342" t="s">
        <v>1265</v>
      </c>
      <c r="G1342" s="2">
        <v>0.49305555555555558</v>
      </c>
      <c r="H1342" t="s">
        <v>1200</v>
      </c>
      <c r="I1342" t="s">
        <v>1201</v>
      </c>
      <c r="J1342" t="s">
        <v>1730</v>
      </c>
      <c r="M1342" t="s">
        <v>1640</v>
      </c>
    </row>
    <row r="1343" spans="1:33" x14ac:dyDescent="0.3">
      <c r="A1343" t="s">
        <v>773</v>
      </c>
      <c r="B1343" t="s">
        <v>5392</v>
      </c>
      <c r="C1343" t="s">
        <v>5393</v>
      </c>
      <c r="D1343" t="s">
        <v>5394</v>
      </c>
      <c r="E1343" t="s">
        <v>16</v>
      </c>
      <c r="F1343" t="s">
        <v>1270</v>
      </c>
      <c r="G1343" s="2">
        <v>0.4861111111111111</v>
      </c>
      <c r="H1343" t="s">
        <v>1200</v>
      </c>
      <c r="I1343" t="s">
        <v>1201</v>
      </c>
      <c r="J1343" t="s">
        <v>1730</v>
      </c>
      <c r="M1343" t="s">
        <v>1292</v>
      </c>
      <c r="X1343" t="s">
        <v>1100</v>
      </c>
      <c r="Y1343">
        <v>2</v>
      </c>
      <c r="Z1343" t="s">
        <v>1266</v>
      </c>
      <c r="AB1343" t="s">
        <v>498</v>
      </c>
      <c r="AC1343">
        <v>3</v>
      </c>
      <c r="AD1343" t="s">
        <v>1245</v>
      </c>
      <c r="AE1343" t="s">
        <v>525</v>
      </c>
      <c r="AF1343">
        <v>5</v>
      </c>
      <c r="AG1343" t="s">
        <v>1245</v>
      </c>
    </row>
    <row r="1344" spans="1:33" x14ac:dyDescent="0.3">
      <c r="A1344" t="s">
        <v>773</v>
      </c>
      <c r="B1344" t="s">
        <v>5395</v>
      </c>
      <c r="C1344" t="s">
        <v>5396</v>
      </c>
      <c r="D1344" t="s">
        <v>5397</v>
      </c>
      <c r="E1344" t="s">
        <v>16</v>
      </c>
      <c r="F1344" t="s">
        <v>1274</v>
      </c>
      <c r="G1344" s="2">
        <v>0.47916666666666669</v>
      </c>
      <c r="H1344" t="s">
        <v>1200</v>
      </c>
      <c r="I1344" t="s">
        <v>1201</v>
      </c>
      <c r="J1344" t="s">
        <v>1730</v>
      </c>
      <c r="M1344" t="s">
        <v>2810</v>
      </c>
      <c r="X1344" t="s">
        <v>498</v>
      </c>
      <c r="Y1344">
        <v>3</v>
      </c>
      <c r="Z1344" t="s">
        <v>1245</v>
      </c>
      <c r="AB1344" t="s">
        <v>752</v>
      </c>
      <c r="AC1344">
        <v>4</v>
      </c>
      <c r="AD1344" t="s">
        <v>1245</v>
      </c>
      <c r="AE1344" t="s">
        <v>525</v>
      </c>
      <c r="AF1344">
        <v>8</v>
      </c>
      <c r="AG1344" t="s">
        <v>1203</v>
      </c>
    </row>
    <row r="1345" spans="1:33" x14ac:dyDescent="0.3">
      <c r="A1345" t="s">
        <v>773</v>
      </c>
      <c r="B1345" t="s">
        <v>5398</v>
      </c>
      <c r="C1345" t="s">
        <v>5399</v>
      </c>
      <c r="D1345" t="s">
        <v>5400</v>
      </c>
      <c r="E1345" t="s">
        <v>16</v>
      </c>
      <c r="F1345" t="s">
        <v>1278</v>
      </c>
      <c r="G1345" s="2">
        <v>0.47222222222222227</v>
      </c>
      <c r="H1345" t="s">
        <v>1200</v>
      </c>
      <c r="I1345" t="s">
        <v>1201</v>
      </c>
      <c r="M1345" t="s">
        <v>2810</v>
      </c>
      <c r="X1345" t="s">
        <v>498</v>
      </c>
      <c r="Y1345">
        <v>5</v>
      </c>
      <c r="Z1345" t="s">
        <v>1245</v>
      </c>
    </row>
    <row r="1346" spans="1:33" x14ac:dyDescent="0.3">
      <c r="A1346" t="s">
        <v>773</v>
      </c>
      <c r="B1346" t="s">
        <v>5401</v>
      </c>
      <c r="C1346" t="s">
        <v>5402</v>
      </c>
      <c r="D1346" t="s">
        <v>5403</v>
      </c>
      <c r="E1346" t="s">
        <v>16</v>
      </c>
      <c r="F1346" t="s">
        <v>1282</v>
      </c>
      <c r="G1346" s="2">
        <v>0.46527777777777773</v>
      </c>
      <c r="H1346" t="s">
        <v>1200</v>
      </c>
      <c r="I1346" t="s">
        <v>1201</v>
      </c>
      <c r="J1346" t="s">
        <v>1730</v>
      </c>
      <c r="M1346" t="s">
        <v>1292</v>
      </c>
      <c r="X1346" t="s">
        <v>498</v>
      </c>
      <c r="Y1346">
        <v>6</v>
      </c>
      <c r="Z1346" t="s">
        <v>1217</v>
      </c>
      <c r="AB1346" t="s">
        <v>525</v>
      </c>
      <c r="AC1346">
        <v>3</v>
      </c>
      <c r="AD1346" t="s">
        <v>1245</v>
      </c>
      <c r="AE1346" t="s">
        <v>752</v>
      </c>
      <c r="AF1346">
        <v>7</v>
      </c>
      <c r="AG1346" t="s">
        <v>5404</v>
      </c>
    </row>
    <row r="1347" spans="1:33" x14ac:dyDescent="0.3">
      <c r="A1347" t="s">
        <v>773</v>
      </c>
      <c r="B1347" t="s">
        <v>5405</v>
      </c>
      <c r="C1347" t="s">
        <v>5406</v>
      </c>
      <c r="D1347" t="s">
        <v>5407</v>
      </c>
      <c r="E1347" t="s">
        <v>16</v>
      </c>
      <c r="F1347" t="s">
        <v>1287</v>
      </c>
      <c r="G1347" s="2">
        <v>0.45833333333333331</v>
      </c>
      <c r="H1347" t="s">
        <v>1200</v>
      </c>
      <c r="I1347" t="s">
        <v>1201</v>
      </c>
      <c r="M1347" t="s">
        <v>2810</v>
      </c>
      <c r="X1347" t="s">
        <v>498</v>
      </c>
      <c r="Y1347">
        <v>5</v>
      </c>
      <c r="Z1347" t="s">
        <v>1228</v>
      </c>
      <c r="AB1347" t="s">
        <v>498</v>
      </c>
      <c r="AC1347">
        <v>8</v>
      </c>
      <c r="AD1347" t="s">
        <v>1228</v>
      </c>
      <c r="AE1347" t="s">
        <v>525</v>
      </c>
      <c r="AF1347">
        <v>5</v>
      </c>
      <c r="AG1347" t="s">
        <v>1245</v>
      </c>
    </row>
    <row r="1348" spans="1:33" x14ac:dyDescent="0.3">
      <c r="A1348" t="s">
        <v>773</v>
      </c>
      <c r="B1348" t="s">
        <v>5408</v>
      </c>
      <c r="C1348" t="s">
        <v>5409</v>
      </c>
      <c r="D1348" t="s">
        <v>5410</v>
      </c>
      <c r="E1348" t="s">
        <v>16</v>
      </c>
      <c r="F1348" t="s">
        <v>1291</v>
      </c>
      <c r="G1348" s="2">
        <v>0.4513888888888889</v>
      </c>
      <c r="H1348" t="s">
        <v>1200</v>
      </c>
      <c r="I1348" t="s">
        <v>1201</v>
      </c>
      <c r="J1348" t="s">
        <v>1730</v>
      </c>
      <c r="K1348" t="s">
        <v>1250</v>
      </c>
      <c r="X1348" t="s">
        <v>498</v>
      </c>
      <c r="Y1348">
        <v>6</v>
      </c>
      <c r="Z1348" t="s">
        <v>1266</v>
      </c>
      <c r="AB1348" t="s">
        <v>525</v>
      </c>
      <c r="AC1348">
        <v>9</v>
      </c>
      <c r="AD1348" t="s">
        <v>1203</v>
      </c>
    </row>
    <row r="1349" spans="1:33" x14ac:dyDescent="0.3">
      <c r="A1349" t="s">
        <v>777</v>
      </c>
      <c r="B1349" t="s">
        <v>5411</v>
      </c>
      <c r="C1349" t="s">
        <v>5412</v>
      </c>
      <c r="D1349" t="s">
        <v>5413</v>
      </c>
      <c r="E1349" t="s">
        <v>16</v>
      </c>
      <c r="F1349" t="s">
        <v>1296</v>
      </c>
      <c r="G1349" s="2">
        <v>0.44444444444444442</v>
      </c>
      <c r="H1349" t="s">
        <v>1200</v>
      </c>
      <c r="I1349" t="s">
        <v>1201</v>
      </c>
      <c r="L1349" t="s">
        <v>1222</v>
      </c>
      <c r="R1349" t="s">
        <v>1223</v>
      </c>
      <c r="X1349" t="s">
        <v>776</v>
      </c>
      <c r="Y1349">
        <v>5</v>
      </c>
      <c r="Z1349" t="s">
        <v>1245</v>
      </c>
      <c r="AB1349" t="s">
        <v>525</v>
      </c>
      <c r="AC1349">
        <v>6</v>
      </c>
      <c r="AD1349" t="s">
        <v>4186</v>
      </c>
    </row>
    <row r="1350" spans="1:33" x14ac:dyDescent="0.3">
      <c r="A1350" t="s">
        <v>777</v>
      </c>
      <c r="B1350" t="s">
        <v>5414</v>
      </c>
      <c r="C1350" t="s">
        <v>5415</v>
      </c>
      <c r="D1350" t="s">
        <v>5416</v>
      </c>
      <c r="E1350" t="s">
        <v>16</v>
      </c>
      <c r="F1350" t="s">
        <v>1300</v>
      </c>
      <c r="G1350" s="2">
        <v>0.4375</v>
      </c>
      <c r="H1350" t="s">
        <v>1200</v>
      </c>
      <c r="I1350" t="s">
        <v>1201</v>
      </c>
      <c r="M1350" t="s">
        <v>1292</v>
      </c>
      <c r="X1350" t="s">
        <v>776</v>
      </c>
      <c r="Y1350">
        <v>4</v>
      </c>
      <c r="Z1350" t="s">
        <v>1245</v>
      </c>
      <c r="AB1350" t="s">
        <v>525</v>
      </c>
      <c r="AC1350">
        <v>4</v>
      </c>
      <c r="AD1350" t="s">
        <v>1245</v>
      </c>
    </row>
    <row r="1351" spans="1:33" x14ac:dyDescent="0.3">
      <c r="A1351" t="s">
        <v>780</v>
      </c>
      <c r="B1351" t="s">
        <v>5417</v>
      </c>
      <c r="C1351" t="s">
        <v>5418</v>
      </c>
      <c r="D1351" t="s">
        <v>5419</v>
      </c>
      <c r="E1351" t="s">
        <v>16</v>
      </c>
      <c r="F1351" t="s">
        <v>1455</v>
      </c>
      <c r="G1351" s="2">
        <v>0.40972222222222227</v>
      </c>
      <c r="H1351" t="s">
        <v>1200</v>
      </c>
      <c r="I1351" t="s">
        <v>1201</v>
      </c>
      <c r="L1351" t="s">
        <v>1202</v>
      </c>
      <c r="X1351" t="s">
        <v>525</v>
      </c>
      <c r="Y1351">
        <v>6</v>
      </c>
      <c r="Z1351" t="s">
        <v>1203</v>
      </c>
      <c r="AB1351" t="s">
        <v>525</v>
      </c>
      <c r="AC1351">
        <v>8</v>
      </c>
      <c r="AD1351" t="s">
        <v>1203</v>
      </c>
      <c r="AE1351" t="s">
        <v>498</v>
      </c>
      <c r="AF1351">
        <v>10</v>
      </c>
      <c r="AG1351" t="s">
        <v>1228</v>
      </c>
    </row>
    <row r="1352" spans="1:33" x14ac:dyDescent="0.3">
      <c r="A1352" t="s">
        <v>780</v>
      </c>
      <c r="B1352" t="s">
        <v>5420</v>
      </c>
      <c r="C1352" t="s">
        <v>5421</v>
      </c>
      <c r="D1352" t="s">
        <v>5422</v>
      </c>
      <c r="E1352" t="s">
        <v>16</v>
      </c>
      <c r="F1352" t="s">
        <v>1459</v>
      </c>
      <c r="G1352" s="2">
        <v>0.40277777777777773</v>
      </c>
      <c r="H1352" t="s">
        <v>1200</v>
      </c>
      <c r="I1352" t="s">
        <v>1201</v>
      </c>
      <c r="L1352" t="s">
        <v>1202</v>
      </c>
      <c r="X1352" t="s">
        <v>525</v>
      </c>
      <c r="Y1352">
        <v>6</v>
      </c>
      <c r="Z1352" t="s">
        <v>1203</v>
      </c>
      <c r="AB1352" t="s">
        <v>525</v>
      </c>
      <c r="AC1352">
        <v>8</v>
      </c>
      <c r="AD1352" t="s">
        <v>1203</v>
      </c>
      <c r="AE1352" t="s">
        <v>776</v>
      </c>
      <c r="AF1352">
        <v>13</v>
      </c>
      <c r="AG1352" t="s">
        <v>1203</v>
      </c>
    </row>
    <row r="1353" spans="1:33" x14ac:dyDescent="0.3">
      <c r="A1353" t="s">
        <v>780</v>
      </c>
      <c r="B1353" t="s">
        <v>5423</v>
      </c>
      <c r="C1353" t="s">
        <v>5424</v>
      </c>
      <c r="D1353" t="s">
        <v>5425</v>
      </c>
      <c r="E1353" t="s">
        <v>16</v>
      </c>
      <c r="F1353" t="s">
        <v>1463</v>
      </c>
      <c r="G1353" s="2">
        <v>0.39583333333333331</v>
      </c>
      <c r="H1353" t="s">
        <v>1200</v>
      </c>
      <c r="I1353" t="s">
        <v>1201</v>
      </c>
      <c r="K1353" t="s">
        <v>1250</v>
      </c>
      <c r="X1353" t="s">
        <v>525</v>
      </c>
      <c r="Y1353">
        <v>7</v>
      </c>
      <c r="Z1353" t="s">
        <v>1266</v>
      </c>
      <c r="AB1353" t="s">
        <v>525</v>
      </c>
      <c r="AC1353">
        <v>10</v>
      </c>
      <c r="AD1353" t="s">
        <v>1266</v>
      </c>
      <c r="AE1353" t="s">
        <v>498</v>
      </c>
      <c r="AF1353">
        <v>12</v>
      </c>
      <c r="AG1353" t="s">
        <v>1203</v>
      </c>
    </row>
    <row r="1354" spans="1:33" x14ac:dyDescent="0.3">
      <c r="A1354" t="s">
        <v>783</v>
      </c>
      <c r="B1354" t="s">
        <v>5426</v>
      </c>
      <c r="C1354" t="s">
        <v>5427</v>
      </c>
      <c r="D1354" t="s">
        <v>5428</v>
      </c>
      <c r="E1354" t="s">
        <v>16</v>
      </c>
      <c r="F1354" t="s">
        <v>1304</v>
      </c>
      <c r="G1354" s="2">
        <v>0.70833333333333337</v>
      </c>
      <c r="H1354" t="s">
        <v>1200</v>
      </c>
      <c r="I1354" t="s">
        <v>1201</v>
      </c>
      <c r="M1354" t="s">
        <v>1292</v>
      </c>
      <c r="R1354" t="s">
        <v>1223</v>
      </c>
      <c r="S1354" t="s">
        <v>1224</v>
      </c>
      <c r="T1354" t="s">
        <v>1225</v>
      </c>
      <c r="V1354" t="s">
        <v>1677</v>
      </c>
      <c r="W1354" t="s">
        <v>1677</v>
      </c>
      <c r="X1354" t="s">
        <v>498</v>
      </c>
      <c r="Y1354">
        <v>7</v>
      </c>
      <c r="Z1354" t="s">
        <v>1245</v>
      </c>
      <c r="AB1354" t="s">
        <v>525</v>
      </c>
      <c r="AC1354">
        <v>6</v>
      </c>
      <c r="AD1354" t="s">
        <v>1245</v>
      </c>
    </row>
    <row r="1355" spans="1:33" x14ac:dyDescent="0.3">
      <c r="A1355" t="s">
        <v>783</v>
      </c>
      <c r="B1355" t="s">
        <v>5429</v>
      </c>
      <c r="C1355" t="s">
        <v>5430</v>
      </c>
      <c r="D1355" t="s">
        <v>5431</v>
      </c>
      <c r="E1355" t="s">
        <v>16</v>
      </c>
      <c r="F1355" t="s">
        <v>1308</v>
      </c>
      <c r="G1355" s="2">
        <v>0.70138888888888884</v>
      </c>
      <c r="H1355" t="s">
        <v>1200</v>
      </c>
      <c r="I1355" t="s">
        <v>1201</v>
      </c>
      <c r="K1355" t="s">
        <v>1250</v>
      </c>
      <c r="X1355" t="s">
        <v>498</v>
      </c>
      <c r="Y1355">
        <v>8</v>
      </c>
      <c r="Z1355" t="s">
        <v>1203</v>
      </c>
      <c r="AB1355" t="s">
        <v>525</v>
      </c>
      <c r="AC1355">
        <v>7</v>
      </c>
      <c r="AD1355" t="s">
        <v>1245</v>
      </c>
      <c r="AE1355" t="s">
        <v>776</v>
      </c>
      <c r="AF1355">
        <v>5</v>
      </c>
      <c r="AG1355" t="s">
        <v>1245</v>
      </c>
    </row>
    <row r="1356" spans="1:33" x14ac:dyDescent="0.3">
      <c r="A1356" t="s">
        <v>783</v>
      </c>
      <c r="B1356" t="s">
        <v>5432</v>
      </c>
      <c r="C1356" t="s">
        <v>5433</v>
      </c>
      <c r="D1356" t="s">
        <v>5434</v>
      </c>
      <c r="E1356" t="s">
        <v>16</v>
      </c>
      <c r="F1356" t="s">
        <v>1313</v>
      </c>
      <c r="G1356" s="2">
        <v>0.69444444444444453</v>
      </c>
      <c r="H1356" t="s">
        <v>1200</v>
      </c>
      <c r="I1356" t="s">
        <v>1201</v>
      </c>
      <c r="L1356" t="s">
        <v>1222</v>
      </c>
      <c r="R1356" t="s">
        <v>1223</v>
      </c>
      <c r="S1356" t="s">
        <v>1224</v>
      </c>
      <c r="T1356" t="s">
        <v>1676</v>
      </c>
      <c r="V1356" t="s">
        <v>1677</v>
      </c>
      <c r="W1356" t="s">
        <v>1677</v>
      </c>
      <c r="X1356" t="s">
        <v>525</v>
      </c>
      <c r="Y1356">
        <v>5</v>
      </c>
      <c r="Z1356" t="s">
        <v>1228</v>
      </c>
      <c r="AB1356" t="s">
        <v>776</v>
      </c>
      <c r="AC1356">
        <v>6</v>
      </c>
      <c r="AD1356" t="s">
        <v>1228</v>
      </c>
      <c r="AE1356" t="s">
        <v>525</v>
      </c>
      <c r="AF1356">
        <v>3</v>
      </c>
      <c r="AG1356" t="s">
        <v>1228</v>
      </c>
    </row>
    <row r="1357" spans="1:33" x14ac:dyDescent="0.3">
      <c r="A1357" t="s">
        <v>783</v>
      </c>
      <c r="B1357" t="s">
        <v>5435</v>
      </c>
      <c r="C1357" t="s">
        <v>5436</v>
      </c>
      <c r="D1357" t="s">
        <v>5437</v>
      </c>
      <c r="E1357" t="s">
        <v>16</v>
      </c>
      <c r="F1357" t="s">
        <v>1317</v>
      </c>
      <c r="G1357" s="2">
        <v>0.6875</v>
      </c>
      <c r="H1357" t="s">
        <v>1200</v>
      </c>
      <c r="I1357" t="s">
        <v>1201</v>
      </c>
      <c r="L1357" t="s">
        <v>1222</v>
      </c>
      <c r="R1357" t="s">
        <v>1223</v>
      </c>
      <c r="S1357" t="s">
        <v>1224</v>
      </c>
      <c r="T1357" t="s">
        <v>1225</v>
      </c>
      <c r="V1357" t="s">
        <v>1677</v>
      </c>
      <c r="W1357" t="s">
        <v>1677</v>
      </c>
      <c r="X1357" t="s">
        <v>776</v>
      </c>
      <c r="Y1357">
        <v>3</v>
      </c>
      <c r="Z1357" t="s">
        <v>1717</v>
      </c>
      <c r="AB1357" t="s">
        <v>525</v>
      </c>
      <c r="AC1357">
        <v>4</v>
      </c>
      <c r="AD1357" t="s">
        <v>1228</v>
      </c>
      <c r="AE1357" t="s">
        <v>525</v>
      </c>
      <c r="AF1357">
        <v>7</v>
      </c>
      <c r="AG1357" t="s">
        <v>1228</v>
      </c>
    </row>
    <row r="1358" spans="1:33" x14ac:dyDescent="0.3">
      <c r="A1358" t="s">
        <v>783</v>
      </c>
      <c r="B1358" t="s">
        <v>5438</v>
      </c>
      <c r="C1358" t="s">
        <v>5439</v>
      </c>
      <c r="D1358" t="s">
        <v>5440</v>
      </c>
      <c r="E1358" t="s">
        <v>16</v>
      </c>
      <c r="F1358" t="s">
        <v>1321</v>
      </c>
      <c r="G1358" s="2">
        <v>0.68055555555555547</v>
      </c>
      <c r="H1358" t="s">
        <v>1200</v>
      </c>
      <c r="I1358" t="s">
        <v>1201</v>
      </c>
      <c r="M1358" t="s">
        <v>1292</v>
      </c>
      <c r="R1358" t="s">
        <v>3669</v>
      </c>
      <c r="X1358" t="s">
        <v>776</v>
      </c>
      <c r="Y1358">
        <v>1</v>
      </c>
      <c r="Z1358" t="s">
        <v>2087</v>
      </c>
      <c r="AB1358" t="s">
        <v>525</v>
      </c>
      <c r="AC1358">
        <v>2</v>
      </c>
      <c r="AD1358" t="s">
        <v>1228</v>
      </c>
      <c r="AE1358" t="s">
        <v>525</v>
      </c>
      <c r="AG1358" t="s">
        <v>1228</v>
      </c>
    </row>
    <row r="1359" spans="1:33" x14ac:dyDescent="0.3">
      <c r="A1359" t="s">
        <v>783</v>
      </c>
      <c r="B1359" t="s">
        <v>5441</v>
      </c>
      <c r="C1359" t="s">
        <v>5442</v>
      </c>
      <c r="D1359" t="s">
        <v>5443</v>
      </c>
      <c r="E1359" t="s">
        <v>16</v>
      </c>
      <c r="F1359" t="s">
        <v>1325</v>
      </c>
      <c r="G1359" s="2">
        <v>0.67361111111111116</v>
      </c>
      <c r="H1359" t="s">
        <v>1200</v>
      </c>
      <c r="I1359" t="s">
        <v>1201</v>
      </c>
      <c r="M1359" t="s">
        <v>1292</v>
      </c>
      <c r="X1359" t="s">
        <v>498</v>
      </c>
      <c r="Y1359">
        <v>6</v>
      </c>
      <c r="Z1359" t="s">
        <v>1245</v>
      </c>
      <c r="AB1359" t="s">
        <v>525</v>
      </c>
      <c r="AC1359">
        <v>7</v>
      </c>
      <c r="AD1359" t="s">
        <v>1203</v>
      </c>
      <c r="AE1359" t="s">
        <v>776</v>
      </c>
      <c r="AF1359">
        <v>6</v>
      </c>
      <c r="AG1359" t="s">
        <v>1245</v>
      </c>
    </row>
    <row r="1360" spans="1:33" x14ac:dyDescent="0.3">
      <c r="A1360" t="s">
        <v>783</v>
      </c>
      <c r="B1360" t="s">
        <v>5444</v>
      </c>
      <c r="C1360" t="s">
        <v>5445</v>
      </c>
      <c r="D1360" t="s">
        <v>5446</v>
      </c>
      <c r="E1360" t="s">
        <v>16</v>
      </c>
      <c r="F1360" t="s">
        <v>1329</v>
      </c>
      <c r="G1360" s="2">
        <v>0.66666666666666663</v>
      </c>
      <c r="H1360" t="s">
        <v>1200</v>
      </c>
      <c r="I1360" t="s">
        <v>1201</v>
      </c>
      <c r="K1360" t="s">
        <v>1250</v>
      </c>
      <c r="X1360" t="s">
        <v>776</v>
      </c>
      <c r="Y1360">
        <v>8</v>
      </c>
      <c r="Z1360" t="s">
        <v>1496</v>
      </c>
      <c r="AB1360" t="s">
        <v>525</v>
      </c>
      <c r="AC1360">
        <v>5</v>
      </c>
      <c r="AD1360" t="s">
        <v>1245</v>
      </c>
      <c r="AE1360" t="s">
        <v>498</v>
      </c>
      <c r="AF1360">
        <v>8</v>
      </c>
      <c r="AG1360" t="s">
        <v>1228</v>
      </c>
    </row>
    <row r="1361" spans="1:33" x14ac:dyDescent="0.3">
      <c r="A1361" t="s">
        <v>783</v>
      </c>
      <c r="B1361" t="s">
        <v>5447</v>
      </c>
      <c r="C1361" t="s">
        <v>5448</v>
      </c>
      <c r="D1361" t="s">
        <v>5449</v>
      </c>
      <c r="E1361" t="s">
        <v>16</v>
      </c>
      <c r="F1361" t="s">
        <v>1333</v>
      </c>
      <c r="G1361" s="2">
        <v>0.65972222222222221</v>
      </c>
      <c r="H1361" t="s">
        <v>1200</v>
      </c>
      <c r="I1361" t="s">
        <v>1201</v>
      </c>
      <c r="K1361" t="s">
        <v>1250</v>
      </c>
      <c r="X1361" t="s">
        <v>498</v>
      </c>
      <c r="Y1361">
        <v>6</v>
      </c>
      <c r="Z1361" t="s">
        <v>1266</v>
      </c>
      <c r="AB1361" t="s">
        <v>776</v>
      </c>
      <c r="AC1361">
        <v>5</v>
      </c>
      <c r="AD1361" t="s">
        <v>1266</v>
      </c>
      <c r="AE1361" t="s">
        <v>525</v>
      </c>
      <c r="AF1361">
        <v>9</v>
      </c>
      <c r="AG1361" t="s">
        <v>1266</v>
      </c>
    </row>
    <row r="1362" spans="1:33" x14ac:dyDescent="0.3">
      <c r="A1362" t="s">
        <v>783</v>
      </c>
      <c r="B1362" t="s">
        <v>5450</v>
      </c>
      <c r="C1362" t="s">
        <v>5451</v>
      </c>
      <c r="D1362" t="s">
        <v>5452</v>
      </c>
      <c r="E1362" t="s">
        <v>16</v>
      </c>
      <c r="F1362" t="s">
        <v>1338</v>
      </c>
      <c r="G1362" s="2">
        <v>0.65277777777777779</v>
      </c>
      <c r="H1362" t="s">
        <v>1200</v>
      </c>
      <c r="I1362" t="s">
        <v>1201</v>
      </c>
      <c r="K1362" t="s">
        <v>1250</v>
      </c>
      <c r="R1362" t="s">
        <v>1223</v>
      </c>
      <c r="X1362" t="s">
        <v>498</v>
      </c>
      <c r="Y1362">
        <v>7</v>
      </c>
      <c r="Z1362" t="s">
        <v>1266</v>
      </c>
      <c r="AB1362" t="s">
        <v>525</v>
      </c>
      <c r="AC1362">
        <v>5</v>
      </c>
      <c r="AD1362" t="s">
        <v>1266</v>
      </c>
      <c r="AE1362" t="s">
        <v>776</v>
      </c>
      <c r="AF1362">
        <v>4</v>
      </c>
      <c r="AG1362" t="s">
        <v>1717</v>
      </c>
    </row>
    <row r="1363" spans="1:33" x14ac:dyDescent="0.3">
      <c r="A1363" t="s">
        <v>783</v>
      </c>
      <c r="B1363" t="s">
        <v>5453</v>
      </c>
      <c r="C1363" t="s">
        <v>5454</v>
      </c>
      <c r="D1363" t="s">
        <v>5455</v>
      </c>
      <c r="E1363" t="s">
        <v>16</v>
      </c>
      <c r="F1363" t="s">
        <v>1342</v>
      </c>
      <c r="G1363" s="2">
        <v>0.64583333333333337</v>
      </c>
      <c r="H1363" t="s">
        <v>1200</v>
      </c>
      <c r="I1363" t="s">
        <v>1201</v>
      </c>
      <c r="L1363" t="s">
        <v>1222</v>
      </c>
      <c r="N1363" t="s">
        <v>5456</v>
      </c>
      <c r="O1363" t="s">
        <v>3970</v>
      </c>
      <c r="P1363" t="s">
        <v>5457</v>
      </c>
      <c r="Q1363" t="s">
        <v>2613</v>
      </c>
      <c r="S1363" t="s">
        <v>364</v>
      </c>
      <c r="T1363" t="s">
        <v>1676</v>
      </c>
      <c r="U1363" t="s">
        <v>5458</v>
      </c>
      <c r="X1363" t="s">
        <v>776</v>
      </c>
      <c r="Y1363">
        <v>8</v>
      </c>
      <c r="Z1363" t="s">
        <v>1245</v>
      </c>
      <c r="AB1363" t="s">
        <v>498</v>
      </c>
      <c r="AC1363">
        <v>6</v>
      </c>
      <c r="AD1363" t="s">
        <v>1228</v>
      </c>
      <c r="AE1363" t="s">
        <v>525</v>
      </c>
      <c r="AF1363">
        <v>2</v>
      </c>
      <c r="AG1363" t="s">
        <v>3990</v>
      </c>
    </row>
    <row r="1364" spans="1:33" x14ac:dyDescent="0.3">
      <c r="A1364" t="s">
        <v>783</v>
      </c>
      <c r="B1364" t="s">
        <v>5459</v>
      </c>
      <c r="C1364" t="s">
        <v>5460</v>
      </c>
      <c r="D1364" t="s">
        <v>5461</v>
      </c>
      <c r="E1364" t="s">
        <v>16</v>
      </c>
      <c r="F1364" t="s">
        <v>1346</v>
      </c>
      <c r="G1364" s="2">
        <v>0.63888888888888895</v>
      </c>
      <c r="H1364" t="s">
        <v>1200</v>
      </c>
      <c r="I1364" t="s">
        <v>1201</v>
      </c>
      <c r="M1364" t="s">
        <v>1292</v>
      </c>
      <c r="X1364" t="s">
        <v>525</v>
      </c>
      <c r="Y1364">
        <v>6</v>
      </c>
      <c r="Z1364" t="s">
        <v>1228</v>
      </c>
      <c r="AB1364" t="s">
        <v>776</v>
      </c>
      <c r="AC1364">
        <v>7</v>
      </c>
      <c r="AD1364" t="s">
        <v>1245</v>
      </c>
      <c r="AE1364" t="s">
        <v>498</v>
      </c>
      <c r="AF1364">
        <v>8</v>
      </c>
      <c r="AG1364" t="s">
        <v>1203</v>
      </c>
    </row>
    <row r="1365" spans="1:33" x14ac:dyDescent="0.3">
      <c r="A1365" t="s">
        <v>783</v>
      </c>
      <c r="B1365" t="s">
        <v>5462</v>
      </c>
      <c r="C1365" t="s">
        <v>5463</v>
      </c>
      <c r="D1365" t="s">
        <v>5464</v>
      </c>
      <c r="E1365" t="s">
        <v>16</v>
      </c>
      <c r="F1365" t="s">
        <v>1350</v>
      </c>
      <c r="G1365" s="2">
        <v>0.63194444444444442</v>
      </c>
      <c r="H1365" t="s">
        <v>1200</v>
      </c>
      <c r="I1365" t="s">
        <v>1201</v>
      </c>
      <c r="K1365" t="s">
        <v>1250</v>
      </c>
      <c r="X1365" t="s">
        <v>525</v>
      </c>
      <c r="Y1365">
        <v>5</v>
      </c>
      <c r="Z1365" t="s">
        <v>1203</v>
      </c>
      <c r="AB1365" t="s">
        <v>525</v>
      </c>
      <c r="AC1365">
        <v>6</v>
      </c>
      <c r="AD1365" t="s">
        <v>1203</v>
      </c>
      <c r="AE1365" t="s">
        <v>776</v>
      </c>
      <c r="AF1365">
        <v>3</v>
      </c>
      <c r="AG1365" t="s">
        <v>1245</v>
      </c>
    </row>
    <row r="1366" spans="1:33" x14ac:dyDescent="0.3">
      <c r="A1366" t="s">
        <v>783</v>
      </c>
      <c r="B1366" t="s">
        <v>5465</v>
      </c>
      <c r="C1366" t="s">
        <v>5466</v>
      </c>
      <c r="D1366" t="s">
        <v>5467</v>
      </c>
      <c r="E1366" t="s">
        <v>16</v>
      </c>
      <c r="F1366" t="s">
        <v>1354</v>
      </c>
      <c r="G1366" s="2">
        <v>0.625</v>
      </c>
      <c r="H1366" t="s">
        <v>1200</v>
      </c>
      <c r="I1366" t="s">
        <v>1201</v>
      </c>
      <c r="M1366" t="s">
        <v>1292</v>
      </c>
      <c r="X1366" t="s">
        <v>776</v>
      </c>
      <c r="Y1366">
        <v>5</v>
      </c>
      <c r="Z1366" t="s">
        <v>1245</v>
      </c>
      <c r="AB1366" t="s">
        <v>525</v>
      </c>
      <c r="AC1366">
        <v>3</v>
      </c>
      <c r="AD1366" t="s">
        <v>1245</v>
      </c>
      <c r="AE1366" t="s">
        <v>498</v>
      </c>
      <c r="AF1366">
        <v>6</v>
      </c>
      <c r="AG1366" t="s">
        <v>1245</v>
      </c>
    </row>
    <row r="1367" spans="1:33" x14ac:dyDescent="0.3">
      <c r="A1367" t="s">
        <v>783</v>
      </c>
      <c r="B1367" t="s">
        <v>5468</v>
      </c>
      <c r="C1367" t="s">
        <v>5469</v>
      </c>
      <c r="D1367" t="s">
        <v>5470</v>
      </c>
      <c r="E1367" t="s">
        <v>16</v>
      </c>
      <c r="F1367" t="s">
        <v>1558</v>
      </c>
      <c r="G1367" s="2">
        <v>0.61805555555555558</v>
      </c>
      <c r="H1367" t="s">
        <v>1200</v>
      </c>
      <c r="I1367" t="s">
        <v>1201</v>
      </c>
      <c r="M1367" t="s">
        <v>1309</v>
      </c>
      <c r="R1367" t="s">
        <v>1223</v>
      </c>
      <c r="S1367" t="s">
        <v>364</v>
      </c>
      <c r="T1367" t="s">
        <v>1676</v>
      </c>
      <c r="U1367" t="s">
        <v>5458</v>
      </c>
      <c r="X1367" t="s">
        <v>525</v>
      </c>
      <c r="Y1367">
        <v>6</v>
      </c>
      <c r="Z1367" t="s">
        <v>1245</v>
      </c>
      <c r="AB1367" t="s">
        <v>776</v>
      </c>
      <c r="AC1367">
        <v>7</v>
      </c>
      <c r="AD1367" t="s">
        <v>1245</v>
      </c>
      <c r="AE1367" t="s">
        <v>498</v>
      </c>
      <c r="AF1367">
        <v>6</v>
      </c>
      <c r="AG1367" t="s">
        <v>1245</v>
      </c>
    </row>
    <row r="1368" spans="1:33" x14ac:dyDescent="0.3">
      <c r="A1368" t="s">
        <v>783</v>
      </c>
      <c r="B1368" t="s">
        <v>5471</v>
      </c>
      <c r="C1368" t="s">
        <v>5472</v>
      </c>
      <c r="D1368" t="s">
        <v>5473</v>
      </c>
      <c r="E1368" t="s">
        <v>16</v>
      </c>
      <c r="F1368" t="s">
        <v>1358</v>
      </c>
      <c r="G1368" s="2">
        <v>0.61111111111111105</v>
      </c>
      <c r="H1368" t="s">
        <v>1200</v>
      </c>
      <c r="I1368" t="s">
        <v>1201</v>
      </c>
      <c r="K1368" t="s">
        <v>1250</v>
      </c>
      <c r="X1368" t="s">
        <v>525</v>
      </c>
      <c r="Y1368">
        <v>6</v>
      </c>
      <c r="Z1368" t="s">
        <v>1245</v>
      </c>
      <c r="AB1368" t="s">
        <v>776</v>
      </c>
      <c r="AC1368">
        <v>7</v>
      </c>
      <c r="AD1368" t="s">
        <v>1245</v>
      </c>
      <c r="AE1368" t="s">
        <v>498</v>
      </c>
      <c r="AF1368">
        <v>5</v>
      </c>
      <c r="AG1368" t="s">
        <v>1266</v>
      </c>
    </row>
    <row r="1369" spans="1:33" x14ac:dyDescent="0.3">
      <c r="A1369" t="s">
        <v>783</v>
      </c>
      <c r="B1369" t="s">
        <v>5474</v>
      </c>
      <c r="C1369" t="s">
        <v>5475</v>
      </c>
      <c r="D1369" t="s">
        <v>5476</v>
      </c>
      <c r="E1369" t="s">
        <v>16</v>
      </c>
      <c r="F1369" t="s">
        <v>1362</v>
      </c>
      <c r="G1369" s="2">
        <v>0.60416666666666663</v>
      </c>
      <c r="H1369" t="s">
        <v>1200</v>
      </c>
      <c r="I1369" t="s">
        <v>1201</v>
      </c>
      <c r="K1369" t="s">
        <v>1250</v>
      </c>
      <c r="X1369" t="s">
        <v>525</v>
      </c>
      <c r="Y1369">
        <v>6</v>
      </c>
      <c r="Z1369" t="s">
        <v>1266</v>
      </c>
      <c r="AB1369" t="s">
        <v>776</v>
      </c>
      <c r="AC1369">
        <v>5</v>
      </c>
      <c r="AD1369" t="s">
        <v>1266</v>
      </c>
      <c r="AE1369" t="s">
        <v>498</v>
      </c>
      <c r="AF1369">
        <v>9</v>
      </c>
      <c r="AG1369" t="s">
        <v>1203</v>
      </c>
    </row>
    <row r="1370" spans="1:33" x14ac:dyDescent="0.3">
      <c r="A1370" t="s">
        <v>787</v>
      </c>
      <c r="B1370" t="s">
        <v>5477</v>
      </c>
      <c r="C1370" t="s">
        <v>5478</v>
      </c>
      <c r="D1370" t="s">
        <v>5479</v>
      </c>
      <c r="E1370" t="s">
        <v>16</v>
      </c>
      <c r="F1370" t="s">
        <v>1367</v>
      </c>
      <c r="G1370" s="2">
        <v>0.59722222222222221</v>
      </c>
      <c r="H1370" t="s">
        <v>1200</v>
      </c>
      <c r="I1370" t="s">
        <v>1201</v>
      </c>
      <c r="K1370" t="s">
        <v>1250</v>
      </c>
      <c r="X1370" t="s">
        <v>752</v>
      </c>
      <c r="Y1370">
        <v>5</v>
      </c>
      <c r="Z1370" t="s">
        <v>1266</v>
      </c>
      <c r="AB1370" t="s">
        <v>525</v>
      </c>
      <c r="AC1370">
        <v>4</v>
      </c>
      <c r="AD1370" t="s">
        <v>1266</v>
      </c>
    </row>
    <row r="1371" spans="1:33" x14ac:dyDescent="0.3">
      <c r="A1371" t="s">
        <v>787</v>
      </c>
      <c r="B1371" t="s">
        <v>5480</v>
      </c>
      <c r="C1371" t="s">
        <v>5481</v>
      </c>
      <c r="D1371" t="s">
        <v>5482</v>
      </c>
      <c r="E1371" t="s">
        <v>16</v>
      </c>
      <c r="F1371" t="s">
        <v>1371</v>
      </c>
      <c r="G1371" s="2">
        <v>0.59027777777777779</v>
      </c>
      <c r="H1371" t="s">
        <v>1200</v>
      </c>
      <c r="I1371" t="s">
        <v>1201</v>
      </c>
      <c r="L1371" t="s">
        <v>1202</v>
      </c>
      <c r="X1371" t="s">
        <v>752</v>
      </c>
      <c r="Y1371">
        <v>4</v>
      </c>
      <c r="Z1371" t="s">
        <v>1203</v>
      </c>
      <c r="AB1371" t="s">
        <v>525</v>
      </c>
      <c r="AC1371">
        <v>5</v>
      </c>
      <c r="AD1371" t="s">
        <v>1203</v>
      </c>
    </row>
    <row r="1372" spans="1:33" x14ac:dyDescent="0.3">
      <c r="A1372" t="s">
        <v>787</v>
      </c>
      <c r="B1372" t="s">
        <v>5483</v>
      </c>
      <c r="C1372" t="s">
        <v>5484</v>
      </c>
      <c r="D1372" t="s">
        <v>5485</v>
      </c>
      <c r="E1372" t="s">
        <v>16</v>
      </c>
      <c r="F1372" t="s">
        <v>1199</v>
      </c>
      <c r="G1372" s="2">
        <v>0.58333333333333337</v>
      </c>
      <c r="H1372" t="s">
        <v>1200</v>
      </c>
      <c r="I1372" t="s">
        <v>1201</v>
      </c>
      <c r="L1372" t="s">
        <v>1202</v>
      </c>
      <c r="R1372" t="s">
        <v>1223</v>
      </c>
      <c r="X1372" t="s">
        <v>752</v>
      </c>
      <c r="Y1372">
        <v>4</v>
      </c>
      <c r="Z1372" t="s">
        <v>1203</v>
      </c>
      <c r="AB1372" t="s">
        <v>525</v>
      </c>
      <c r="AC1372">
        <v>5</v>
      </c>
      <c r="AD1372" t="s">
        <v>1203</v>
      </c>
    </row>
    <row r="1373" spans="1:33" x14ac:dyDescent="0.3">
      <c r="A1373" t="s">
        <v>787</v>
      </c>
      <c r="B1373" t="s">
        <v>5486</v>
      </c>
      <c r="C1373" t="s">
        <v>5487</v>
      </c>
      <c r="D1373" t="s">
        <v>5488</v>
      </c>
      <c r="E1373" t="s">
        <v>16</v>
      </c>
      <c r="F1373" t="s">
        <v>1207</v>
      </c>
      <c r="G1373" s="2">
        <v>0.57638888888888895</v>
      </c>
      <c r="H1373" t="s">
        <v>1200</v>
      </c>
      <c r="I1373" t="s">
        <v>1201</v>
      </c>
      <c r="X1373" t="s">
        <v>752</v>
      </c>
      <c r="Y1373">
        <v>5</v>
      </c>
      <c r="Z1373" t="s">
        <v>1396</v>
      </c>
      <c r="AB1373" t="s">
        <v>525</v>
      </c>
      <c r="AC1373">
        <v>5</v>
      </c>
      <c r="AD1373" t="s">
        <v>1396</v>
      </c>
    </row>
    <row r="1374" spans="1:33" x14ac:dyDescent="0.3">
      <c r="A1374" t="s">
        <v>787</v>
      </c>
      <c r="B1374" t="s">
        <v>5489</v>
      </c>
      <c r="C1374" t="s">
        <v>5490</v>
      </c>
      <c r="D1374" t="s">
        <v>5491</v>
      </c>
      <c r="E1374" t="s">
        <v>16</v>
      </c>
      <c r="F1374" t="s">
        <v>1211</v>
      </c>
      <c r="G1374" s="2">
        <v>0.56944444444444442</v>
      </c>
      <c r="H1374" t="s">
        <v>1200</v>
      </c>
      <c r="I1374" t="s">
        <v>1201</v>
      </c>
      <c r="K1374" t="s">
        <v>1250</v>
      </c>
      <c r="X1374" t="s">
        <v>525</v>
      </c>
      <c r="Y1374">
        <v>5</v>
      </c>
      <c r="Z1374" t="s">
        <v>1203</v>
      </c>
      <c r="AB1374" t="s">
        <v>752</v>
      </c>
      <c r="AC1374">
        <v>5</v>
      </c>
      <c r="AD1374" t="s">
        <v>1203</v>
      </c>
    </row>
    <row r="1375" spans="1:33" x14ac:dyDescent="0.3">
      <c r="A1375" t="s">
        <v>787</v>
      </c>
      <c r="B1375" s="3" t="s">
        <v>5492</v>
      </c>
      <c r="C1375" t="s">
        <v>5493</v>
      </c>
      <c r="D1375" t="s">
        <v>5494</v>
      </c>
      <c r="E1375" t="s">
        <v>16</v>
      </c>
      <c r="F1375" t="s">
        <v>1215</v>
      </c>
      <c r="G1375" s="2">
        <v>0.5625</v>
      </c>
      <c r="H1375" t="s">
        <v>1200</v>
      </c>
      <c r="I1375" t="s">
        <v>1201</v>
      </c>
      <c r="L1375" t="s">
        <v>1363</v>
      </c>
      <c r="X1375" t="s">
        <v>752</v>
      </c>
      <c r="Y1375">
        <v>0</v>
      </c>
      <c r="Z1375" t="s">
        <v>1203</v>
      </c>
      <c r="AB1375" t="s">
        <v>525</v>
      </c>
      <c r="AC1375">
        <v>0</v>
      </c>
      <c r="AD1375" t="s">
        <v>1203</v>
      </c>
    </row>
    <row r="1376" spans="1:33" x14ac:dyDescent="0.3">
      <c r="A1376" t="s">
        <v>787</v>
      </c>
      <c r="B1376" t="s">
        <v>5495</v>
      </c>
      <c r="C1376" t="s">
        <v>5496</v>
      </c>
      <c r="D1376" t="s">
        <v>5497</v>
      </c>
      <c r="E1376" t="s">
        <v>16</v>
      </c>
      <c r="F1376" t="s">
        <v>1221</v>
      </c>
      <c r="G1376" s="2">
        <v>0.55555555555555558</v>
      </c>
      <c r="H1376" t="s">
        <v>1200</v>
      </c>
      <c r="I1376" t="s">
        <v>1201</v>
      </c>
      <c r="L1376" t="s">
        <v>1255</v>
      </c>
      <c r="X1376" t="s">
        <v>752</v>
      </c>
      <c r="Y1376">
        <v>1</v>
      </c>
      <c r="Z1376" t="s">
        <v>1496</v>
      </c>
      <c r="AB1376" t="s">
        <v>546</v>
      </c>
      <c r="AC1376">
        <v>4</v>
      </c>
      <c r="AD1376" t="s">
        <v>1396</v>
      </c>
      <c r="AE1376" t="s">
        <v>1100</v>
      </c>
      <c r="AF1376">
        <v>4</v>
      </c>
      <c r="AG1376" t="s">
        <v>1396</v>
      </c>
    </row>
    <row r="1377" spans="1:33" x14ac:dyDescent="0.3">
      <c r="A1377" t="s">
        <v>787</v>
      </c>
      <c r="B1377" t="s">
        <v>5498</v>
      </c>
      <c r="C1377" t="s">
        <v>5499</v>
      </c>
      <c r="D1377" t="s">
        <v>5500</v>
      </c>
      <c r="E1377" t="s">
        <v>16</v>
      </c>
      <c r="F1377" t="s">
        <v>1232</v>
      </c>
      <c r="G1377" s="2">
        <v>0.54861111111111105</v>
      </c>
      <c r="H1377" t="s">
        <v>1200</v>
      </c>
      <c r="I1377" t="s">
        <v>1201</v>
      </c>
      <c r="L1377" t="s">
        <v>1363</v>
      </c>
      <c r="X1377" t="s">
        <v>546</v>
      </c>
      <c r="Y1377">
        <v>5</v>
      </c>
      <c r="Z1377" t="s">
        <v>2609</v>
      </c>
      <c r="AB1377" t="s">
        <v>1100</v>
      </c>
      <c r="AC1377">
        <v>4</v>
      </c>
      <c r="AD1377" t="s">
        <v>1396</v>
      </c>
      <c r="AE1377" t="s">
        <v>525</v>
      </c>
      <c r="AF1377">
        <v>6</v>
      </c>
      <c r="AG1377" t="s">
        <v>1203</v>
      </c>
    </row>
    <row r="1378" spans="1:33" x14ac:dyDescent="0.3">
      <c r="A1378" t="s">
        <v>787</v>
      </c>
      <c r="B1378" t="s">
        <v>5501</v>
      </c>
      <c r="C1378" t="s">
        <v>5502</v>
      </c>
      <c r="D1378" t="s">
        <v>5503</v>
      </c>
      <c r="E1378" t="s">
        <v>16</v>
      </c>
      <c r="F1378" t="s">
        <v>1236</v>
      </c>
      <c r="G1378" s="2">
        <v>0.54166666666666663</v>
      </c>
      <c r="H1378" t="s">
        <v>1200</v>
      </c>
      <c r="I1378" t="s">
        <v>1201</v>
      </c>
      <c r="L1378" t="s">
        <v>1363</v>
      </c>
      <c r="X1378" t="s">
        <v>546</v>
      </c>
      <c r="Y1378">
        <v>4</v>
      </c>
      <c r="Z1378" t="s">
        <v>1396</v>
      </c>
      <c r="AB1378" t="s">
        <v>1100</v>
      </c>
      <c r="AC1378">
        <v>4</v>
      </c>
      <c r="AD1378" t="s">
        <v>1396</v>
      </c>
      <c r="AE1378" t="s">
        <v>525</v>
      </c>
      <c r="AF1378">
        <v>6</v>
      </c>
      <c r="AG1378" t="s">
        <v>1396</v>
      </c>
    </row>
    <row r="1379" spans="1:33" x14ac:dyDescent="0.3">
      <c r="A1379" t="s">
        <v>787</v>
      </c>
      <c r="B1379" t="s">
        <v>5504</v>
      </c>
      <c r="C1379" t="s">
        <v>5505</v>
      </c>
      <c r="D1379" t="s">
        <v>5506</v>
      </c>
      <c r="E1379" t="s">
        <v>16</v>
      </c>
      <c r="F1379" t="s">
        <v>1240</v>
      </c>
      <c r="G1379" s="2">
        <v>0.53472222222222221</v>
      </c>
      <c r="H1379" t="s">
        <v>1200</v>
      </c>
      <c r="I1379" t="s">
        <v>1201</v>
      </c>
      <c r="L1379" t="s">
        <v>1222</v>
      </c>
      <c r="X1379" t="s">
        <v>546</v>
      </c>
      <c r="Y1379">
        <v>5</v>
      </c>
      <c r="Z1379" t="s">
        <v>1396</v>
      </c>
      <c r="AB1379" t="s">
        <v>1100</v>
      </c>
      <c r="AC1379">
        <v>5</v>
      </c>
      <c r="AD1379" t="s">
        <v>1396</v>
      </c>
      <c r="AE1379" t="s">
        <v>525</v>
      </c>
      <c r="AF1379">
        <v>4</v>
      </c>
      <c r="AG1379" t="s">
        <v>1396</v>
      </c>
    </row>
    <row r="1380" spans="1:33" x14ac:dyDescent="0.3">
      <c r="A1380" t="s">
        <v>787</v>
      </c>
      <c r="B1380" t="s">
        <v>5507</v>
      </c>
      <c r="C1380" t="s">
        <v>5508</v>
      </c>
      <c r="D1380" t="s">
        <v>5509</v>
      </c>
      <c r="E1380" t="s">
        <v>16</v>
      </c>
      <c r="F1380" t="s">
        <v>1244</v>
      </c>
      <c r="G1380" s="2">
        <v>0.52777777777777779</v>
      </c>
      <c r="H1380" t="s">
        <v>1200</v>
      </c>
      <c r="I1380" t="s">
        <v>1201</v>
      </c>
      <c r="L1380" t="s">
        <v>1222</v>
      </c>
      <c r="X1380" t="s">
        <v>546</v>
      </c>
      <c r="Y1380">
        <v>5</v>
      </c>
      <c r="Z1380" t="s">
        <v>1203</v>
      </c>
      <c r="AB1380" t="s">
        <v>1100</v>
      </c>
      <c r="AC1380">
        <v>5</v>
      </c>
      <c r="AD1380" t="s">
        <v>1396</v>
      </c>
      <c r="AE1380" t="s">
        <v>525</v>
      </c>
      <c r="AF1380">
        <v>5</v>
      </c>
      <c r="AG1380" t="s">
        <v>1396</v>
      </c>
    </row>
    <row r="1381" spans="1:33" x14ac:dyDescent="0.3">
      <c r="A1381" t="s">
        <v>787</v>
      </c>
      <c r="B1381" t="s">
        <v>5510</v>
      </c>
      <c r="C1381" t="s">
        <v>5511</v>
      </c>
      <c r="D1381" t="s">
        <v>5512</v>
      </c>
      <c r="E1381" t="s">
        <v>16</v>
      </c>
      <c r="F1381" t="s">
        <v>1249</v>
      </c>
      <c r="G1381" s="2">
        <v>0.52083333333333337</v>
      </c>
      <c r="H1381" t="s">
        <v>1200</v>
      </c>
      <c r="I1381" t="s">
        <v>1201</v>
      </c>
      <c r="L1381" t="s">
        <v>1222</v>
      </c>
      <c r="R1381" t="s">
        <v>1223</v>
      </c>
      <c r="X1381" t="s">
        <v>1100</v>
      </c>
      <c r="Y1381">
        <v>5</v>
      </c>
      <c r="Z1381" t="s">
        <v>1717</v>
      </c>
      <c r="AB1381" t="s">
        <v>546</v>
      </c>
      <c r="AC1381">
        <v>5</v>
      </c>
      <c r="AD1381" t="s">
        <v>1717</v>
      </c>
      <c r="AE1381" t="s">
        <v>525</v>
      </c>
      <c r="AF1381">
        <v>6</v>
      </c>
      <c r="AG1381" t="s">
        <v>1717</v>
      </c>
    </row>
    <row r="1382" spans="1:33" x14ac:dyDescent="0.3">
      <c r="A1382" t="s">
        <v>787</v>
      </c>
      <c r="B1382" t="s">
        <v>5513</v>
      </c>
      <c r="C1382" t="s">
        <v>5514</v>
      </c>
      <c r="D1382" t="s">
        <v>5515</v>
      </c>
      <c r="E1382" t="s">
        <v>16</v>
      </c>
      <c r="F1382" t="s">
        <v>1406</v>
      </c>
      <c r="G1382" s="2">
        <v>0.51388888888888895</v>
      </c>
      <c r="H1382" t="s">
        <v>1200</v>
      </c>
      <c r="I1382" t="s">
        <v>1201</v>
      </c>
      <c r="L1382" t="s">
        <v>1202</v>
      </c>
      <c r="X1382" t="s">
        <v>546</v>
      </c>
      <c r="Y1382">
        <v>4</v>
      </c>
      <c r="Z1382" t="s">
        <v>1203</v>
      </c>
      <c r="AB1382" t="s">
        <v>1100</v>
      </c>
      <c r="AC1382">
        <v>4</v>
      </c>
      <c r="AD1382" t="s">
        <v>1203</v>
      </c>
    </row>
    <row r="1383" spans="1:33" x14ac:dyDescent="0.3">
      <c r="A1383" t="s">
        <v>787</v>
      </c>
      <c r="B1383" t="s">
        <v>5516</v>
      </c>
      <c r="C1383" t="s">
        <v>5517</v>
      </c>
      <c r="D1383" t="s">
        <v>5518</v>
      </c>
      <c r="E1383" t="s">
        <v>16</v>
      </c>
      <c r="F1383" t="s">
        <v>1254</v>
      </c>
      <c r="G1383" s="2">
        <v>0.50694444444444442</v>
      </c>
      <c r="H1383" t="s">
        <v>1200</v>
      </c>
      <c r="I1383" t="s">
        <v>1201</v>
      </c>
      <c r="M1383" t="s">
        <v>1292</v>
      </c>
      <c r="X1383" t="s">
        <v>1100</v>
      </c>
      <c r="Y1383">
        <v>2</v>
      </c>
      <c r="Z1383" t="s">
        <v>1203</v>
      </c>
      <c r="AB1383" t="s">
        <v>546</v>
      </c>
      <c r="AC1383">
        <v>2</v>
      </c>
      <c r="AD1383" t="s">
        <v>1203</v>
      </c>
    </row>
    <row r="1384" spans="1:33" x14ac:dyDescent="0.3">
      <c r="A1384" t="s">
        <v>787</v>
      </c>
      <c r="B1384" t="s">
        <v>5519</v>
      </c>
      <c r="C1384" t="s">
        <v>5520</v>
      </c>
      <c r="D1384" t="s">
        <v>5521</v>
      </c>
      <c r="E1384" t="s">
        <v>16</v>
      </c>
      <c r="F1384" t="s">
        <v>1259</v>
      </c>
      <c r="G1384" s="2">
        <v>0.5</v>
      </c>
      <c r="H1384" t="s">
        <v>1200</v>
      </c>
      <c r="I1384" t="s">
        <v>1201</v>
      </c>
      <c r="M1384" t="s">
        <v>1292</v>
      </c>
      <c r="X1384" t="s">
        <v>546</v>
      </c>
      <c r="Y1384">
        <v>5</v>
      </c>
      <c r="Z1384" t="s">
        <v>1203</v>
      </c>
      <c r="AB1384" t="s">
        <v>1100</v>
      </c>
      <c r="AC1384">
        <v>7</v>
      </c>
      <c r="AD1384" t="s">
        <v>1245</v>
      </c>
    </row>
    <row r="1385" spans="1:33" x14ac:dyDescent="0.3">
      <c r="A1385" t="s">
        <v>787</v>
      </c>
      <c r="B1385" t="s">
        <v>5522</v>
      </c>
      <c r="C1385" t="s">
        <v>5523</v>
      </c>
      <c r="D1385" t="s">
        <v>5524</v>
      </c>
      <c r="E1385" t="s">
        <v>16</v>
      </c>
      <c r="F1385" t="s">
        <v>1265</v>
      </c>
      <c r="G1385" s="2">
        <v>0.49305555555555558</v>
      </c>
      <c r="H1385" t="s">
        <v>1200</v>
      </c>
      <c r="I1385" t="s">
        <v>1201</v>
      </c>
      <c r="L1385" t="s">
        <v>3204</v>
      </c>
    </row>
    <row r="1386" spans="1:33" x14ac:dyDescent="0.3">
      <c r="A1386" t="s">
        <v>787</v>
      </c>
      <c r="B1386" t="s">
        <v>5525</v>
      </c>
      <c r="C1386" t="s">
        <v>5526</v>
      </c>
      <c r="D1386" t="s">
        <v>5527</v>
      </c>
      <c r="E1386" t="s">
        <v>16</v>
      </c>
      <c r="F1386" t="s">
        <v>5528</v>
      </c>
      <c r="G1386" s="2">
        <v>0.4861111111111111</v>
      </c>
      <c r="H1386" t="s">
        <v>1200</v>
      </c>
      <c r="I1386" t="s">
        <v>3191</v>
      </c>
      <c r="M1386" t="s">
        <v>1292</v>
      </c>
      <c r="X1386" t="s">
        <v>525</v>
      </c>
      <c r="Y1386">
        <v>6</v>
      </c>
      <c r="Z1386" t="s">
        <v>1245</v>
      </c>
      <c r="AB1386" t="s">
        <v>1100</v>
      </c>
      <c r="AC1386">
        <v>2</v>
      </c>
      <c r="AD1386" t="s">
        <v>1245</v>
      </c>
    </row>
    <row r="1387" spans="1:33" x14ac:dyDescent="0.3">
      <c r="A1387" t="s">
        <v>787</v>
      </c>
      <c r="B1387" t="s">
        <v>5529</v>
      </c>
      <c r="C1387" t="s">
        <v>5530</v>
      </c>
      <c r="D1387" t="s">
        <v>5531</v>
      </c>
      <c r="E1387" t="s">
        <v>16</v>
      </c>
      <c r="F1387" t="s">
        <v>5532</v>
      </c>
      <c r="G1387" s="2">
        <v>0.47916666666666669</v>
      </c>
      <c r="H1387" t="s">
        <v>1200</v>
      </c>
      <c r="I1387" t="s">
        <v>3191</v>
      </c>
      <c r="M1387" t="s">
        <v>1216</v>
      </c>
      <c r="X1387" t="s">
        <v>1100</v>
      </c>
      <c r="Y1387">
        <v>9</v>
      </c>
      <c r="Z1387" t="s">
        <v>1217</v>
      </c>
    </row>
    <row r="1388" spans="1:33" x14ac:dyDescent="0.3">
      <c r="A1388" t="s">
        <v>787</v>
      </c>
      <c r="B1388" t="s">
        <v>5533</v>
      </c>
      <c r="C1388" t="s">
        <v>5534</v>
      </c>
      <c r="D1388" t="s">
        <v>5535</v>
      </c>
      <c r="E1388" t="s">
        <v>16</v>
      </c>
      <c r="F1388" t="s">
        <v>1278</v>
      </c>
      <c r="G1388" s="2">
        <v>0.47222222222222227</v>
      </c>
      <c r="H1388" t="s">
        <v>1200</v>
      </c>
      <c r="I1388" t="s">
        <v>1201</v>
      </c>
      <c r="K1388" t="s">
        <v>1250</v>
      </c>
      <c r="X1388" t="s">
        <v>1100</v>
      </c>
      <c r="Y1388">
        <v>5</v>
      </c>
      <c r="Z1388" t="s">
        <v>4186</v>
      </c>
      <c r="AB1388" t="s">
        <v>525</v>
      </c>
      <c r="AC1388">
        <v>6</v>
      </c>
      <c r="AD1388" t="s">
        <v>1245</v>
      </c>
    </row>
    <row r="1389" spans="1:33" x14ac:dyDescent="0.3">
      <c r="A1389" t="s">
        <v>787</v>
      </c>
      <c r="B1389" t="s">
        <v>5536</v>
      </c>
      <c r="C1389" t="s">
        <v>5537</v>
      </c>
      <c r="D1389" t="s">
        <v>5538</v>
      </c>
      <c r="E1389" t="s">
        <v>16</v>
      </c>
      <c r="F1389" t="s">
        <v>1282</v>
      </c>
      <c r="G1389" s="2">
        <v>0.46527777777777773</v>
      </c>
      <c r="H1389" t="s">
        <v>1200</v>
      </c>
      <c r="I1389" t="s">
        <v>1201</v>
      </c>
      <c r="L1389" t="s">
        <v>3204</v>
      </c>
      <c r="R1389" t="s">
        <v>1223</v>
      </c>
      <c r="X1389" t="s">
        <v>525</v>
      </c>
      <c r="Y1389">
        <v>9</v>
      </c>
      <c r="Z1389" t="s">
        <v>1266</v>
      </c>
      <c r="AB1389" t="s">
        <v>752</v>
      </c>
      <c r="AC1389">
        <v>8</v>
      </c>
      <c r="AD1389" t="s">
        <v>1496</v>
      </c>
    </row>
    <row r="1390" spans="1:33" x14ac:dyDescent="0.3">
      <c r="A1390" t="s">
        <v>787</v>
      </c>
      <c r="B1390" t="s">
        <v>5539</v>
      </c>
      <c r="C1390" t="s">
        <v>5540</v>
      </c>
      <c r="D1390" t="s">
        <v>5541</v>
      </c>
      <c r="E1390" t="s">
        <v>16</v>
      </c>
      <c r="F1390" t="s">
        <v>1287</v>
      </c>
      <c r="G1390" s="2">
        <v>0.45833333333333331</v>
      </c>
      <c r="H1390" t="s">
        <v>1200</v>
      </c>
      <c r="I1390" t="s">
        <v>1201</v>
      </c>
      <c r="K1390" t="s">
        <v>1250</v>
      </c>
      <c r="X1390" t="s">
        <v>525</v>
      </c>
      <c r="Y1390">
        <v>6</v>
      </c>
      <c r="Z1390" t="s">
        <v>1266</v>
      </c>
      <c r="AB1390" t="s">
        <v>752</v>
      </c>
      <c r="AC1390">
        <v>5</v>
      </c>
      <c r="AD1390" t="s">
        <v>1266</v>
      </c>
    </row>
    <row r="1391" spans="1:33" x14ac:dyDescent="0.3">
      <c r="A1391" t="s">
        <v>787</v>
      </c>
      <c r="B1391" t="s">
        <v>5542</v>
      </c>
      <c r="C1391" t="s">
        <v>5543</v>
      </c>
      <c r="D1391" t="s">
        <v>5544</v>
      </c>
      <c r="E1391" t="s">
        <v>16</v>
      </c>
      <c r="F1391" t="s">
        <v>1291</v>
      </c>
      <c r="G1391" s="2">
        <v>0.4513888888888889</v>
      </c>
      <c r="H1391" t="s">
        <v>1200</v>
      </c>
      <c r="I1391" t="s">
        <v>1201</v>
      </c>
      <c r="K1391" t="s">
        <v>1250</v>
      </c>
      <c r="X1391" t="s">
        <v>525</v>
      </c>
      <c r="Y1391">
        <v>4</v>
      </c>
      <c r="Z1391" t="s">
        <v>1266</v>
      </c>
      <c r="AB1391" t="s">
        <v>752</v>
      </c>
      <c r="AC1391">
        <v>5</v>
      </c>
      <c r="AD1391" t="s">
        <v>1266</v>
      </c>
    </row>
    <row r="1392" spans="1:33" x14ac:dyDescent="0.3">
      <c r="A1392" t="s">
        <v>787</v>
      </c>
      <c r="B1392" t="s">
        <v>5545</v>
      </c>
      <c r="C1392" t="s">
        <v>5546</v>
      </c>
      <c r="D1392" t="s">
        <v>5547</v>
      </c>
      <c r="E1392" t="s">
        <v>16</v>
      </c>
      <c r="F1392" t="s">
        <v>1296</v>
      </c>
      <c r="G1392" s="2">
        <v>0.44444444444444442</v>
      </c>
      <c r="H1392" t="s">
        <v>1200</v>
      </c>
      <c r="I1392" t="s">
        <v>1201</v>
      </c>
      <c r="K1392" t="s">
        <v>1250</v>
      </c>
      <c r="S1392" t="s">
        <v>1224</v>
      </c>
      <c r="T1392" t="s">
        <v>1703</v>
      </c>
      <c r="V1392" t="s">
        <v>1226</v>
      </c>
      <c r="W1392" t="s">
        <v>2595</v>
      </c>
      <c r="X1392" t="s">
        <v>525</v>
      </c>
      <c r="Y1392">
        <v>2</v>
      </c>
      <c r="Z1392" t="s">
        <v>1266</v>
      </c>
      <c r="AB1392" t="s">
        <v>752</v>
      </c>
      <c r="AC1392">
        <v>6</v>
      </c>
      <c r="AD1392" t="s">
        <v>1266</v>
      </c>
    </row>
    <row r="1393" spans="1:30" x14ac:dyDescent="0.3">
      <c r="A1393" t="s">
        <v>787</v>
      </c>
      <c r="B1393" t="s">
        <v>5548</v>
      </c>
      <c r="C1393" t="s">
        <v>5549</v>
      </c>
      <c r="D1393" t="s">
        <v>5550</v>
      </c>
      <c r="E1393" t="s">
        <v>16</v>
      </c>
      <c r="F1393" t="s">
        <v>1300</v>
      </c>
      <c r="G1393" s="2">
        <v>0.4375</v>
      </c>
      <c r="H1393" t="s">
        <v>1200</v>
      </c>
      <c r="I1393" t="s">
        <v>1201</v>
      </c>
      <c r="L1393" t="s">
        <v>1222</v>
      </c>
      <c r="S1393" t="s">
        <v>364</v>
      </c>
      <c r="U1393" t="s">
        <v>1677</v>
      </c>
      <c r="X1393" t="s">
        <v>525</v>
      </c>
      <c r="Y1393">
        <v>5</v>
      </c>
      <c r="Z1393" t="s">
        <v>1203</v>
      </c>
      <c r="AB1393" t="s">
        <v>752</v>
      </c>
      <c r="AC1393">
        <v>5</v>
      </c>
      <c r="AD1393" t="s">
        <v>1203</v>
      </c>
    </row>
    <row r="1394" spans="1:30" x14ac:dyDescent="0.3">
      <c r="A1394" t="s">
        <v>787</v>
      </c>
      <c r="B1394" t="s">
        <v>5551</v>
      </c>
      <c r="C1394" t="s">
        <v>5552</v>
      </c>
      <c r="D1394" t="s">
        <v>5553</v>
      </c>
      <c r="E1394" t="s">
        <v>16</v>
      </c>
      <c r="F1394" t="s">
        <v>1443</v>
      </c>
      <c r="G1394" s="2">
        <v>0.43055555555555558</v>
      </c>
      <c r="H1394" t="s">
        <v>1200</v>
      </c>
      <c r="I1394" t="s">
        <v>1201</v>
      </c>
      <c r="L1394" t="s">
        <v>1222</v>
      </c>
      <c r="R1394" t="s">
        <v>3669</v>
      </c>
      <c r="S1394" t="s">
        <v>364</v>
      </c>
      <c r="T1394" t="s">
        <v>1703</v>
      </c>
      <c r="U1394" t="s">
        <v>1677</v>
      </c>
      <c r="X1394" t="s">
        <v>525</v>
      </c>
      <c r="Y1394">
        <v>5</v>
      </c>
      <c r="Z1394" t="s">
        <v>1203</v>
      </c>
      <c r="AB1394" t="s">
        <v>752</v>
      </c>
      <c r="AC1394">
        <v>5</v>
      </c>
      <c r="AD1394" t="s">
        <v>1203</v>
      </c>
    </row>
    <row r="1395" spans="1:30" x14ac:dyDescent="0.3">
      <c r="A1395" t="s">
        <v>787</v>
      </c>
      <c r="B1395" t="s">
        <v>5554</v>
      </c>
      <c r="C1395" t="s">
        <v>5555</v>
      </c>
      <c r="D1395" t="s">
        <v>5556</v>
      </c>
      <c r="E1395" t="s">
        <v>16</v>
      </c>
      <c r="F1395" t="s">
        <v>1447</v>
      </c>
      <c r="G1395" s="2">
        <v>0.4236111111111111</v>
      </c>
      <c r="H1395" t="s">
        <v>1200</v>
      </c>
      <c r="I1395" t="s">
        <v>1201</v>
      </c>
      <c r="L1395" t="s">
        <v>1222</v>
      </c>
      <c r="S1395" t="s">
        <v>364</v>
      </c>
      <c r="T1395" t="s">
        <v>1703</v>
      </c>
      <c r="U1395" t="s">
        <v>1677</v>
      </c>
      <c r="X1395" t="s">
        <v>525</v>
      </c>
      <c r="Y1395">
        <v>5</v>
      </c>
      <c r="Z1395" t="s">
        <v>1203</v>
      </c>
      <c r="AB1395" t="s">
        <v>1618</v>
      </c>
      <c r="AC1395">
        <v>5</v>
      </c>
      <c r="AD1395" t="s">
        <v>1203</v>
      </c>
    </row>
    <row r="1396" spans="1:30" x14ac:dyDescent="0.3">
      <c r="A1396" t="s">
        <v>787</v>
      </c>
      <c r="B1396" t="s">
        <v>5557</v>
      </c>
      <c r="C1396" t="s">
        <v>5558</v>
      </c>
      <c r="D1396" t="s">
        <v>5559</v>
      </c>
      <c r="E1396" t="s">
        <v>16</v>
      </c>
      <c r="F1396" t="s">
        <v>1451</v>
      </c>
      <c r="G1396" s="2">
        <v>0.41666666666666669</v>
      </c>
      <c r="H1396" t="s">
        <v>1200</v>
      </c>
      <c r="I1396" t="s">
        <v>1201</v>
      </c>
      <c r="N1396" t="s">
        <v>5456</v>
      </c>
      <c r="O1396" t="s">
        <v>3970</v>
      </c>
      <c r="P1396" t="s">
        <v>5560</v>
      </c>
      <c r="R1396" t="s">
        <v>1675</v>
      </c>
      <c r="S1396" t="s">
        <v>364</v>
      </c>
      <c r="T1396" t="s">
        <v>1703</v>
      </c>
      <c r="U1396" t="s">
        <v>1677</v>
      </c>
      <c r="X1396" t="s">
        <v>525</v>
      </c>
      <c r="Y1396">
        <v>5</v>
      </c>
      <c r="Z1396" t="s">
        <v>1228</v>
      </c>
      <c r="AB1396" t="s">
        <v>752</v>
      </c>
      <c r="AC1396">
        <v>5</v>
      </c>
      <c r="AD1396" t="s">
        <v>1228</v>
      </c>
    </row>
    <row r="1397" spans="1:30" x14ac:dyDescent="0.3">
      <c r="A1397" t="s">
        <v>787</v>
      </c>
      <c r="B1397" t="s">
        <v>5561</v>
      </c>
      <c r="C1397" t="s">
        <v>5562</v>
      </c>
      <c r="D1397" t="s">
        <v>5563</v>
      </c>
      <c r="E1397" t="s">
        <v>16</v>
      </c>
      <c r="F1397" t="s">
        <v>1455</v>
      </c>
      <c r="G1397" s="2">
        <v>0.40972222222222227</v>
      </c>
      <c r="H1397" t="s">
        <v>1200</v>
      </c>
      <c r="I1397" t="s">
        <v>1201</v>
      </c>
      <c r="N1397" t="s">
        <v>5456</v>
      </c>
      <c r="O1397" t="s">
        <v>3970</v>
      </c>
      <c r="P1397" t="s">
        <v>5564</v>
      </c>
      <c r="R1397" t="s">
        <v>1675</v>
      </c>
      <c r="S1397" t="s">
        <v>364</v>
      </c>
      <c r="T1397" t="s">
        <v>1703</v>
      </c>
      <c r="U1397" t="s">
        <v>1677</v>
      </c>
      <c r="X1397" t="s">
        <v>525</v>
      </c>
      <c r="Y1397">
        <v>5</v>
      </c>
      <c r="Z1397" t="s">
        <v>1228</v>
      </c>
    </row>
    <row r="1398" spans="1:30" x14ac:dyDescent="0.3">
      <c r="A1398" t="s">
        <v>787</v>
      </c>
      <c r="B1398" t="s">
        <v>5565</v>
      </c>
      <c r="C1398" t="s">
        <v>5566</v>
      </c>
      <c r="D1398" t="s">
        <v>5567</v>
      </c>
      <c r="E1398" t="s">
        <v>16</v>
      </c>
      <c r="F1398" t="s">
        <v>1459</v>
      </c>
      <c r="G1398" s="2">
        <v>0.40277777777777773</v>
      </c>
      <c r="H1398" t="s">
        <v>1200</v>
      </c>
      <c r="I1398" t="s">
        <v>1201</v>
      </c>
      <c r="N1398" t="s">
        <v>5456</v>
      </c>
      <c r="O1398" t="s">
        <v>3970</v>
      </c>
      <c r="P1398" t="s">
        <v>5564</v>
      </c>
      <c r="R1398" t="s">
        <v>1675</v>
      </c>
      <c r="S1398" t="s">
        <v>364</v>
      </c>
      <c r="T1398" t="s">
        <v>1703</v>
      </c>
      <c r="U1398" t="s">
        <v>1677</v>
      </c>
      <c r="X1398" t="s">
        <v>525</v>
      </c>
      <c r="Y1398">
        <v>10</v>
      </c>
      <c r="Z1398" t="s">
        <v>1228</v>
      </c>
    </row>
    <row r="1399" spans="1:30" x14ac:dyDescent="0.3">
      <c r="A1399" t="s">
        <v>787</v>
      </c>
      <c r="B1399" t="s">
        <v>5568</v>
      </c>
      <c r="C1399" t="s">
        <v>5569</v>
      </c>
      <c r="D1399" t="s">
        <v>5570</v>
      </c>
      <c r="E1399" t="s">
        <v>16</v>
      </c>
      <c r="F1399" t="s">
        <v>1463</v>
      </c>
      <c r="G1399" s="2">
        <v>0.39583333333333331</v>
      </c>
      <c r="H1399" t="s">
        <v>1200</v>
      </c>
      <c r="I1399" t="s">
        <v>1201</v>
      </c>
      <c r="N1399" t="s">
        <v>5456</v>
      </c>
      <c r="O1399" t="s">
        <v>3970</v>
      </c>
      <c r="R1399" t="s">
        <v>1675</v>
      </c>
      <c r="S1399" t="s">
        <v>364</v>
      </c>
      <c r="T1399" t="s">
        <v>1703</v>
      </c>
      <c r="X1399" t="s">
        <v>525</v>
      </c>
      <c r="Y1399">
        <v>5</v>
      </c>
      <c r="Z1399" t="s">
        <v>1595</v>
      </c>
    </row>
    <row r="1400" spans="1:30" x14ac:dyDescent="0.3">
      <c r="A1400" t="s">
        <v>787</v>
      </c>
      <c r="B1400" t="s">
        <v>5571</v>
      </c>
      <c r="C1400" t="s">
        <v>5572</v>
      </c>
      <c r="D1400" t="s">
        <v>5573</v>
      </c>
      <c r="E1400" t="s">
        <v>16</v>
      </c>
      <c r="F1400" t="s">
        <v>1469</v>
      </c>
      <c r="G1400" s="2">
        <v>0.3888888888888889</v>
      </c>
      <c r="H1400" t="s">
        <v>1200</v>
      </c>
      <c r="I1400" t="s">
        <v>1201</v>
      </c>
      <c r="L1400" t="s">
        <v>1255</v>
      </c>
      <c r="R1400" t="s">
        <v>1681</v>
      </c>
      <c r="S1400" t="s">
        <v>364</v>
      </c>
      <c r="T1400" t="s">
        <v>1676</v>
      </c>
      <c r="U1400" t="s">
        <v>1677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2FEF-2006-4EB6-81D4-4AD54EBBCE1D}">
  <dimension ref="A1:T196"/>
  <sheetViews>
    <sheetView topLeftCell="A173" workbookViewId="0">
      <selection activeCell="G76" sqref="G76"/>
    </sheetView>
  </sheetViews>
  <sheetFormatPr baseColWidth="10" defaultRowHeight="14.4" x14ac:dyDescent="0.3"/>
  <cols>
    <col min="6" max="6" width="28.21875" customWidth="1"/>
    <col min="15" max="15" width="21.44140625" customWidth="1"/>
  </cols>
  <sheetData>
    <row r="1" spans="1:20" x14ac:dyDescent="0.3">
      <c r="A1" t="s">
        <v>791</v>
      </c>
      <c r="B1" t="s">
        <v>792</v>
      </c>
      <c r="C1" t="s">
        <v>1</v>
      </c>
      <c r="D1" t="s">
        <v>2</v>
      </c>
      <c r="E1" t="s">
        <v>3</v>
      </c>
      <c r="F1" t="s">
        <v>4</v>
      </c>
      <c r="G1" t="s">
        <v>5574</v>
      </c>
      <c r="H1" t="s">
        <v>5575</v>
      </c>
      <c r="I1" t="s">
        <v>5576</v>
      </c>
      <c r="J1" t="s">
        <v>5577</v>
      </c>
      <c r="K1" t="s">
        <v>5578</v>
      </c>
      <c r="L1" t="s">
        <v>5579</v>
      </c>
      <c r="M1" t="s">
        <v>5580</v>
      </c>
      <c r="N1" t="s">
        <v>5581</v>
      </c>
      <c r="O1" t="s">
        <v>5582</v>
      </c>
      <c r="P1" t="s">
        <v>5583</v>
      </c>
      <c r="Q1" t="s">
        <v>5584</v>
      </c>
      <c r="R1" t="s">
        <v>5585</v>
      </c>
      <c r="S1" t="s">
        <v>5586</v>
      </c>
      <c r="T1" t="s">
        <v>5587</v>
      </c>
    </row>
    <row r="2" spans="1:20" x14ac:dyDescent="0.3">
      <c r="A2" t="s">
        <v>494</v>
      </c>
      <c r="B2" t="s">
        <v>5588</v>
      </c>
      <c r="C2" t="s">
        <v>5589</v>
      </c>
      <c r="D2" t="s">
        <v>5590</v>
      </c>
      <c r="E2" t="s">
        <v>16</v>
      </c>
      <c r="F2" t="s">
        <v>5591</v>
      </c>
      <c r="G2" s="2">
        <v>0.56041666666666667</v>
      </c>
      <c r="H2" t="s">
        <v>1200</v>
      </c>
      <c r="I2" t="s">
        <v>1216</v>
      </c>
      <c r="K2" s="2">
        <v>0.56736111111111109</v>
      </c>
      <c r="M2">
        <v>3546</v>
      </c>
      <c r="S2" t="s">
        <v>5592</v>
      </c>
    </row>
    <row r="3" spans="1:20" x14ac:dyDescent="0.3">
      <c r="A3" t="s">
        <v>494</v>
      </c>
      <c r="B3" t="s">
        <v>5593</v>
      </c>
      <c r="C3" t="s">
        <v>5594</v>
      </c>
      <c r="D3" t="s">
        <v>5595</v>
      </c>
      <c r="E3" t="s">
        <v>16</v>
      </c>
      <c r="F3" t="s">
        <v>5596</v>
      </c>
      <c r="G3" s="2">
        <v>0.52847222222222223</v>
      </c>
      <c r="H3" t="s">
        <v>1200</v>
      </c>
      <c r="I3" t="s">
        <v>1216</v>
      </c>
      <c r="K3" s="2">
        <v>0.53402777777777777</v>
      </c>
      <c r="M3">
        <v>3543</v>
      </c>
      <c r="S3" t="s">
        <v>5592</v>
      </c>
    </row>
    <row r="4" spans="1:20" x14ac:dyDescent="0.3">
      <c r="A4" t="s">
        <v>502</v>
      </c>
      <c r="B4" t="s">
        <v>5597</v>
      </c>
      <c r="C4" t="s">
        <v>5598</v>
      </c>
      <c r="D4" t="s">
        <v>5599</v>
      </c>
      <c r="E4" t="s">
        <v>16</v>
      </c>
      <c r="F4" t="s">
        <v>5600</v>
      </c>
      <c r="G4" s="2">
        <v>0.47847222222222219</v>
      </c>
      <c r="H4" t="s">
        <v>1200</v>
      </c>
      <c r="I4" t="s">
        <v>1260</v>
      </c>
      <c r="K4" s="2">
        <v>0.50416666666666665</v>
      </c>
      <c r="L4" t="s">
        <v>5601</v>
      </c>
      <c r="M4">
        <v>3536</v>
      </c>
      <c r="S4" t="s">
        <v>5602</v>
      </c>
    </row>
    <row r="5" spans="1:20" x14ac:dyDescent="0.3">
      <c r="A5" t="s">
        <v>502</v>
      </c>
      <c r="B5" t="s">
        <v>5603</v>
      </c>
      <c r="C5" t="s">
        <v>5604</v>
      </c>
      <c r="D5" t="s">
        <v>5605</v>
      </c>
      <c r="E5" t="s">
        <v>16</v>
      </c>
      <c r="F5" t="s">
        <v>5606</v>
      </c>
      <c r="G5" s="2">
        <v>0.46388888888888885</v>
      </c>
      <c r="H5" t="s">
        <v>1200</v>
      </c>
      <c r="I5" t="s">
        <v>1501</v>
      </c>
      <c r="K5" s="2">
        <v>0.46666666666666662</v>
      </c>
      <c r="L5" t="s">
        <v>5607</v>
      </c>
      <c r="M5">
        <v>3534</v>
      </c>
      <c r="N5">
        <v>77</v>
      </c>
      <c r="S5" t="s">
        <v>5592</v>
      </c>
    </row>
    <row r="6" spans="1:20" x14ac:dyDescent="0.3">
      <c r="A6" t="s">
        <v>502</v>
      </c>
      <c r="B6" t="s">
        <v>5608</v>
      </c>
      <c r="C6" t="s">
        <v>5609</v>
      </c>
      <c r="D6" t="s">
        <v>5610</v>
      </c>
      <c r="E6" t="s">
        <v>16</v>
      </c>
      <c r="F6" t="s">
        <v>5611</v>
      </c>
      <c r="G6" s="2">
        <v>0.44444444444444442</v>
      </c>
      <c r="H6" t="s">
        <v>1200</v>
      </c>
      <c r="I6" t="s">
        <v>1292</v>
      </c>
      <c r="K6" s="2">
        <v>0.4548611111111111</v>
      </c>
      <c r="L6" t="s">
        <v>5612</v>
      </c>
      <c r="M6">
        <v>3532</v>
      </c>
      <c r="N6">
        <v>41</v>
      </c>
      <c r="O6">
        <v>6</v>
      </c>
    </row>
    <row r="7" spans="1:20" x14ac:dyDescent="0.3">
      <c r="A7" t="s">
        <v>508</v>
      </c>
      <c r="B7" t="s">
        <v>5613</v>
      </c>
      <c r="C7" t="s">
        <v>5614</v>
      </c>
      <c r="D7" t="s">
        <v>5615</v>
      </c>
      <c r="E7" t="s">
        <v>16</v>
      </c>
      <c r="F7" t="s">
        <v>5616</v>
      </c>
      <c r="G7" s="2">
        <v>0.67638888888888893</v>
      </c>
      <c r="H7" t="s">
        <v>1200</v>
      </c>
      <c r="I7" t="s">
        <v>1309</v>
      </c>
      <c r="K7" s="2">
        <v>0.70833333333333337</v>
      </c>
      <c r="L7" t="s">
        <v>5617</v>
      </c>
      <c r="M7">
        <v>3527</v>
      </c>
    </row>
    <row r="8" spans="1:20" x14ac:dyDescent="0.3">
      <c r="A8" t="s">
        <v>508</v>
      </c>
      <c r="B8" s="3" t="s">
        <v>5618</v>
      </c>
      <c r="C8" t="s">
        <v>5619</v>
      </c>
      <c r="D8" t="s">
        <v>5620</v>
      </c>
      <c r="E8" t="s">
        <v>16</v>
      </c>
      <c r="F8" t="s">
        <v>5621</v>
      </c>
      <c r="G8" s="2">
        <v>0.625</v>
      </c>
      <c r="H8" t="s">
        <v>1200</v>
      </c>
      <c r="I8" t="s">
        <v>1334</v>
      </c>
      <c r="K8" s="2">
        <v>0.66666666666666663</v>
      </c>
      <c r="L8" t="s">
        <v>5622</v>
      </c>
      <c r="M8">
        <v>3525</v>
      </c>
      <c r="T8" t="s">
        <v>5623</v>
      </c>
    </row>
    <row r="9" spans="1:20" x14ac:dyDescent="0.3">
      <c r="A9" t="s">
        <v>508</v>
      </c>
      <c r="B9" t="s">
        <v>5624</v>
      </c>
      <c r="C9" t="s">
        <v>5625</v>
      </c>
      <c r="D9" t="s">
        <v>5626</v>
      </c>
      <c r="E9" t="s">
        <v>16</v>
      </c>
      <c r="F9" t="s">
        <v>5627</v>
      </c>
      <c r="G9" s="2">
        <v>0.40069444444444446</v>
      </c>
      <c r="H9" t="s">
        <v>1200</v>
      </c>
      <c r="I9" t="s">
        <v>1292</v>
      </c>
      <c r="K9" s="2">
        <v>0.42222222222222222</v>
      </c>
      <c r="M9">
        <v>3520</v>
      </c>
    </row>
    <row r="10" spans="1:20" x14ac:dyDescent="0.3">
      <c r="A10" t="s">
        <v>508</v>
      </c>
      <c r="B10" t="s">
        <v>5628</v>
      </c>
      <c r="C10" t="s">
        <v>5629</v>
      </c>
      <c r="D10" t="s">
        <v>5630</v>
      </c>
      <c r="E10" t="s">
        <v>16</v>
      </c>
      <c r="F10" t="s">
        <v>5631</v>
      </c>
      <c r="G10" s="2">
        <v>0.39097222222222222</v>
      </c>
      <c r="H10" t="s">
        <v>1200</v>
      </c>
      <c r="I10" t="s">
        <v>1464</v>
      </c>
      <c r="K10" s="2">
        <v>0.39583333333333331</v>
      </c>
      <c r="L10" t="s">
        <v>5632</v>
      </c>
      <c r="M10">
        <v>3516</v>
      </c>
      <c r="N10">
        <v>192</v>
      </c>
      <c r="O10">
        <v>18</v>
      </c>
      <c r="S10" t="s">
        <v>965</v>
      </c>
    </row>
    <row r="11" spans="1:20" x14ac:dyDescent="0.3">
      <c r="A11" t="s">
        <v>508</v>
      </c>
      <c r="B11" t="s">
        <v>5633</v>
      </c>
      <c r="C11" t="s">
        <v>5634</v>
      </c>
      <c r="D11" t="s">
        <v>5635</v>
      </c>
      <c r="E11" t="s">
        <v>16</v>
      </c>
      <c r="F11" t="s">
        <v>5636</v>
      </c>
      <c r="G11" s="2">
        <v>0.36805555555555558</v>
      </c>
      <c r="H11" t="s">
        <v>1200</v>
      </c>
      <c r="I11" t="s">
        <v>1478</v>
      </c>
      <c r="K11" s="2">
        <v>0.37986111111111115</v>
      </c>
      <c r="M11">
        <v>3514</v>
      </c>
      <c r="S11" t="s">
        <v>5637</v>
      </c>
    </row>
    <row r="12" spans="1:20" x14ac:dyDescent="0.3">
      <c r="A12" t="s">
        <v>508</v>
      </c>
      <c r="B12" t="s">
        <v>5638</v>
      </c>
      <c r="C12" t="s">
        <v>5639</v>
      </c>
      <c r="D12" t="s">
        <v>5640</v>
      </c>
      <c r="E12" t="s">
        <v>16</v>
      </c>
      <c r="F12" t="s">
        <v>5641</v>
      </c>
      <c r="G12" s="2">
        <v>0.33888888888888885</v>
      </c>
      <c r="H12" t="s">
        <v>1200</v>
      </c>
      <c r="I12" t="s">
        <v>1501</v>
      </c>
      <c r="K12" s="2">
        <v>0.34236111111111112</v>
      </c>
      <c r="L12" t="s">
        <v>5642</v>
      </c>
      <c r="M12">
        <v>3511</v>
      </c>
      <c r="N12">
        <v>190</v>
      </c>
      <c r="O12">
        <v>14</v>
      </c>
      <c r="S12" t="s">
        <v>949</v>
      </c>
    </row>
    <row r="13" spans="1:20" x14ac:dyDescent="0.3">
      <c r="A13" t="s">
        <v>513</v>
      </c>
      <c r="B13" t="s">
        <v>5643</v>
      </c>
      <c r="C13" t="s">
        <v>5644</v>
      </c>
      <c r="D13" t="s">
        <v>5645</v>
      </c>
      <c r="E13" t="s">
        <v>16</v>
      </c>
      <c r="F13" t="s">
        <v>5646</v>
      </c>
      <c r="G13" s="2">
        <v>0.72291666666666676</v>
      </c>
      <c r="H13" t="s">
        <v>1200</v>
      </c>
      <c r="I13" t="s">
        <v>1464</v>
      </c>
      <c r="K13" s="2">
        <v>0.72638888888888886</v>
      </c>
      <c r="M13">
        <v>3507</v>
      </c>
      <c r="S13" t="s">
        <v>965</v>
      </c>
    </row>
    <row r="14" spans="1:20" x14ac:dyDescent="0.3">
      <c r="A14" t="s">
        <v>513</v>
      </c>
      <c r="B14" t="s">
        <v>5647</v>
      </c>
      <c r="C14" t="s">
        <v>5648</v>
      </c>
      <c r="D14" t="s">
        <v>5649</v>
      </c>
      <c r="E14" t="s">
        <v>16</v>
      </c>
      <c r="F14" t="s">
        <v>5650</v>
      </c>
      <c r="G14" s="2">
        <v>0.71250000000000002</v>
      </c>
      <c r="H14" t="s">
        <v>1200</v>
      </c>
      <c r="I14" t="s">
        <v>1292</v>
      </c>
      <c r="K14" s="2">
        <v>0.71805555555555556</v>
      </c>
      <c r="L14" t="s">
        <v>5651</v>
      </c>
      <c r="M14">
        <v>3506</v>
      </c>
      <c r="N14">
        <v>39</v>
      </c>
      <c r="O14">
        <v>4</v>
      </c>
      <c r="S14" t="s">
        <v>5652</v>
      </c>
      <c r="T14" t="s">
        <v>5653</v>
      </c>
    </row>
    <row r="15" spans="1:20" x14ac:dyDescent="0.3">
      <c r="A15" t="s">
        <v>513</v>
      </c>
      <c r="B15" t="s">
        <v>5654</v>
      </c>
      <c r="C15" t="s">
        <v>5655</v>
      </c>
      <c r="D15" t="s">
        <v>5656</v>
      </c>
      <c r="E15" t="s">
        <v>16</v>
      </c>
      <c r="F15" t="s">
        <v>5657</v>
      </c>
      <c r="G15" s="2">
        <v>0.44791666666666669</v>
      </c>
      <c r="H15" t="s">
        <v>1200</v>
      </c>
      <c r="I15" t="s">
        <v>1216</v>
      </c>
      <c r="K15" s="2">
        <v>0.45763888888888887</v>
      </c>
      <c r="M15">
        <v>3492</v>
      </c>
      <c r="S15" t="s">
        <v>5658</v>
      </c>
    </row>
    <row r="16" spans="1:20" x14ac:dyDescent="0.3">
      <c r="A16" t="s">
        <v>513</v>
      </c>
      <c r="B16" t="s">
        <v>5659</v>
      </c>
      <c r="C16" t="s">
        <v>5660</v>
      </c>
      <c r="D16" t="s">
        <v>5661</v>
      </c>
      <c r="E16" t="s">
        <v>16</v>
      </c>
      <c r="F16" t="s">
        <v>5662</v>
      </c>
      <c r="G16" s="2">
        <v>0.43402777777777773</v>
      </c>
      <c r="H16" t="s">
        <v>1200</v>
      </c>
      <c r="I16" t="s">
        <v>1640</v>
      </c>
      <c r="K16" s="2">
        <v>0.4381944444444445</v>
      </c>
      <c r="L16" t="s">
        <v>5663</v>
      </c>
      <c r="M16">
        <v>3489</v>
      </c>
      <c r="N16">
        <v>44</v>
      </c>
      <c r="O16">
        <v>6</v>
      </c>
      <c r="S16" t="s">
        <v>5664</v>
      </c>
      <c r="T16" t="s">
        <v>5665</v>
      </c>
    </row>
    <row r="17" spans="1:20" x14ac:dyDescent="0.3">
      <c r="A17" t="s">
        <v>513</v>
      </c>
      <c r="B17" t="s">
        <v>5666</v>
      </c>
      <c r="C17" t="s">
        <v>5667</v>
      </c>
      <c r="D17" t="s">
        <v>5668</v>
      </c>
      <c r="E17" t="s">
        <v>16</v>
      </c>
      <c r="F17" t="s">
        <v>5669</v>
      </c>
      <c r="G17" s="2">
        <v>0.4284722222222222</v>
      </c>
      <c r="H17" t="s">
        <v>1200</v>
      </c>
      <c r="I17" t="s">
        <v>1464</v>
      </c>
      <c r="K17" s="2">
        <v>0.43124999999999997</v>
      </c>
      <c r="L17" t="s">
        <v>5670</v>
      </c>
      <c r="M17">
        <v>3491</v>
      </c>
      <c r="N17">
        <v>107</v>
      </c>
      <c r="O17">
        <v>7</v>
      </c>
      <c r="T17" t="s">
        <v>5671</v>
      </c>
    </row>
    <row r="18" spans="1:20" x14ac:dyDescent="0.3">
      <c r="A18" t="s">
        <v>513</v>
      </c>
      <c r="B18" t="s">
        <v>5672</v>
      </c>
      <c r="C18" t="s">
        <v>5673</v>
      </c>
      <c r="D18" t="s">
        <v>5674</v>
      </c>
      <c r="E18" t="s">
        <v>16</v>
      </c>
      <c r="F18" t="s">
        <v>5675</v>
      </c>
      <c r="G18" s="2">
        <v>0.40486111111111112</v>
      </c>
      <c r="H18" t="s">
        <v>1200</v>
      </c>
      <c r="I18" t="s">
        <v>1464</v>
      </c>
      <c r="K18" s="2">
        <v>0.40902777777777777</v>
      </c>
      <c r="L18" t="s">
        <v>5676</v>
      </c>
      <c r="M18">
        <v>3487</v>
      </c>
      <c r="N18">
        <v>80</v>
      </c>
      <c r="O18">
        <v>8</v>
      </c>
      <c r="T18" t="s">
        <v>5677</v>
      </c>
    </row>
    <row r="19" spans="1:20" x14ac:dyDescent="0.3">
      <c r="A19" t="s">
        <v>517</v>
      </c>
      <c r="B19" t="s">
        <v>5678</v>
      </c>
      <c r="C19" t="s">
        <v>5679</v>
      </c>
      <c r="D19" t="s">
        <v>5680</v>
      </c>
      <c r="E19" t="s">
        <v>16</v>
      </c>
      <c r="F19" t="s">
        <v>5681</v>
      </c>
      <c r="G19" s="2">
        <v>0.62361111111111112</v>
      </c>
      <c r="H19" t="s">
        <v>1200</v>
      </c>
      <c r="I19" t="s">
        <v>1292</v>
      </c>
      <c r="K19" s="2">
        <v>0.64444444444444449</v>
      </c>
      <c r="L19" t="s">
        <v>5682</v>
      </c>
      <c r="M19">
        <v>3476</v>
      </c>
      <c r="N19">
        <v>104</v>
      </c>
      <c r="O19">
        <v>7</v>
      </c>
      <c r="S19" t="s">
        <v>5592</v>
      </c>
    </row>
    <row r="20" spans="1:20" x14ac:dyDescent="0.3">
      <c r="A20" t="s">
        <v>521</v>
      </c>
      <c r="B20" t="s">
        <v>5683</v>
      </c>
      <c r="C20" t="s">
        <v>5684</v>
      </c>
      <c r="D20" t="s">
        <v>5685</v>
      </c>
      <c r="E20" t="s">
        <v>16</v>
      </c>
      <c r="F20" t="s">
        <v>5686</v>
      </c>
      <c r="G20" s="2">
        <v>0.55902777777777779</v>
      </c>
      <c r="H20" t="s">
        <v>1200</v>
      </c>
      <c r="I20" t="s">
        <v>1292</v>
      </c>
      <c r="K20" s="2">
        <v>0.57291666666666663</v>
      </c>
      <c r="L20" t="s">
        <v>5601</v>
      </c>
      <c r="M20">
        <v>3472</v>
      </c>
      <c r="S20" t="s">
        <v>5602</v>
      </c>
    </row>
    <row r="21" spans="1:20" x14ac:dyDescent="0.3">
      <c r="A21" t="s">
        <v>526</v>
      </c>
      <c r="B21" t="s">
        <v>5687</v>
      </c>
      <c r="C21" t="s">
        <v>5688</v>
      </c>
      <c r="D21" t="s">
        <v>5689</v>
      </c>
      <c r="E21" t="s">
        <v>16</v>
      </c>
      <c r="F21" t="s">
        <v>5690</v>
      </c>
      <c r="G21" s="2">
        <v>0.45694444444444443</v>
      </c>
      <c r="H21" t="s">
        <v>1200</v>
      </c>
      <c r="I21" t="s">
        <v>1292</v>
      </c>
      <c r="K21" s="2">
        <v>0.43472222222222223</v>
      </c>
      <c r="M21">
        <v>3458</v>
      </c>
    </row>
    <row r="22" spans="1:20" x14ac:dyDescent="0.3">
      <c r="A22" t="s">
        <v>530</v>
      </c>
      <c r="B22" t="s">
        <v>5691</v>
      </c>
      <c r="C22" t="s">
        <v>5692</v>
      </c>
      <c r="D22" t="s">
        <v>5693</v>
      </c>
      <c r="E22" t="s">
        <v>16</v>
      </c>
      <c r="F22" t="s">
        <v>5694</v>
      </c>
      <c r="G22" s="2">
        <v>0.59583333333333333</v>
      </c>
      <c r="H22" t="s">
        <v>1200</v>
      </c>
      <c r="I22" t="s">
        <v>1464</v>
      </c>
      <c r="K22" s="2">
        <v>0.59930555555555554</v>
      </c>
      <c r="L22" t="s">
        <v>5695</v>
      </c>
      <c r="M22">
        <v>3451</v>
      </c>
      <c r="N22">
        <v>196</v>
      </c>
      <c r="O22">
        <v>16</v>
      </c>
      <c r="S22" t="s">
        <v>965</v>
      </c>
    </row>
    <row r="23" spans="1:20" x14ac:dyDescent="0.3">
      <c r="A23" t="s">
        <v>530</v>
      </c>
      <c r="B23" t="s">
        <v>5696</v>
      </c>
      <c r="C23" t="s">
        <v>5697</v>
      </c>
      <c r="D23" t="s">
        <v>5698</v>
      </c>
      <c r="E23" t="s">
        <v>16</v>
      </c>
      <c r="F23" t="s">
        <v>5699</v>
      </c>
      <c r="G23" s="2">
        <v>0.58888888888888891</v>
      </c>
      <c r="H23" t="s">
        <v>1200</v>
      </c>
      <c r="I23" t="s">
        <v>1292</v>
      </c>
      <c r="K23" s="2">
        <v>0.59236111111111112</v>
      </c>
      <c r="L23" t="s">
        <v>5700</v>
      </c>
      <c r="M23">
        <v>3449</v>
      </c>
      <c r="N23">
        <v>186</v>
      </c>
      <c r="O23">
        <v>16</v>
      </c>
      <c r="S23" t="s">
        <v>965</v>
      </c>
    </row>
    <row r="24" spans="1:20" x14ac:dyDescent="0.3">
      <c r="A24" t="s">
        <v>530</v>
      </c>
      <c r="B24" t="s">
        <v>5701</v>
      </c>
      <c r="C24" t="s">
        <v>5702</v>
      </c>
      <c r="D24" t="s">
        <v>5703</v>
      </c>
      <c r="E24" t="s">
        <v>16</v>
      </c>
      <c r="F24" t="s">
        <v>5704</v>
      </c>
      <c r="G24" s="2">
        <v>0.57777777777777783</v>
      </c>
      <c r="H24" t="s">
        <v>1200</v>
      </c>
      <c r="I24" t="s">
        <v>1464</v>
      </c>
      <c r="K24" s="2">
        <v>0.58333333333333337</v>
      </c>
      <c r="L24" t="s">
        <v>5705</v>
      </c>
      <c r="M24">
        <v>3447</v>
      </c>
      <c r="S24" t="s">
        <v>965</v>
      </c>
    </row>
    <row r="25" spans="1:20" x14ac:dyDescent="0.3">
      <c r="A25" t="s">
        <v>534</v>
      </c>
      <c r="B25" t="s">
        <v>5706</v>
      </c>
      <c r="C25" t="s">
        <v>5707</v>
      </c>
      <c r="D25" t="s">
        <v>5708</v>
      </c>
      <c r="E25" t="s">
        <v>16</v>
      </c>
      <c r="F25" t="s">
        <v>5709</v>
      </c>
      <c r="G25" s="2">
        <v>0.53402777777777777</v>
      </c>
      <c r="H25" t="s">
        <v>1200</v>
      </c>
      <c r="I25" t="s">
        <v>1292</v>
      </c>
      <c r="K25" s="2">
        <v>0.56111111111111112</v>
      </c>
      <c r="L25" t="s">
        <v>5710</v>
      </c>
      <c r="M25">
        <v>3446</v>
      </c>
      <c r="O25">
        <v>7</v>
      </c>
      <c r="S25" t="s">
        <v>5711</v>
      </c>
    </row>
    <row r="26" spans="1:20" x14ac:dyDescent="0.3">
      <c r="A26" t="s">
        <v>534</v>
      </c>
      <c r="B26" t="s">
        <v>5712</v>
      </c>
      <c r="C26" t="s">
        <v>5713</v>
      </c>
      <c r="D26" t="s">
        <v>5714</v>
      </c>
      <c r="E26" t="s">
        <v>16</v>
      </c>
      <c r="F26" t="s">
        <v>5715</v>
      </c>
      <c r="G26" s="2">
        <v>0.48333333333333334</v>
      </c>
      <c r="H26" t="s">
        <v>1200</v>
      </c>
      <c r="I26" t="s">
        <v>1292</v>
      </c>
      <c r="K26" s="2">
        <v>0.49236111111111108</v>
      </c>
      <c r="M26">
        <v>3444</v>
      </c>
      <c r="S26" t="s">
        <v>5716</v>
      </c>
    </row>
    <row r="27" spans="1:20" x14ac:dyDescent="0.3">
      <c r="A27" t="s">
        <v>534</v>
      </c>
      <c r="B27" t="s">
        <v>5717</v>
      </c>
      <c r="C27" t="s">
        <v>5718</v>
      </c>
      <c r="D27" t="s">
        <v>5719</v>
      </c>
      <c r="E27" t="s">
        <v>16</v>
      </c>
      <c r="F27" t="s">
        <v>5720</v>
      </c>
      <c r="G27" s="2">
        <v>0.46249999999999997</v>
      </c>
      <c r="H27" t="s">
        <v>1668</v>
      </c>
      <c r="I27" t="s">
        <v>1309</v>
      </c>
      <c r="K27" s="2">
        <v>0.48055555555555557</v>
      </c>
      <c r="M27">
        <v>3442</v>
      </c>
      <c r="S27" t="s">
        <v>5658</v>
      </c>
    </row>
    <row r="28" spans="1:20" x14ac:dyDescent="0.3">
      <c r="A28" t="s">
        <v>534</v>
      </c>
      <c r="B28" t="s">
        <v>5721</v>
      </c>
      <c r="C28" t="s">
        <v>5722</v>
      </c>
      <c r="D28" t="s">
        <v>5723</v>
      </c>
      <c r="E28" t="s">
        <v>16</v>
      </c>
      <c r="F28" t="s">
        <v>5724</v>
      </c>
      <c r="G28" s="2">
        <v>0.4458333333333333</v>
      </c>
      <c r="H28" t="s">
        <v>1200</v>
      </c>
      <c r="I28" t="s">
        <v>1501</v>
      </c>
      <c r="K28" s="2">
        <v>0.45763888888888887</v>
      </c>
      <c r="L28" t="s">
        <v>5725</v>
      </c>
      <c r="M28">
        <v>3440</v>
      </c>
      <c r="T28" t="s">
        <v>5726</v>
      </c>
    </row>
    <row r="29" spans="1:20" x14ac:dyDescent="0.3">
      <c r="A29" t="s">
        <v>539</v>
      </c>
      <c r="B29" t="s">
        <v>5727</v>
      </c>
      <c r="C29" t="s">
        <v>5728</v>
      </c>
      <c r="D29" t="s">
        <v>5729</v>
      </c>
      <c r="E29" t="s">
        <v>16</v>
      </c>
      <c r="F29" t="s">
        <v>5730</v>
      </c>
      <c r="G29" s="2">
        <v>0.6020833333333333</v>
      </c>
      <c r="H29" t="s">
        <v>1200</v>
      </c>
      <c r="I29" t="s">
        <v>1292</v>
      </c>
      <c r="K29" s="2">
        <v>0.61319444444444449</v>
      </c>
      <c r="M29">
        <v>3437</v>
      </c>
      <c r="S29" t="s">
        <v>5731</v>
      </c>
    </row>
    <row r="30" spans="1:20" x14ac:dyDescent="0.3">
      <c r="A30" t="s">
        <v>539</v>
      </c>
      <c r="B30" t="s">
        <v>5732</v>
      </c>
      <c r="C30" t="s">
        <v>5733</v>
      </c>
      <c r="D30" t="s">
        <v>5734</v>
      </c>
      <c r="E30" t="s">
        <v>16</v>
      </c>
      <c r="F30" t="s">
        <v>5735</v>
      </c>
      <c r="G30" s="2">
        <v>0.55625000000000002</v>
      </c>
      <c r="H30" t="s">
        <v>1200</v>
      </c>
      <c r="I30" t="s">
        <v>1292</v>
      </c>
      <c r="K30" s="2">
        <v>0.57013888888888886</v>
      </c>
      <c r="L30" t="s">
        <v>5736</v>
      </c>
      <c r="M30">
        <v>3433</v>
      </c>
      <c r="O30">
        <v>10</v>
      </c>
      <c r="S30" t="s">
        <v>5711</v>
      </c>
    </row>
    <row r="31" spans="1:20" x14ac:dyDescent="0.3">
      <c r="A31" t="s">
        <v>539</v>
      </c>
      <c r="B31" t="s">
        <v>5737</v>
      </c>
      <c r="C31" t="s">
        <v>5738</v>
      </c>
      <c r="D31" t="s">
        <v>5739</v>
      </c>
      <c r="E31" t="s">
        <v>16</v>
      </c>
      <c r="F31" t="s">
        <v>5740</v>
      </c>
      <c r="G31" s="2">
        <v>0.34722222222222227</v>
      </c>
      <c r="H31" t="s">
        <v>1200</v>
      </c>
      <c r="I31" t="s">
        <v>1464</v>
      </c>
      <c r="K31" s="2">
        <v>0.37708333333333338</v>
      </c>
      <c r="L31" t="s">
        <v>5705</v>
      </c>
      <c r="M31">
        <v>3428</v>
      </c>
      <c r="S31" t="s">
        <v>965</v>
      </c>
    </row>
    <row r="32" spans="1:20" x14ac:dyDescent="0.3">
      <c r="A32" t="s">
        <v>543</v>
      </c>
      <c r="B32" t="s">
        <v>5741</v>
      </c>
      <c r="C32" t="s">
        <v>5742</v>
      </c>
      <c r="D32" t="s">
        <v>5743</v>
      </c>
      <c r="E32" t="s">
        <v>16</v>
      </c>
      <c r="F32" t="s">
        <v>5744</v>
      </c>
      <c r="G32" s="2">
        <v>0.46388888888888885</v>
      </c>
      <c r="H32" t="s">
        <v>1200</v>
      </c>
      <c r="I32" t="s">
        <v>1464</v>
      </c>
      <c r="K32" s="2">
        <v>0.4777777777777778</v>
      </c>
      <c r="L32" t="s">
        <v>5745</v>
      </c>
      <c r="M32">
        <v>3424</v>
      </c>
      <c r="N32">
        <v>141</v>
      </c>
      <c r="O32">
        <v>16</v>
      </c>
      <c r="S32" t="s">
        <v>965</v>
      </c>
    </row>
    <row r="33" spans="1:19" x14ac:dyDescent="0.3">
      <c r="A33" t="s">
        <v>543</v>
      </c>
      <c r="B33" t="s">
        <v>5746</v>
      </c>
      <c r="C33" t="s">
        <v>5747</v>
      </c>
      <c r="D33" t="s">
        <v>5748</v>
      </c>
      <c r="E33" t="s">
        <v>16</v>
      </c>
      <c r="F33" t="s">
        <v>5749</v>
      </c>
      <c r="G33" s="2">
        <v>0.45347222222222222</v>
      </c>
      <c r="H33" t="s">
        <v>1200</v>
      </c>
      <c r="I33" t="s">
        <v>1640</v>
      </c>
      <c r="K33" s="2">
        <v>0.45833333333333331</v>
      </c>
      <c r="L33" t="s">
        <v>5705</v>
      </c>
      <c r="M33">
        <v>3422</v>
      </c>
      <c r="S33" t="s">
        <v>965</v>
      </c>
    </row>
    <row r="34" spans="1:19" x14ac:dyDescent="0.3">
      <c r="A34" t="s">
        <v>543</v>
      </c>
      <c r="B34" t="s">
        <v>5750</v>
      </c>
      <c r="C34" t="s">
        <v>5751</v>
      </c>
      <c r="D34" t="s">
        <v>5752</v>
      </c>
      <c r="E34" t="s">
        <v>16</v>
      </c>
      <c r="F34" t="s">
        <v>5753</v>
      </c>
      <c r="G34" s="2">
        <v>0.4375</v>
      </c>
      <c r="H34" t="s">
        <v>1200</v>
      </c>
      <c r="I34" t="s">
        <v>1640</v>
      </c>
      <c r="K34" s="2">
        <v>0.44375000000000003</v>
      </c>
      <c r="L34" t="s">
        <v>5754</v>
      </c>
      <c r="M34">
        <v>3419</v>
      </c>
      <c r="N34">
        <v>191</v>
      </c>
      <c r="O34">
        <v>16</v>
      </c>
      <c r="S34" t="s">
        <v>965</v>
      </c>
    </row>
    <row r="35" spans="1:19" x14ac:dyDescent="0.3">
      <c r="A35" t="s">
        <v>543</v>
      </c>
      <c r="B35" t="s">
        <v>5755</v>
      </c>
      <c r="C35" t="s">
        <v>5756</v>
      </c>
      <c r="D35" t="s">
        <v>5757</v>
      </c>
      <c r="E35" t="s">
        <v>16</v>
      </c>
      <c r="F35" t="s">
        <v>5758</v>
      </c>
      <c r="G35" s="2">
        <v>0.42986111111111108</v>
      </c>
      <c r="H35" t="s">
        <v>1200</v>
      </c>
      <c r="I35" t="s">
        <v>1464</v>
      </c>
      <c r="K35" s="2">
        <v>0.43611111111111112</v>
      </c>
      <c r="L35" t="s">
        <v>5754</v>
      </c>
      <c r="M35">
        <v>3419</v>
      </c>
      <c r="N35">
        <v>191</v>
      </c>
      <c r="O35">
        <v>16</v>
      </c>
      <c r="S35" t="s">
        <v>965</v>
      </c>
    </row>
    <row r="36" spans="1:19" x14ac:dyDescent="0.3">
      <c r="A36" t="s">
        <v>543</v>
      </c>
      <c r="B36" t="s">
        <v>5759</v>
      </c>
      <c r="C36" t="s">
        <v>5760</v>
      </c>
      <c r="D36" t="s">
        <v>5761</v>
      </c>
      <c r="E36" t="s">
        <v>16</v>
      </c>
      <c r="F36" t="s">
        <v>5762</v>
      </c>
      <c r="G36" s="2">
        <v>0.41805555555555557</v>
      </c>
      <c r="H36" t="s">
        <v>1200</v>
      </c>
      <c r="I36" t="s">
        <v>1464</v>
      </c>
      <c r="K36" s="2">
        <v>0.42638888888888887</v>
      </c>
      <c r="L36" t="s">
        <v>5763</v>
      </c>
      <c r="M36">
        <v>3416</v>
      </c>
      <c r="S36" t="s">
        <v>965</v>
      </c>
    </row>
    <row r="37" spans="1:19" x14ac:dyDescent="0.3">
      <c r="A37" t="s">
        <v>543</v>
      </c>
      <c r="B37" t="s">
        <v>5764</v>
      </c>
      <c r="C37" t="s">
        <v>5765</v>
      </c>
      <c r="D37" t="s">
        <v>5766</v>
      </c>
      <c r="E37" t="s">
        <v>16</v>
      </c>
      <c r="F37" t="s">
        <v>5767</v>
      </c>
      <c r="G37" s="2">
        <v>0.40347222222222223</v>
      </c>
      <c r="I37" t="s">
        <v>1292</v>
      </c>
      <c r="K37" s="2">
        <v>0.40625</v>
      </c>
      <c r="L37" t="s">
        <v>5768</v>
      </c>
      <c r="M37">
        <v>3415</v>
      </c>
      <c r="S37" t="s">
        <v>5769</v>
      </c>
    </row>
    <row r="38" spans="1:19" x14ac:dyDescent="0.3">
      <c r="A38" t="s">
        <v>552</v>
      </c>
      <c r="B38" t="s">
        <v>5770</v>
      </c>
      <c r="C38" t="s">
        <v>5771</v>
      </c>
      <c r="D38" t="s">
        <v>5772</v>
      </c>
      <c r="E38" t="s">
        <v>16</v>
      </c>
      <c r="F38" t="s">
        <v>5773</v>
      </c>
      <c r="G38" s="2">
        <v>0.47638888888888892</v>
      </c>
      <c r="H38" t="s">
        <v>1668</v>
      </c>
      <c r="I38" t="s">
        <v>1464</v>
      </c>
      <c r="K38" s="2">
        <v>0.50208333333333333</v>
      </c>
      <c r="L38" t="s">
        <v>5774</v>
      </c>
      <c r="M38">
        <v>3410</v>
      </c>
      <c r="S38" t="s">
        <v>965</v>
      </c>
    </row>
    <row r="39" spans="1:19" x14ac:dyDescent="0.3">
      <c r="A39" t="s">
        <v>557</v>
      </c>
      <c r="B39" t="s">
        <v>5775</v>
      </c>
      <c r="C39" t="s">
        <v>5776</v>
      </c>
      <c r="D39" t="s">
        <v>5777</v>
      </c>
      <c r="E39" t="s">
        <v>16</v>
      </c>
      <c r="F39" t="s">
        <v>5778</v>
      </c>
      <c r="G39" s="2">
        <v>0.56111111111111112</v>
      </c>
      <c r="H39" t="s">
        <v>1200</v>
      </c>
      <c r="I39" t="s">
        <v>1292</v>
      </c>
      <c r="K39" s="2">
        <v>0.57708333333333328</v>
      </c>
      <c r="L39" t="s">
        <v>5779</v>
      </c>
      <c r="M39">
        <v>3407</v>
      </c>
      <c r="N39">
        <v>186</v>
      </c>
      <c r="O39">
        <v>9</v>
      </c>
      <c r="S39" t="s">
        <v>5780</v>
      </c>
    </row>
    <row r="40" spans="1:19" x14ac:dyDescent="0.3">
      <c r="A40" t="s">
        <v>557</v>
      </c>
      <c r="B40" t="s">
        <v>5781</v>
      </c>
      <c r="C40" t="s">
        <v>5782</v>
      </c>
      <c r="D40" t="s">
        <v>5783</v>
      </c>
      <c r="E40" t="s">
        <v>16</v>
      </c>
      <c r="F40" t="s">
        <v>5784</v>
      </c>
      <c r="G40" s="2">
        <v>0.43541666666666662</v>
      </c>
      <c r="H40" t="s">
        <v>1200</v>
      </c>
      <c r="I40" t="s">
        <v>1292</v>
      </c>
      <c r="K40" s="2">
        <v>0.45694444444444443</v>
      </c>
      <c r="L40" t="s">
        <v>5785</v>
      </c>
      <c r="M40">
        <v>3404</v>
      </c>
      <c r="S40" t="s">
        <v>5592</v>
      </c>
    </row>
    <row r="41" spans="1:19" x14ac:dyDescent="0.3">
      <c r="A41" t="s">
        <v>565</v>
      </c>
      <c r="B41" t="s">
        <v>5786</v>
      </c>
      <c r="C41" t="s">
        <v>5787</v>
      </c>
      <c r="D41" t="s">
        <v>5788</v>
      </c>
      <c r="E41" t="s">
        <v>16</v>
      </c>
      <c r="F41" t="s">
        <v>5789</v>
      </c>
      <c r="G41" s="2">
        <v>0.63194444444444442</v>
      </c>
      <c r="H41" t="s">
        <v>1200</v>
      </c>
      <c r="I41" t="s">
        <v>1501</v>
      </c>
      <c r="K41" s="2">
        <v>0.65277777777777779</v>
      </c>
      <c r="L41" t="s">
        <v>5790</v>
      </c>
      <c r="M41">
        <v>3398</v>
      </c>
      <c r="S41" t="s">
        <v>5637</v>
      </c>
    </row>
    <row r="42" spans="1:19" x14ac:dyDescent="0.3">
      <c r="A42" t="s">
        <v>565</v>
      </c>
      <c r="B42" t="s">
        <v>5791</v>
      </c>
      <c r="C42" t="s">
        <v>5792</v>
      </c>
      <c r="D42" t="s">
        <v>5793</v>
      </c>
      <c r="E42" t="s">
        <v>16</v>
      </c>
      <c r="F42" t="s">
        <v>5794</v>
      </c>
      <c r="G42" s="2">
        <v>0.56805555555555554</v>
      </c>
      <c r="H42" t="s">
        <v>1200</v>
      </c>
      <c r="I42" t="s">
        <v>1292</v>
      </c>
      <c r="K42" s="2">
        <v>0.58680555555555558</v>
      </c>
      <c r="L42" t="s">
        <v>5795</v>
      </c>
      <c r="M42">
        <v>3396</v>
      </c>
      <c r="S42" t="s">
        <v>5602</v>
      </c>
    </row>
    <row r="43" spans="1:19" x14ac:dyDescent="0.3">
      <c r="A43" t="s">
        <v>569</v>
      </c>
      <c r="B43" t="s">
        <v>5796</v>
      </c>
      <c r="C43" t="s">
        <v>5797</v>
      </c>
      <c r="D43" t="s">
        <v>5798</v>
      </c>
      <c r="E43" t="s">
        <v>16</v>
      </c>
      <c r="F43" t="s">
        <v>5799</v>
      </c>
      <c r="G43" s="2">
        <v>0.44791666666666669</v>
      </c>
      <c r="H43" t="s">
        <v>1200</v>
      </c>
      <c r="I43" t="s">
        <v>1292</v>
      </c>
      <c r="K43" s="2">
        <v>0.45624999999999999</v>
      </c>
      <c r="M43">
        <v>3391</v>
      </c>
      <c r="S43" t="s">
        <v>5716</v>
      </c>
    </row>
    <row r="44" spans="1:19" x14ac:dyDescent="0.3">
      <c r="A44" t="s">
        <v>569</v>
      </c>
      <c r="B44" t="s">
        <v>5800</v>
      </c>
      <c r="C44" t="s">
        <v>5801</v>
      </c>
      <c r="D44" t="s">
        <v>5802</v>
      </c>
      <c r="E44" t="s">
        <v>16</v>
      </c>
      <c r="F44" t="s">
        <v>5803</v>
      </c>
      <c r="G44" s="2">
        <v>0.36388888888888887</v>
      </c>
      <c r="H44" t="s">
        <v>1200</v>
      </c>
      <c r="I44" t="s">
        <v>1640</v>
      </c>
      <c r="K44" s="2">
        <v>0.3743055555555555</v>
      </c>
      <c r="L44" t="s">
        <v>5804</v>
      </c>
      <c r="M44">
        <v>3382</v>
      </c>
      <c r="N44">
        <v>181</v>
      </c>
      <c r="O44">
        <v>10</v>
      </c>
      <c r="S44" t="s">
        <v>5805</v>
      </c>
    </row>
    <row r="45" spans="1:19" x14ac:dyDescent="0.3">
      <c r="A45" t="s">
        <v>577</v>
      </c>
      <c r="B45" t="s">
        <v>5806</v>
      </c>
      <c r="C45" t="s">
        <v>5807</v>
      </c>
      <c r="D45" t="s">
        <v>5808</v>
      </c>
      <c r="E45" t="s">
        <v>16</v>
      </c>
      <c r="F45" t="s">
        <v>5809</v>
      </c>
      <c r="G45" s="2">
        <v>0.64583333333333337</v>
      </c>
      <c r="H45" t="s">
        <v>1200</v>
      </c>
      <c r="I45" t="s">
        <v>1292</v>
      </c>
      <c r="K45" s="2">
        <v>0.68888888888888899</v>
      </c>
      <c r="L45" t="s">
        <v>5810</v>
      </c>
      <c r="M45">
        <v>3377</v>
      </c>
      <c r="S45" t="s">
        <v>5602</v>
      </c>
    </row>
    <row r="46" spans="1:19" x14ac:dyDescent="0.3">
      <c r="A46" t="s">
        <v>577</v>
      </c>
      <c r="B46" t="s">
        <v>5811</v>
      </c>
      <c r="C46" t="s">
        <v>5812</v>
      </c>
      <c r="D46" t="s">
        <v>5813</v>
      </c>
      <c r="E46" t="s">
        <v>16</v>
      </c>
      <c r="F46" t="s">
        <v>5814</v>
      </c>
      <c r="G46" s="2">
        <v>0.54999999999999993</v>
      </c>
      <c r="H46" t="s">
        <v>1200</v>
      </c>
      <c r="I46" t="s">
        <v>1640</v>
      </c>
      <c r="K46" s="2">
        <v>0.55763888888888891</v>
      </c>
      <c r="L46" t="s">
        <v>5785</v>
      </c>
      <c r="M46">
        <v>3369</v>
      </c>
      <c r="N46">
        <v>93</v>
      </c>
      <c r="O46">
        <v>10</v>
      </c>
      <c r="S46" t="s">
        <v>5592</v>
      </c>
    </row>
    <row r="47" spans="1:19" x14ac:dyDescent="0.3">
      <c r="A47" t="s">
        <v>577</v>
      </c>
      <c r="B47" t="s">
        <v>5815</v>
      </c>
      <c r="C47" t="s">
        <v>5816</v>
      </c>
      <c r="D47" t="s">
        <v>5817</v>
      </c>
      <c r="E47" t="s">
        <v>16</v>
      </c>
      <c r="F47" t="s">
        <v>5818</v>
      </c>
      <c r="G47" s="2">
        <v>0.45347222222222222</v>
      </c>
      <c r="H47" t="s">
        <v>1200</v>
      </c>
      <c r="I47" t="s">
        <v>1292</v>
      </c>
      <c r="K47" s="2">
        <v>0.45555555555555555</v>
      </c>
      <c r="L47" t="s">
        <v>5819</v>
      </c>
      <c r="M47">
        <v>3360</v>
      </c>
      <c r="N47">
        <v>106</v>
      </c>
      <c r="O47">
        <v>8</v>
      </c>
      <c r="S47" t="s">
        <v>5592</v>
      </c>
    </row>
    <row r="48" spans="1:19" x14ac:dyDescent="0.3">
      <c r="A48" t="s">
        <v>577</v>
      </c>
      <c r="B48" t="s">
        <v>5820</v>
      </c>
      <c r="C48" t="s">
        <v>5821</v>
      </c>
      <c r="D48" t="s">
        <v>5822</v>
      </c>
      <c r="E48" t="s">
        <v>16</v>
      </c>
      <c r="F48" t="s">
        <v>5823</v>
      </c>
      <c r="G48" s="2">
        <v>0.44513888888888892</v>
      </c>
      <c r="H48" t="s">
        <v>1200</v>
      </c>
      <c r="I48" t="s">
        <v>1292</v>
      </c>
      <c r="K48" s="2">
        <v>0.45416666666666666</v>
      </c>
      <c r="L48" t="s">
        <v>5824</v>
      </c>
      <c r="M48">
        <v>3359</v>
      </c>
      <c r="N48">
        <v>103</v>
      </c>
      <c r="O48">
        <v>10</v>
      </c>
      <c r="S48" t="s">
        <v>5592</v>
      </c>
    </row>
    <row r="49" spans="1:20" x14ac:dyDescent="0.3">
      <c r="A49" t="s">
        <v>577</v>
      </c>
      <c r="B49" t="s">
        <v>5825</v>
      </c>
      <c r="C49" t="s">
        <v>5826</v>
      </c>
      <c r="D49" t="s">
        <v>5827</v>
      </c>
      <c r="E49" t="s">
        <v>16</v>
      </c>
      <c r="F49" t="s">
        <v>5828</v>
      </c>
      <c r="G49" s="2">
        <v>0.43958333333333338</v>
      </c>
      <c r="H49" t="s">
        <v>1200</v>
      </c>
      <c r="I49" t="s">
        <v>1292</v>
      </c>
      <c r="K49" s="2">
        <v>0.44166666666666665</v>
      </c>
      <c r="L49" t="s">
        <v>5829</v>
      </c>
      <c r="M49">
        <v>3358</v>
      </c>
      <c r="N49">
        <v>108</v>
      </c>
      <c r="O49">
        <v>11</v>
      </c>
      <c r="S49" t="s">
        <v>5592</v>
      </c>
    </row>
    <row r="50" spans="1:20" x14ac:dyDescent="0.3">
      <c r="A50" t="s">
        <v>577</v>
      </c>
      <c r="B50" t="s">
        <v>5830</v>
      </c>
      <c r="C50" t="s">
        <v>5831</v>
      </c>
      <c r="D50" t="s">
        <v>5832</v>
      </c>
      <c r="E50" t="s">
        <v>16</v>
      </c>
      <c r="F50" t="s">
        <v>5833</v>
      </c>
      <c r="G50" s="2">
        <v>0.43124999999999997</v>
      </c>
      <c r="H50" t="s">
        <v>1200</v>
      </c>
      <c r="I50" t="s">
        <v>1292</v>
      </c>
      <c r="K50" s="2">
        <v>0.43541666666666662</v>
      </c>
      <c r="L50" t="s">
        <v>5834</v>
      </c>
      <c r="M50">
        <v>3357</v>
      </c>
      <c r="N50">
        <v>49</v>
      </c>
      <c r="O50">
        <v>10</v>
      </c>
      <c r="S50" t="s">
        <v>5592</v>
      </c>
    </row>
    <row r="51" spans="1:20" x14ac:dyDescent="0.3">
      <c r="A51" t="s">
        <v>581</v>
      </c>
      <c r="B51" t="s">
        <v>5835</v>
      </c>
      <c r="C51" t="s">
        <v>5836</v>
      </c>
      <c r="D51" t="s">
        <v>5837</v>
      </c>
      <c r="E51" t="s">
        <v>16</v>
      </c>
      <c r="F51" t="s">
        <v>5838</v>
      </c>
      <c r="G51" s="2">
        <v>0.67152777777777783</v>
      </c>
      <c r="H51" t="s">
        <v>1200</v>
      </c>
      <c r="I51" t="s">
        <v>1464</v>
      </c>
      <c r="K51" s="2">
        <v>0.67569444444444438</v>
      </c>
      <c r="L51" t="s">
        <v>5763</v>
      </c>
      <c r="M51">
        <v>3355</v>
      </c>
      <c r="S51" t="s">
        <v>965</v>
      </c>
    </row>
    <row r="52" spans="1:20" x14ac:dyDescent="0.3">
      <c r="A52" t="s">
        <v>581</v>
      </c>
      <c r="B52" t="s">
        <v>5839</v>
      </c>
      <c r="C52" t="s">
        <v>5840</v>
      </c>
      <c r="D52" t="s">
        <v>5841</v>
      </c>
      <c r="E52" t="s">
        <v>16</v>
      </c>
      <c r="F52" t="s">
        <v>5842</v>
      </c>
      <c r="G52" s="2">
        <v>0.64444444444444449</v>
      </c>
      <c r="H52" t="s">
        <v>1200</v>
      </c>
      <c r="I52" t="s">
        <v>1464</v>
      </c>
      <c r="K52" s="2">
        <v>0.66666666666666663</v>
      </c>
      <c r="L52" t="s">
        <v>5843</v>
      </c>
      <c r="M52">
        <v>3353</v>
      </c>
      <c r="S52" t="s">
        <v>965</v>
      </c>
      <c r="T52" t="s">
        <v>5844</v>
      </c>
    </row>
    <row r="53" spans="1:20" x14ac:dyDescent="0.3">
      <c r="A53" t="s">
        <v>581</v>
      </c>
      <c r="B53" t="s">
        <v>5845</v>
      </c>
      <c r="C53" t="s">
        <v>5846</v>
      </c>
      <c r="D53" t="s">
        <v>5847</v>
      </c>
      <c r="E53" t="s">
        <v>16</v>
      </c>
      <c r="F53" t="s">
        <v>5848</v>
      </c>
      <c r="G53" s="2">
        <v>0.62361111111111112</v>
      </c>
      <c r="H53" t="s">
        <v>1200</v>
      </c>
      <c r="I53" t="s">
        <v>1292</v>
      </c>
      <c r="K53" s="2">
        <v>0.64097222222222217</v>
      </c>
      <c r="L53" t="s">
        <v>5849</v>
      </c>
      <c r="M53">
        <v>3352</v>
      </c>
      <c r="S53" t="s">
        <v>5780</v>
      </c>
      <c r="T53" t="s">
        <v>5850</v>
      </c>
    </row>
    <row r="54" spans="1:20" x14ac:dyDescent="0.3">
      <c r="A54" t="s">
        <v>581</v>
      </c>
      <c r="B54" t="s">
        <v>5851</v>
      </c>
      <c r="C54" t="s">
        <v>5852</v>
      </c>
      <c r="D54" t="s">
        <v>5853</v>
      </c>
      <c r="E54" t="s">
        <v>16</v>
      </c>
      <c r="F54" t="s">
        <v>5854</v>
      </c>
      <c r="G54" s="2">
        <v>0.59027777777777779</v>
      </c>
      <c r="H54" t="s">
        <v>1200</v>
      </c>
      <c r="I54" t="s">
        <v>1216</v>
      </c>
      <c r="K54" s="2">
        <v>0.60138888888888886</v>
      </c>
      <c r="L54" t="s">
        <v>5855</v>
      </c>
      <c r="M54">
        <v>3347</v>
      </c>
      <c r="S54" t="s">
        <v>5592</v>
      </c>
    </row>
    <row r="55" spans="1:20" x14ac:dyDescent="0.3">
      <c r="A55" t="s">
        <v>585</v>
      </c>
      <c r="B55" t="s">
        <v>5856</v>
      </c>
      <c r="C55" t="s">
        <v>5857</v>
      </c>
      <c r="D55" t="s">
        <v>5858</v>
      </c>
      <c r="E55" t="s">
        <v>16</v>
      </c>
      <c r="F55" t="s">
        <v>5859</v>
      </c>
      <c r="G55" s="2">
        <v>0.4770833333333333</v>
      </c>
      <c r="H55" t="s">
        <v>1200</v>
      </c>
      <c r="I55" t="s">
        <v>1292</v>
      </c>
      <c r="K55" s="2">
        <v>0.48680555555555555</v>
      </c>
      <c r="M55">
        <v>3342</v>
      </c>
    </row>
    <row r="56" spans="1:20" x14ac:dyDescent="0.3">
      <c r="A56" t="s">
        <v>585</v>
      </c>
      <c r="B56" t="s">
        <v>5860</v>
      </c>
      <c r="C56" t="s">
        <v>5861</v>
      </c>
      <c r="D56" t="s">
        <v>5862</v>
      </c>
      <c r="E56" t="s">
        <v>16</v>
      </c>
      <c r="F56" t="s">
        <v>5863</v>
      </c>
      <c r="G56" s="2">
        <v>0.36874999999999997</v>
      </c>
      <c r="H56" t="s">
        <v>1200</v>
      </c>
      <c r="I56" t="s">
        <v>1640</v>
      </c>
      <c r="K56" s="2">
        <v>0.4145833333333333</v>
      </c>
      <c r="M56">
        <v>3335</v>
      </c>
      <c r="S56" t="s">
        <v>5864</v>
      </c>
      <c r="T56" t="s">
        <v>5865</v>
      </c>
    </row>
    <row r="57" spans="1:20" x14ac:dyDescent="0.3">
      <c r="A57" t="s">
        <v>585</v>
      </c>
      <c r="B57" t="s">
        <v>5866</v>
      </c>
      <c r="C57" t="s">
        <v>5867</v>
      </c>
      <c r="D57" t="s">
        <v>5868</v>
      </c>
      <c r="E57" t="s">
        <v>16</v>
      </c>
      <c r="F57" t="s">
        <v>5869</v>
      </c>
      <c r="G57" s="2">
        <v>0.3611111111111111</v>
      </c>
      <c r="H57" t="s">
        <v>1200</v>
      </c>
      <c r="I57" t="s">
        <v>1292</v>
      </c>
      <c r="K57" s="2">
        <v>0.36736111111111108</v>
      </c>
      <c r="L57" t="s">
        <v>5870</v>
      </c>
      <c r="M57">
        <v>3333</v>
      </c>
      <c r="N57">
        <v>65</v>
      </c>
      <c r="O57">
        <v>8</v>
      </c>
      <c r="S57" t="s">
        <v>5592</v>
      </c>
    </row>
    <row r="58" spans="1:20" x14ac:dyDescent="0.3">
      <c r="A58" t="s">
        <v>585</v>
      </c>
      <c r="B58" t="s">
        <v>5871</v>
      </c>
      <c r="C58" t="s">
        <v>5872</v>
      </c>
      <c r="D58" t="s">
        <v>5873</v>
      </c>
      <c r="E58" t="s">
        <v>16</v>
      </c>
      <c r="F58" t="s">
        <v>5874</v>
      </c>
      <c r="G58" s="2">
        <v>0.35416666666666669</v>
      </c>
      <c r="H58" t="s">
        <v>1200</v>
      </c>
      <c r="I58" t="s">
        <v>1292</v>
      </c>
      <c r="K58" s="2">
        <v>0.35694444444444445</v>
      </c>
      <c r="L58" t="s">
        <v>5875</v>
      </c>
      <c r="M58">
        <v>3332</v>
      </c>
      <c r="N58">
        <v>47</v>
      </c>
      <c r="O58">
        <v>7</v>
      </c>
      <c r="S58" t="s">
        <v>5592</v>
      </c>
    </row>
    <row r="59" spans="1:20" x14ac:dyDescent="0.3">
      <c r="A59" t="s">
        <v>585</v>
      </c>
      <c r="B59" t="s">
        <v>5876</v>
      </c>
      <c r="C59" t="s">
        <v>5877</v>
      </c>
      <c r="D59" t="s">
        <v>5878</v>
      </c>
      <c r="E59" t="s">
        <v>16</v>
      </c>
      <c r="F59" t="s">
        <v>5879</v>
      </c>
      <c r="G59" s="2">
        <v>0.35138888888888892</v>
      </c>
      <c r="H59" t="s">
        <v>1668</v>
      </c>
      <c r="I59" t="s">
        <v>1292</v>
      </c>
      <c r="K59" s="2">
        <v>0.3527777777777778</v>
      </c>
      <c r="L59" t="s">
        <v>5880</v>
      </c>
      <c r="M59">
        <v>3331</v>
      </c>
      <c r="S59" t="s">
        <v>5881</v>
      </c>
    </row>
    <row r="60" spans="1:20" x14ac:dyDescent="0.3">
      <c r="A60" t="s">
        <v>589</v>
      </c>
      <c r="B60" t="s">
        <v>5882</v>
      </c>
      <c r="C60" t="s">
        <v>5883</v>
      </c>
      <c r="D60" t="s">
        <v>5884</v>
      </c>
      <c r="E60" t="s">
        <v>16</v>
      </c>
      <c r="F60" t="s">
        <v>5885</v>
      </c>
      <c r="G60" s="2">
        <v>0.68125000000000002</v>
      </c>
      <c r="H60" t="s">
        <v>1200</v>
      </c>
      <c r="I60" t="s">
        <v>1216</v>
      </c>
      <c r="K60" s="2">
        <v>0.69166666666666676</v>
      </c>
      <c r="L60" t="s">
        <v>5886</v>
      </c>
      <c r="M60">
        <v>3326</v>
      </c>
      <c r="N60">
        <v>101</v>
      </c>
      <c r="S60" t="s">
        <v>5592</v>
      </c>
    </row>
    <row r="61" spans="1:20" x14ac:dyDescent="0.3">
      <c r="A61" t="s">
        <v>589</v>
      </c>
      <c r="B61" t="s">
        <v>5887</v>
      </c>
      <c r="C61" t="s">
        <v>5888</v>
      </c>
      <c r="D61" t="s">
        <v>5889</v>
      </c>
      <c r="E61" t="s">
        <v>16</v>
      </c>
      <c r="F61" t="s">
        <v>5890</v>
      </c>
      <c r="G61" s="2">
        <v>0.6743055555555556</v>
      </c>
      <c r="H61" t="s">
        <v>1200</v>
      </c>
      <c r="I61" t="s">
        <v>1640</v>
      </c>
      <c r="K61" s="2">
        <v>0.67986111111111114</v>
      </c>
      <c r="L61" t="s">
        <v>5891</v>
      </c>
      <c r="M61">
        <v>3325</v>
      </c>
      <c r="N61">
        <v>100</v>
      </c>
      <c r="O61">
        <v>9</v>
      </c>
      <c r="S61" t="s">
        <v>5592</v>
      </c>
    </row>
    <row r="62" spans="1:20" x14ac:dyDescent="0.3">
      <c r="A62" t="s">
        <v>589</v>
      </c>
      <c r="B62" t="s">
        <v>5892</v>
      </c>
      <c r="C62" t="s">
        <v>5893</v>
      </c>
      <c r="D62" t="s">
        <v>5894</v>
      </c>
      <c r="E62" t="s">
        <v>16</v>
      </c>
      <c r="F62" t="s">
        <v>5895</v>
      </c>
      <c r="G62" s="2">
        <v>0.66666666666666663</v>
      </c>
      <c r="H62" t="s">
        <v>1200</v>
      </c>
      <c r="I62" t="s">
        <v>1292</v>
      </c>
      <c r="K62" s="2">
        <v>0.67222222222222217</v>
      </c>
      <c r="L62" t="s">
        <v>5896</v>
      </c>
      <c r="M62">
        <v>3324</v>
      </c>
      <c r="N62">
        <v>101</v>
      </c>
      <c r="O62">
        <v>9</v>
      </c>
      <c r="S62" t="s">
        <v>5592</v>
      </c>
    </row>
    <row r="63" spans="1:20" x14ac:dyDescent="0.3">
      <c r="A63" t="s">
        <v>589</v>
      </c>
      <c r="B63" t="s">
        <v>5897</v>
      </c>
      <c r="C63" t="s">
        <v>5898</v>
      </c>
      <c r="D63" t="s">
        <v>5899</v>
      </c>
      <c r="E63" t="s">
        <v>16</v>
      </c>
      <c r="F63" t="s">
        <v>5900</v>
      </c>
      <c r="G63" s="2">
        <v>0.65208333333333335</v>
      </c>
      <c r="H63" t="s">
        <v>1200</v>
      </c>
      <c r="I63" t="s">
        <v>2810</v>
      </c>
      <c r="K63" s="2">
        <v>0.65694444444444444</v>
      </c>
      <c r="L63" t="s">
        <v>5901</v>
      </c>
      <c r="M63">
        <v>3323</v>
      </c>
      <c r="N63">
        <v>14</v>
      </c>
      <c r="O63">
        <v>5</v>
      </c>
      <c r="S63" t="s">
        <v>5780</v>
      </c>
    </row>
    <row r="64" spans="1:20" x14ac:dyDescent="0.3">
      <c r="A64" t="s">
        <v>589</v>
      </c>
      <c r="B64" t="s">
        <v>5902</v>
      </c>
      <c r="C64" t="s">
        <v>5903</v>
      </c>
      <c r="D64" t="s">
        <v>5904</v>
      </c>
      <c r="E64" t="s">
        <v>16</v>
      </c>
      <c r="F64" t="s">
        <v>5905</v>
      </c>
      <c r="G64" s="2">
        <v>0.58333333333333337</v>
      </c>
      <c r="H64" t="s">
        <v>1200</v>
      </c>
      <c r="I64" t="s">
        <v>1292</v>
      </c>
      <c r="K64" s="2">
        <v>0.61249999999999993</v>
      </c>
      <c r="M64">
        <v>3321</v>
      </c>
      <c r="S64" t="s">
        <v>5906</v>
      </c>
    </row>
    <row r="65" spans="1:20" x14ac:dyDescent="0.3">
      <c r="A65" t="s">
        <v>589</v>
      </c>
      <c r="B65" t="s">
        <v>5907</v>
      </c>
      <c r="C65" t="s">
        <v>5908</v>
      </c>
      <c r="D65" t="s">
        <v>5909</v>
      </c>
      <c r="E65" t="s">
        <v>16</v>
      </c>
      <c r="F65" t="s">
        <v>5910</v>
      </c>
      <c r="G65" s="2">
        <v>0.56458333333333333</v>
      </c>
      <c r="H65" t="s">
        <v>1200</v>
      </c>
      <c r="I65" t="s">
        <v>1292</v>
      </c>
      <c r="K65" s="2">
        <v>0.57291666666666663</v>
      </c>
      <c r="L65" t="s">
        <v>5911</v>
      </c>
      <c r="M65">
        <v>3320</v>
      </c>
      <c r="S65" t="s">
        <v>5780</v>
      </c>
    </row>
    <row r="66" spans="1:20" x14ac:dyDescent="0.3">
      <c r="A66" t="s">
        <v>589</v>
      </c>
      <c r="B66" t="s">
        <v>5912</v>
      </c>
      <c r="C66" t="s">
        <v>5913</v>
      </c>
      <c r="D66" t="s">
        <v>5914</v>
      </c>
      <c r="E66" t="s">
        <v>16</v>
      </c>
      <c r="F66" t="s">
        <v>5915</v>
      </c>
      <c r="G66" s="2">
        <v>0.46527777777777773</v>
      </c>
      <c r="H66" t="s">
        <v>1200</v>
      </c>
      <c r="I66" t="s">
        <v>1292</v>
      </c>
      <c r="K66" s="2">
        <v>0.47361111111111115</v>
      </c>
      <c r="L66" t="s">
        <v>5916</v>
      </c>
      <c r="M66">
        <v>3316</v>
      </c>
      <c r="S66" t="s">
        <v>5637</v>
      </c>
    </row>
    <row r="67" spans="1:20" x14ac:dyDescent="0.3">
      <c r="A67" t="s">
        <v>592</v>
      </c>
      <c r="B67" t="s">
        <v>5917</v>
      </c>
      <c r="C67" t="s">
        <v>5918</v>
      </c>
      <c r="D67" t="s">
        <v>5919</v>
      </c>
      <c r="E67" t="s">
        <v>16</v>
      </c>
      <c r="F67" t="s">
        <v>5920</v>
      </c>
      <c r="G67" s="2">
        <v>0.54097222222222219</v>
      </c>
      <c r="H67" t="s">
        <v>1200</v>
      </c>
      <c r="I67" t="s">
        <v>1292</v>
      </c>
      <c r="K67" s="2">
        <v>0.54375000000000007</v>
      </c>
      <c r="L67" t="s">
        <v>5921</v>
      </c>
      <c r="M67">
        <v>3311</v>
      </c>
      <c r="S67" t="s">
        <v>5602</v>
      </c>
    </row>
    <row r="68" spans="1:20" x14ac:dyDescent="0.3">
      <c r="A68" t="s">
        <v>592</v>
      </c>
      <c r="B68" t="s">
        <v>5922</v>
      </c>
      <c r="C68" t="s">
        <v>5923</v>
      </c>
      <c r="D68" t="s">
        <v>5924</v>
      </c>
      <c r="E68" t="s">
        <v>16</v>
      </c>
      <c r="F68" t="s">
        <v>5925</v>
      </c>
      <c r="G68" s="2">
        <v>0.4861111111111111</v>
      </c>
      <c r="H68" t="s">
        <v>1200</v>
      </c>
      <c r="I68" t="s">
        <v>1640</v>
      </c>
      <c r="K68" s="2">
        <v>0.49513888888888885</v>
      </c>
      <c r="L68" t="s">
        <v>5926</v>
      </c>
      <c r="M68">
        <v>3310</v>
      </c>
      <c r="S68" t="s">
        <v>5602</v>
      </c>
    </row>
    <row r="69" spans="1:20" x14ac:dyDescent="0.3">
      <c r="A69" t="s">
        <v>592</v>
      </c>
      <c r="B69" t="s">
        <v>5927</v>
      </c>
      <c r="C69" t="s">
        <v>5928</v>
      </c>
      <c r="D69" t="s">
        <v>5929</v>
      </c>
      <c r="E69" t="s">
        <v>16</v>
      </c>
      <c r="F69" t="s">
        <v>5930</v>
      </c>
      <c r="G69" s="2">
        <v>0.31944444444444448</v>
      </c>
      <c r="H69" t="s">
        <v>1200</v>
      </c>
      <c r="I69" t="s">
        <v>1292</v>
      </c>
      <c r="K69" s="2">
        <v>0.3263888888888889</v>
      </c>
      <c r="L69" t="s">
        <v>5926</v>
      </c>
      <c r="M69">
        <v>3301</v>
      </c>
      <c r="S69" t="s">
        <v>5602</v>
      </c>
    </row>
    <row r="70" spans="1:20" x14ac:dyDescent="0.3">
      <c r="A70" t="s">
        <v>592</v>
      </c>
      <c r="B70" t="s">
        <v>5931</v>
      </c>
      <c r="C70" t="s">
        <v>5932</v>
      </c>
      <c r="D70" t="s">
        <v>5933</v>
      </c>
      <c r="E70" t="s">
        <v>16</v>
      </c>
      <c r="F70" t="s">
        <v>5934</v>
      </c>
      <c r="G70" s="2">
        <v>0.30555555555555552</v>
      </c>
      <c r="H70" t="s">
        <v>1200</v>
      </c>
      <c r="I70" t="s">
        <v>1292</v>
      </c>
      <c r="K70" s="2">
        <v>0.30833333333333335</v>
      </c>
      <c r="L70" t="s">
        <v>5601</v>
      </c>
      <c r="M70">
        <v>3300</v>
      </c>
      <c r="S70" t="s">
        <v>5602</v>
      </c>
    </row>
    <row r="71" spans="1:20" x14ac:dyDescent="0.3">
      <c r="A71" t="s">
        <v>596</v>
      </c>
      <c r="B71" t="s">
        <v>5935</v>
      </c>
      <c r="C71" t="s">
        <v>5936</v>
      </c>
      <c r="D71" t="s">
        <v>5937</v>
      </c>
      <c r="E71" t="s">
        <v>16</v>
      </c>
      <c r="F71" t="s">
        <v>5938</v>
      </c>
      <c r="G71" s="2">
        <v>0.53055555555555556</v>
      </c>
      <c r="H71" t="s">
        <v>1200</v>
      </c>
      <c r="I71" t="s">
        <v>1464</v>
      </c>
      <c r="K71" s="2">
        <v>0.53819444444444442</v>
      </c>
      <c r="S71" t="s">
        <v>965</v>
      </c>
    </row>
    <row r="72" spans="1:20" x14ac:dyDescent="0.3">
      <c r="A72" t="s">
        <v>596</v>
      </c>
      <c r="B72" t="s">
        <v>5939</v>
      </c>
      <c r="C72" t="s">
        <v>5940</v>
      </c>
      <c r="D72" t="s">
        <v>5941</v>
      </c>
      <c r="E72" t="s">
        <v>16</v>
      </c>
      <c r="F72" t="s">
        <v>5942</v>
      </c>
      <c r="G72" s="2">
        <v>0.41944444444444445</v>
      </c>
      <c r="H72" t="s">
        <v>1668</v>
      </c>
      <c r="I72" t="s">
        <v>1464</v>
      </c>
      <c r="K72" s="2">
        <v>0.4284722222222222</v>
      </c>
      <c r="L72" t="s">
        <v>5943</v>
      </c>
      <c r="M72">
        <v>3282</v>
      </c>
      <c r="S72" t="s">
        <v>965</v>
      </c>
    </row>
    <row r="73" spans="1:20" x14ac:dyDescent="0.3">
      <c r="A73" t="s">
        <v>596</v>
      </c>
      <c r="B73" t="s">
        <v>5944</v>
      </c>
      <c r="C73" t="s">
        <v>5945</v>
      </c>
      <c r="D73" t="s">
        <v>5946</v>
      </c>
      <c r="E73" t="s">
        <v>16</v>
      </c>
      <c r="F73" t="s">
        <v>5947</v>
      </c>
      <c r="G73" s="2">
        <v>0.35069444444444442</v>
      </c>
      <c r="H73" t="s">
        <v>1200</v>
      </c>
      <c r="I73" t="s">
        <v>1464</v>
      </c>
      <c r="K73" s="2">
        <v>0.3576388888888889</v>
      </c>
      <c r="L73" t="s">
        <v>5948</v>
      </c>
      <c r="M73">
        <v>3278</v>
      </c>
      <c r="S73" t="s">
        <v>965</v>
      </c>
    </row>
    <row r="74" spans="1:20" x14ac:dyDescent="0.3">
      <c r="A74" t="s">
        <v>610</v>
      </c>
      <c r="B74" t="s">
        <v>5949</v>
      </c>
      <c r="C74" t="s">
        <v>5950</v>
      </c>
      <c r="D74" t="s">
        <v>5951</v>
      </c>
      <c r="E74" t="s">
        <v>16</v>
      </c>
      <c r="F74" t="s">
        <v>5952</v>
      </c>
      <c r="G74" s="2">
        <v>0.6972222222222223</v>
      </c>
      <c r="H74" t="s">
        <v>1200</v>
      </c>
      <c r="I74" t="s">
        <v>1640</v>
      </c>
      <c r="K74" s="2">
        <v>0.7104166666666667</v>
      </c>
      <c r="L74" t="s">
        <v>5953</v>
      </c>
      <c r="S74" t="s">
        <v>5664</v>
      </c>
    </row>
    <row r="75" spans="1:20" x14ac:dyDescent="0.3">
      <c r="A75" t="s">
        <v>605</v>
      </c>
      <c r="B75" t="s">
        <v>5954</v>
      </c>
      <c r="C75" t="s">
        <v>5955</v>
      </c>
      <c r="D75" t="s">
        <v>5956</v>
      </c>
      <c r="E75" t="s">
        <v>16</v>
      </c>
      <c r="F75" t="s">
        <v>5957</v>
      </c>
      <c r="G75" s="2">
        <v>0.3576388888888889</v>
      </c>
      <c r="H75" t="s">
        <v>1200</v>
      </c>
      <c r="I75" t="s">
        <v>1464</v>
      </c>
      <c r="K75" s="2">
        <v>0.37222222222222223</v>
      </c>
      <c r="L75" t="s">
        <v>5958</v>
      </c>
      <c r="M75">
        <v>3267</v>
      </c>
      <c r="O75">
        <v>17</v>
      </c>
      <c r="S75" t="s">
        <v>965</v>
      </c>
    </row>
    <row r="76" spans="1:20" x14ac:dyDescent="0.3">
      <c r="A76" t="s">
        <v>605</v>
      </c>
      <c r="B76" t="s">
        <v>5959</v>
      </c>
      <c r="C76" t="s">
        <v>5960</v>
      </c>
      <c r="D76" t="s">
        <v>5961</v>
      </c>
      <c r="E76" t="s">
        <v>16</v>
      </c>
      <c r="F76" t="s">
        <v>5962</v>
      </c>
      <c r="G76" s="2">
        <v>0.33611111111111108</v>
      </c>
      <c r="H76" t="s">
        <v>1200</v>
      </c>
      <c r="I76" t="s">
        <v>1292</v>
      </c>
      <c r="K76" s="2">
        <v>0.34513888888888888</v>
      </c>
      <c r="L76" t="s">
        <v>5963</v>
      </c>
      <c r="M76">
        <v>3265</v>
      </c>
      <c r="O76">
        <v>6</v>
      </c>
    </row>
    <row r="77" spans="1:20" x14ac:dyDescent="0.3">
      <c r="A77" t="s">
        <v>605</v>
      </c>
      <c r="B77" t="s">
        <v>5964</v>
      </c>
      <c r="C77" t="s">
        <v>5965</v>
      </c>
      <c r="D77" t="s">
        <v>5966</v>
      </c>
      <c r="E77" t="s">
        <v>16</v>
      </c>
      <c r="F77" t="s">
        <v>5967</v>
      </c>
      <c r="G77" s="2">
        <v>0.30833333333333335</v>
      </c>
      <c r="H77" t="s">
        <v>1200</v>
      </c>
      <c r="I77" t="s">
        <v>1464</v>
      </c>
      <c r="K77" s="2">
        <v>0.3263888888888889</v>
      </c>
      <c r="L77" t="s">
        <v>5968</v>
      </c>
      <c r="M77">
        <v>3263</v>
      </c>
      <c r="N77">
        <v>398</v>
      </c>
      <c r="O77">
        <v>16</v>
      </c>
      <c r="S77" t="s">
        <v>965</v>
      </c>
    </row>
    <row r="78" spans="1:20" x14ac:dyDescent="0.3">
      <c r="A78" t="s">
        <v>605</v>
      </c>
      <c r="B78" t="s">
        <v>5969</v>
      </c>
      <c r="C78" t="s">
        <v>5970</v>
      </c>
      <c r="D78" t="s">
        <v>5971</v>
      </c>
      <c r="E78" t="s">
        <v>16</v>
      </c>
      <c r="F78" t="s">
        <v>5972</v>
      </c>
      <c r="G78" s="2">
        <v>0.30069444444444443</v>
      </c>
      <c r="H78" t="s">
        <v>1200</v>
      </c>
      <c r="I78" t="s">
        <v>1464</v>
      </c>
      <c r="K78" s="2">
        <v>0.30486111111111108</v>
      </c>
      <c r="L78" t="s">
        <v>5973</v>
      </c>
      <c r="M78">
        <v>3262</v>
      </c>
      <c r="O78">
        <v>14</v>
      </c>
      <c r="S78" t="s">
        <v>965</v>
      </c>
    </row>
    <row r="79" spans="1:20" x14ac:dyDescent="0.3">
      <c r="A79" t="s">
        <v>610</v>
      </c>
      <c r="B79" t="s">
        <v>5974</v>
      </c>
      <c r="C79" t="s">
        <v>5975</v>
      </c>
      <c r="D79" t="s">
        <v>5976</v>
      </c>
      <c r="E79" t="s">
        <v>16</v>
      </c>
      <c r="F79" t="s">
        <v>5977</v>
      </c>
      <c r="G79" s="2">
        <v>0.63124999999999998</v>
      </c>
      <c r="H79" t="s">
        <v>1200</v>
      </c>
      <c r="I79" t="s">
        <v>1464</v>
      </c>
      <c r="J79" t="s">
        <v>5978</v>
      </c>
      <c r="K79" s="2">
        <v>0.64236111111111105</v>
      </c>
      <c r="M79">
        <v>3258</v>
      </c>
      <c r="T79" t="s">
        <v>5979</v>
      </c>
    </row>
    <row r="80" spans="1:20" x14ac:dyDescent="0.3">
      <c r="A80" t="s">
        <v>610</v>
      </c>
      <c r="B80" t="s">
        <v>5980</v>
      </c>
      <c r="C80" t="s">
        <v>5981</v>
      </c>
      <c r="D80" t="s">
        <v>5982</v>
      </c>
      <c r="E80" t="s">
        <v>16</v>
      </c>
      <c r="F80" t="s">
        <v>5983</v>
      </c>
      <c r="G80" s="2">
        <v>0.62291666666666667</v>
      </c>
      <c r="H80" t="s">
        <v>1200</v>
      </c>
      <c r="I80" t="s">
        <v>1464</v>
      </c>
      <c r="K80" s="2">
        <v>0.62916666666666665</v>
      </c>
      <c r="L80" t="s">
        <v>5984</v>
      </c>
      <c r="M80">
        <v>3257</v>
      </c>
      <c r="S80" t="s">
        <v>965</v>
      </c>
    </row>
    <row r="81" spans="1:20" x14ac:dyDescent="0.3">
      <c r="A81" t="s">
        <v>610</v>
      </c>
      <c r="B81" t="s">
        <v>5985</v>
      </c>
      <c r="C81" t="s">
        <v>5986</v>
      </c>
      <c r="D81" t="s">
        <v>5987</v>
      </c>
      <c r="E81" t="s">
        <v>16</v>
      </c>
      <c r="F81" t="s">
        <v>5988</v>
      </c>
      <c r="G81" s="2">
        <v>0.59513888888888888</v>
      </c>
      <c r="H81" t="s">
        <v>1200</v>
      </c>
      <c r="I81" t="s">
        <v>1464</v>
      </c>
      <c r="K81" s="2">
        <v>0.60347222222222219</v>
      </c>
      <c r="L81" t="s">
        <v>5989</v>
      </c>
      <c r="M81">
        <v>3255</v>
      </c>
      <c r="S81" t="s">
        <v>965</v>
      </c>
    </row>
    <row r="82" spans="1:20" x14ac:dyDescent="0.3">
      <c r="A82" t="s">
        <v>615</v>
      </c>
      <c r="B82" t="s">
        <v>5990</v>
      </c>
      <c r="C82" t="s">
        <v>5991</v>
      </c>
      <c r="D82" t="s">
        <v>5992</v>
      </c>
      <c r="E82" t="s">
        <v>16</v>
      </c>
      <c r="F82" t="s">
        <v>5993</v>
      </c>
      <c r="G82" s="2">
        <v>0.44305555555555554</v>
      </c>
      <c r="H82" t="s">
        <v>1200</v>
      </c>
      <c r="I82" t="s">
        <v>1464</v>
      </c>
      <c r="K82" s="2">
        <v>0.4465277777777778</v>
      </c>
      <c r="L82" t="s">
        <v>5994</v>
      </c>
      <c r="M82">
        <v>3247</v>
      </c>
      <c r="S82" t="s">
        <v>965</v>
      </c>
    </row>
    <row r="83" spans="1:20" x14ac:dyDescent="0.3">
      <c r="A83" t="s">
        <v>615</v>
      </c>
      <c r="B83" t="s">
        <v>5995</v>
      </c>
      <c r="C83" t="s">
        <v>5996</v>
      </c>
      <c r="D83" t="s">
        <v>5997</v>
      </c>
      <c r="E83" t="s">
        <v>16</v>
      </c>
      <c r="F83" t="s">
        <v>5998</v>
      </c>
      <c r="G83" s="2">
        <v>0.3756944444444445</v>
      </c>
      <c r="H83" t="s">
        <v>1668</v>
      </c>
      <c r="I83" t="s">
        <v>1292</v>
      </c>
      <c r="K83" s="2">
        <v>0.3888888888888889</v>
      </c>
      <c r="L83" t="s">
        <v>5994</v>
      </c>
      <c r="M83">
        <v>3247</v>
      </c>
      <c r="S83" t="s">
        <v>965</v>
      </c>
    </row>
    <row r="84" spans="1:20" x14ac:dyDescent="0.3">
      <c r="A84" t="s">
        <v>615</v>
      </c>
      <c r="B84" t="s">
        <v>5999</v>
      </c>
      <c r="C84" t="s">
        <v>6000</v>
      </c>
      <c r="D84" t="s">
        <v>6001</v>
      </c>
      <c r="E84" t="s">
        <v>16</v>
      </c>
      <c r="F84" t="s">
        <v>6002</v>
      </c>
      <c r="G84" s="2">
        <v>0.33680555555555558</v>
      </c>
      <c r="H84" t="s">
        <v>1200</v>
      </c>
      <c r="I84" t="s">
        <v>1464</v>
      </c>
      <c r="K84" s="2">
        <v>0.36180555555555555</v>
      </c>
      <c r="L84" t="s">
        <v>6003</v>
      </c>
      <c r="M84">
        <v>3245</v>
      </c>
      <c r="O84">
        <v>15</v>
      </c>
      <c r="S84" t="s">
        <v>965</v>
      </c>
    </row>
    <row r="85" spans="1:20" x14ac:dyDescent="0.3">
      <c r="A85" t="s">
        <v>623</v>
      </c>
      <c r="B85" t="s">
        <v>6004</v>
      </c>
      <c r="C85" t="s">
        <v>6005</v>
      </c>
      <c r="D85" t="s">
        <v>6006</v>
      </c>
      <c r="E85" t="s">
        <v>16</v>
      </c>
      <c r="F85" t="s">
        <v>6007</v>
      </c>
      <c r="G85" s="2">
        <v>0.42777777777777781</v>
      </c>
      <c r="H85" t="s">
        <v>1200</v>
      </c>
      <c r="I85" t="s">
        <v>1501</v>
      </c>
      <c r="K85" s="2">
        <v>0.43888888888888888</v>
      </c>
      <c r="T85" t="s">
        <v>6008</v>
      </c>
    </row>
    <row r="86" spans="1:20" x14ac:dyDescent="0.3">
      <c r="A86" t="s">
        <v>623</v>
      </c>
      <c r="B86" t="s">
        <v>6009</v>
      </c>
      <c r="C86" t="s">
        <v>6010</v>
      </c>
      <c r="D86" t="s">
        <v>6011</v>
      </c>
      <c r="E86" t="s">
        <v>16</v>
      </c>
      <c r="F86" t="s">
        <v>6012</v>
      </c>
      <c r="G86" s="2">
        <v>0.29652777777777778</v>
      </c>
      <c r="H86" t="s">
        <v>1200</v>
      </c>
      <c r="I86" t="s">
        <v>1640</v>
      </c>
      <c r="K86" s="2">
        <v>0.37986111111111115</v>
      </c>
      <c r="M86">
        <v>3239</v>
      </c>
      <c r="S86" t="s">
        <v>5637</v>
      </c>
    </row>
    <row r="87" spans="1:20" x14ac:dyDescent="0.3">
      <c r="A87" t="s">
        <v>628</v>
      </c>
      <c r="B87" t="s">
        <v>6013</v>
      </c>
      <c r="C87" t="s">
        <v>6014</v>
      </c>
      <c r="D87" t="s">
        <v>6015</v>
      </c>
      <c r="E87" t="s">
        <v>16</v>
      </c>
      <c r="F87" t="s">
        <v>6016</v>
      </c>
      <c r="G87" s="2">
        <v>0.54791666666666672</v>
      </c>
      <c r="H87" t="s">
        <v>1200</v>
      </c>
      <c r="I87" t="s">
        <v>1640</v>
      </c>
      <c r="K87" s="2">
        <v>0.71736111111111101</v>
      </c>
      <c r="M87">
        <v>3236</v>
      </c>
      <c r="S87" t="s">
        <v>5637</v>
      </c>
    </row>
    <row r="88" spans="1:20" x14ac:dyDescent="0.3">
      <c r="A88" t="s">
        <v>628</v>
      </c>
      <c r="B88" t="s">
        <v>6017</v>
      </c>
      <c r="C88" t="s">
        <v>6018</v>
      </c>
      <c r="D88" t="s">
        <v>6019</v>
      </c>
      <c r="E88" t="s">
        <v>16</v>
      </c>
      <c r="F88" t="s">
        <v>6020</v>
      </c>
      <c r="G88" s="2">
        <v>0.52916666666666667</v>
      </c>
      <c r="H88" t="s">
        <v>1200</v>
      </c>
      <c r="I88" t="s">
        <v>1292</v>
      </c>
      <c r="K88" s="2">
        <v>0.5395833333333333</v>
      </c>
    </row>
    <row r="89" spans="1:20" x14ac:dyDescent="0.3">
      <c r="A89" t="s">
        <v>628</v>
      </c>
      <c r="B89" t="s">
        <v>6021</v>
      </c>
      <c r="C89" t="s">
        <v>6022</v>
      </c>
      <c r="D89" t="s">
        <v>6023</v>
      </c>
      <c r="E89" t="s">
        <v>16</v>
      </c>
      <c r="F89" t="s">
        <v>6024</v>
      </c>
      <c r="G89" s="2">
        <v>0.49236111111111108</v>
      </c>
      <c r="H89" t="s">
        <v>1200</v>
      </c>
      <c r="I89" t="s">
        <v>1292</v>
      </c>
      <c r="K89" s="2">
        <v>0.49861111111111112</v>
      </c>
    </row>
    <row r="90" spans="1:20" x14ac:dyDescent="0.3">
      <c r="A90" t="s">
        <v>628</v>
      </c>
      <c r="B90" t="s">
        <v>6025</v>
      </c>
      <c r="C90" t="s">
        <v>6026</v>
      </c>
      <c r="D90" t="s">
        <v>6027</v>
      </c>
      <c r="E90" t="s">
        <v>16</v>
      </c>
      <c r="F90" t="s">
        <v>6028</v>
      </c>
      <c r="G90" s="2">
        <v>0.4465277777777778</v>
      </c>
      <c r="H90" t="s">
        <v>1200</v>
      </c>
      <c r="I90" t="s">
        <v>1292</v>
      </c>
      <c r="K90" s="2">
        <v>0.46111111111111108</v>
      </c>
      <c r="L90" t="s">
        <v>6029</v>
      </c>
      <c r="M90">
        <v>3232</v>
      </c>
      <c r="N90">
        <v>9</v>
      </c>
      <c r="O90">
        <v>4</v>
      </c>
    </row>
    <row r="91" spans="1:20" x14ac:dyDescent="0.3">
      <c r="A91" t="s">
        <v>628</v>
      </c>
      <c r="B91" t="s">
        <v>6030</v>
      </c>
      <c r="C91" t="s">
        <v>6031</v>
      </c>
      <c r="D91" t="s">
        <v>6032</v>
      </c>
      <c r="E91" t="s">
        <v>16</v>
      </c>
      <c r="F91" t="s">
        <v>6033</v>
      </c>
      <c r="G91" s="2">
        <v>0.44027777777777777</v>
      </c>
      <c r="H91" t="s">
        <v>1200</v>
      </c>
      <c r="I91" t="s">
        <v>1640</v>
      </c>
      <c r="K91" s="2">
        <v>0.44444444444444442</v>
      </c>
      <c r="L91" t="s">
        <v>6034</v>
      </c>
      <c r="M91">
        <v>3231</v>
      </c>
      <c r="N91">
        <v>168</v>
      </c>
      <c r="O91">
        <v>10</v>
      </c>
      <c r="S91" t="s">
        <v>949</v>
      </c>
    </row>
    <row r="92" spans="1:20" x14ac:dyDescent="0.3">
      <c r="A92" t="s">
        <v>628</v>
      </c>
      <c r="B92" t="s">
        <v>6035</v>
      </c>
      <c r="C92" t="s">
        <v>6036</v>
      </c>
      <c r="D92" t="s">
        <v>6037</v>
      </c>
      <c r="E92" t="s">
        <v>16</v>
      </c>
      <c r="F92" t="s">
        <v>6038</v>
      </c>
      <c r="G92" s="2">
        <v>0.41250000000000003</v>
      </c>
      <c r="H92" t="s">
        <v>1200</v>
      </c>
      <c r="I92" t="s">
        <v>1309</v>
      </c>
      <c r="K92" s="2">
        <v>0.42569444444444443</v>
      </c>
      <c r="L92" t="s">
        <v>5705</v>
      </c>
      <c r="M92">
        <v>3229</v>
      </c>
      <c r="N92">
        <v>302</v>
      </c>
      <c r="O92">
        <v>17</v>
      </c>
      <c r="S92" t="s">
        <v>965</v>
      </c>
    </row>
    <row r="93" spans="1:20" x14ac:dyDescent="0.3">
      <c r="A93" t="s">
        <v>628</v>
      </c>
      <c r="B93" t="s">
        <v>6039</v>
      </c>
      <c r="C93" t="s">
        <v>6040</v>
      </c>
      <c r="D93" t="s">
        <v>6041</v>
      </c>
      <c r="E93" t="s">
        <v>16</v>
      </c>
      <c r="F93" t="s">
        <v>6042</v>
      </c>
      <c r="G93" s="2">
        <v>0.40208333333333335</v>
      </c>
      <c r="H93" t="s">
        <v>1200</v>
      </c>
      <c r="I93" t="s">
        <v>1292</v>
      </c>
      <c r="K93" s="2">
        <v>0.4055555555555555</v>
      </c>
      <c r="L93" t="s">
        <v>5617</v>
      </c>
      <c r="M93">
        <v>3228</v>
      </c>
      <c r="N93">
        <v>120</v>
      </c>
      <c r="O93">
        <v>12</v>
      </c>
    </row>
    <row r="94" spans="1:20" x14ac:dyDescent="0.3">
      <c r="A94" t="s">
        <v>638</v>
      </c>
      <c r="B94" t="s">
        <v>6043</v>
      </c>
      <c r="C94" t="s">
        <v>6044</v>
      </c>
      <c r="D94" t="s">
        <v>6045</v>
      </c>
      <c r="E94" t="s">
        <v>16</v>
      </c>
      <c r="F94" t="s">
        <v>6046</v>
      </c>
      <c r="G94" s="2">
        <v>0.67638888888888893</v>
      </c>
      <c r="H94" t="s">
        <v>1200</v>
      </c>
      <c r="I94" t="s">
        <v>1292</v>
      </c>
      <c r="K94" s="2">
        <v>0.68055555555555547</v>
      </c>
      <c r="M94">
        <v>3221</v>
      </c>
    </row>
    <row r="95" spans="1:20" x14ac:dyDescent="0.3">
      <c r="A95" t="s">
        <v>638</v>
      </c>
      <c r="B95" t="s">
        <v>6047</v>
      </c>
      <c r="C95" t="s">
        <v>6048</v>
      </c>
      <c r="D95" t="s">
        <v>6049</v>
      </c>
      <c r="E95" t="s">
        <v>16</v>
      </c>
      <c r="F95" t="s">
        <v>6050</v>
      </c>
      <c r="G95" s="2">
        <v>0.65833333333333333</v>
      </c>
      <c r="H95" t="s">
        <v>1200</v>
      </c>
      <c r="I95" t="s">
        <v>1292</v>
      </c>
      <c r="K95" s="2">
        <v>0.67013888888888884</v>
      </c>
      <c r="M95">
        <v>3220</v>
      </c>
    </row>
    <row r="96" spans="1:20" x14ac:dyDescent="0.3">
      <c r="A96" t="s">
        <v>638</v>
      </c>
      <c r="B96" t="s">
        <v>6051</v>
      </c>
      <c r="C96" t="s">
        <v>6052</v>
      </c>
      <c r="D96" t="s">
        <v>6053</v>
      </c>
      <c r="E96" t="s">
        <v>16</v>
      </c>
      <c r="F96" t="s">
        <v>6054</v>
      </c>
      <c r="G96" s="2">
        <v>0.60347222222222219</v>
      </c>
      <c r="H96" t="s">
        <v>1200</v>
      </c>
      <c r="I96" t="s">
        <v>1216</v>
      </c>
      <c r="K96" s="2">
        <v>0.62152777777777779</v>
      </c>
      <c r="L96" t="s">
        <v>6055</v>
      </c>
      <c r="M96">
        <v>3218</v>
      </c>
    </row>
    <row r="97" spans="1:19" x14ac:dyDescent="0.3">
      <c r="A97" t="s">
        <v>638</v>
      </c>
      <c r="B97" t="s">
        <v>6056</v>
      </c>
      <c r="C97" t="s">
        <v>6057</v>
      </c>
      <c r="D97" t="s">
        <v>6058</v>
      </c>
      <c r="E97" t="s">
        <v>16</v>
      </c>
      <c r="F97" t="s">
        <v>6059</v>
      </c>
      <c r="G97" s="2">
        <v>0.59583333333333333</v>
      </c>
      <c r="H97" t="s">
        <v>1200</v>
      </c>
      <c r="I97" t="s">
        <v>1292</v>
      </c>
      <c r="K97" s="2">
        <v>0.6020833333333333</v>
      </c>
      <c r="L97" t="s">
        <v>5994</v>
      </c>
      <c r="M97">
        <v>3217</v>
      </c>
      <c r="N97">
        <v>290</v>
      </c>
      <c r="O97">
        <v>11</v>
      </c>
    </row>
    <row r="98" spans="1:19" x14ac:dyDescent="0.3">
      <c r="A98" t="s">
        <v>638</v>
      </c>
      <c r="B98" t="s">
        <v>6060</v>
      </c>
      <c r="C98" t="s">
        <v>6061</v>
      </c>
      <c r="D98" t="s">
        <v>6062</v>
      </c>
      <c r="E98" t="s">
        <v>16</v>
      </c>
      <c r="F98" t="s">
        <v>6063</v>
      </c>
      <c r="G98" s="2">
        <v>0.56458333333333333</v>
      </c>
      <c r="H98" t="s">
        <v>1200</v>
      </c>
      <c r="I98" t="s">
        <v>1216</v>
      </c>
      <c r="K98" s="2">
        <v>0.57291666666666663</v>
      </c>
      <c r="L98" t="s">
        <v>6064</v>
      </c>
      <c r="M98">
        <v>3213</v>
      </c>
      <c r="N98">
        <v>101</v>
      </c>
      <c r="O98">
        <v>9</v>
      </c>
      <c r="S98" t="s">
        <v>6065</v>
      </c>
    </row>
    <row r="99" spans="1:19" x14ac:dyDescent="0.3">
      <c r="A99" t="s">
        <v>638</v>
      </c>
      <c r="B99" t="s">
        <v>6066</v>
      </c>
      <c r="C99" t="s">
        <v>6067</v>
      </c>
      <c r="D99" t="s">
        <v>6068</v>
      </c>
      <c r="E99" t="s">
        <v>16</v>
      </c>
      <c r="F99" t="s">
        <v>6069</v>
      </c>
      <c r="G99" s="2">
        <v>0.53333333333333333</v>
      </c>
      <c r="H99" t="s">
        <v>1200</v>
      </c>
      <c r="I99" t="s">
        <v>1292</v>
      </c>
      <c r="K99" s="2">
        <v>0.54513888888888895</v>
      </c>
      <c r="M99">
        <v>3211</v>
      </c>
      <c r="S99" t="s">
        <v>949</v>
      </c>
    </row>
    <row r="100" spans="1:19" x14ac:dyDescent="0.3">
      <c r="A100" t="s">
        <v>642</v>
      </c>
      <c r="B100" t="s">
        <v>6070</v>
      </c>
      <c r="C100" t="s">
        <v>6071</v>
      </c>
      <c r="D100" t="s">
        <v>6072</v>
      </c>
      <c r="E100" t="s">
        <v>16</v>
      </c>
      <c r="F100" t="s">
        <v>6073</v>
      </c>
      <c r="G100" s="2">
        <v>0.70833333333333337</v>
      </c>
      <c r="H100" t="s">
        <v>1200</v>
      </c>
      <c r="I100" t="s">
        <v>1501</v>
      </c>
      <c r="K100" s="2">
        <v>0.72499999999999998</v>
      </c>
      <c r="L100" t="s">
        <v>6074</v>
      </c>
      <c r="M100">
        <v>3208</v>
      </c>
      <c r="S100" t="s">
        <v>6075</v>
      </c>
    </row>
    <row r="101" spans="1:19" x14ac:dyDescent="0.3">
      <c r="A101" t="s">
        <v>642</v>
      </c>
      <c r="B101" t="s">
        <v>6076</v>
      </c>
      <c r="C101" t="s">
        <v>6077</v>
      </c>
      <c r="D101" t="s">
        <v>6078</v>
      </c>
      <c r="E101" t="s">
        <v>16</v>
      </c>
      <c r="F101" t="s">
        <v>6079</v>
      </c>
      <c r="G101" s="2">
        <v>0.68055555555555547</v>
      </c>
      <c r="H101" t="s">
        <v>1200</v>
      </c>
      <c r="I101" t="s">
        <v>1640</v>
      </c>
      <c r="K101" s="2">
        <v>0.7006944444444444</v>
      </c>
      <c r="S101" t="s">
        <v>949</v>
      </c>
    </row>
    <row r="102" spans="1:19" x14ac:dyDescent="0.3">
      <c r="A102" t="s">
        <v>647</v>
      </c>
      <c r="B102" t="s">
        <v>6080</v>
      </c>
      <c r="C102" t="s">
        <v>6081</v>
      </c>
      <c r="D102" t="s">
        <v>6082</v>
      </c>
      <c r="E102" t="s">
        <v>16</v>
      </c>
      <c r="F102" t="s">
        <v>6083</v>
      </c>
      <c r="G102" s="2">
        <v>0.58333333333333337</v>
      </c>
      <c r="H102" t="s">
        <v>1200</v>
      </c>
      <c r="I102" t="s">
        <v>1640</v>
      </c>
      <c r="K102" s="2">
        <v>0.61458333333333337</v>
      </c>
      <c r="M102">
        <v>3207</v>
      </c>
      <c r="S102" t="s">
        <v>949</v>
      </c>
    </row>
    <row r="103" spans="1:19" x14ac:dyDescent="0.3">
      <c r="A103" t="s">
        <v>647</v>
      </c>
      <c r="B103" t="s">
        <v>6084</v>
      </c>
      <c r="C103" t="s">
        <v>6085</v>
      </c>
      <c r="D103" t="s">
        <v>6086</v>
      </c>
      <c r="E103" t="s">
        <v>16</v>
      </c>
      <c r="F103" t="s">
        <v>6087</v>
      </c>
      <c r="G103" s="2">
        <v>0.53541666666666665</v>
      </c>
      <c r="H103" t="s">
        <v>1200</v>
      </c>
      <c r="I103" t="s">
        <v>1292</v>
      </c>
      <c r="K103" s="2">
        <v>0.53749999999999998</v>
      </c>
      <c r="L103" t="s">
        <v>6088</v>
      </c>
      <c r="S103" t="s">
        <v>965</v>
      </c>
    </row>
    <row r="104" spans="1:19" x14ac:dyDescent="0.3">
      <c r="A104" t="s">
        <v>647</v>
      </c>
      <c r="B104" t="s">
        <v>6089</v>
      </c>
      <c r="C104" t="s">
        <v>6090</v>
      </c>
      <c r="D104" t="s">
        <v>6091</v>
      </c>
      <c r="E104" t="s">
        <v>16</v>
      </c>
      <c r="F104" t="s">
        <v>6092</v>
      </c>
      <c r="G104" s="2">
        <v>0.52986111111111112</v>
      </c>
      <c r="H104" t="s">
        <v>1200</v>
      </c>
      <c r="I104" t="s">
        <v>1216</v>
      </c>
      <c r="K104" s="2">
        <v>0.53263888888888888</v>
      </c>
      <c r="L104" t="s">
        <v>6093</v>
      </c>
      <c r="M104">
        <v>3202</v>
      </c>
      <c r="N104">
        <v>160</v>
      </c>
      <c r="O104">
        <v>15</v>
      </c>
      <c r="S104" t="s">
        <v>965</v>
      </c>
    </row>
    <row r="105" spans="1:19" x14ac:dyDescent="0.3">
      <c r="A105" t="s">
        <v>651</v>
      </c>
      <c r="B105" t="s">
        <v>6094</v>
      </c>
      <c r="C105" t="s">
        <v>6095</v>
      </c>
      <c r="D105" t="s">
        <v>6096</v>
      </c>
      <c r="E105" t="s">
        <v>16</v>
      </c>
      <c r="F105" t="s">
        <v>6097</v>
      </c>
      <c r="G105" s="2">
        <v>0.67708333333333337</v>
      </c>
      <c r="H105" t="s">
        <v>1200</v>
      </c>
      <c r="I105" t="s">
        <v>1292</v>
      </c>
      <c r="K105" s="2">
        <v>0.73958333333333337</v>
      </c>
      <c r="M105">
        <v>3200</v>
      </c>
    </row>
    <row r="106" spans="1:19" x14ac:dyDescent="0.3">
      <c r="A106" t="s">
        <v>651</v>
      </c>
      <c r="B106" s="3" t="s">
        <v>6098</v>
      </c>
      <c r="C106" t="s">
        <v>6099</v>
      </c>
      <c r="D106" t="s">
        <v>6100</v>
      </c>
      <c r="E106" t="s">
        <v>16</v>
      </c>
      <c r="F106" t="s">
        <v>6101</v>
      </c>
      <c r="G106" s="2">
        <v>0.64861111111111114</v>
      </c>
      <c r="H106" t="s">
        <v>1200</v>
      </c>
      <c r="I106" t="s">
        <v>1292</v>
      </c>
      <c r="K106" s="2">
        <v>0.66388888888888886</v>
      </c>
    </row>
    <row r="107" spans="1:19" x14ac:dyDescent="0.3">
      <c r="A107" t="s">
        <v>651</v>
      </c>
      <c r="B107" t="s">
        <v>6102</v>
      </c>
      <c r="C107" t="s">
        <v>6103</v>
      </c>
      <c r="D107" t="s">
        <v>6104</v>
      </c>
      <c r="E107" t="s">
        <v>16</v>
      </c>
      <c r="F107" t="s">
        <v>6105</v>
      </c>
      <c r="G107" s="2">
        <v>0.55694444444444446</v>
      </c>
      <c r="H107" t="s">
        <v>1200</v>
      </c>
      <c r="I107" t="s">
        <v>1640</v>
      </c>
      <c r="K107" s="2">
        <v>0.57291666666666663</v>
      </c>
      <c r="M107">
        <v>3199</v>
      </c>
      <c r="O107">
        <v>10</v>
      </c>
      <c r="S107" t="s">
        <v>949</v>
      </c>
    </row>
    <row r="108" spans="1:19" x14ac:dyDescent="0.3">
      <c r="A108" t="s">
        <v>651</v>
      </c>
      <c r="B108" t="s">
        <v>6106</v>
      </c>
      <c r="C108" t="s">
        <v>6107</v>
      </c>
      <c r="D108" t="s">
        <v>6108</v>
      </c>
      <c r="E108" t="s">
        <v>16</v>
      </c>
      <c r="F108" t="s">
        <v>6109</v>
      </c>
      <c r="G108" s="2">
        <v>0.42430555555555555</v>
      </c>
      <c r="H108" t="s">
        <v>1200</v>
      </c>
      <c r="I108" t="s">
        <v>1292</v>
      </c>
      <c r="K108" s="2">
        <v>0.4284722222222222</v>
      </c>
      <c r="L108" t="s">
        <v>5943</v>
      </c>
      <c r="M108">
        <v>3193</v>
      </c>
      <c r="S108" t="s">
        <v>965</v>
      </c>
    </row>
    <row r="109" spans="1:19" x14ac:dyDescent="0.3">
      <c r="A109" t="s">
        <v>656</v>
      </c>
      <c r="B109" t="s">
        <v>6110</v>
      </c>
      <c r="C109" t="s">
        <v>6111</v>
      </c>
      <c r="D109" t="s">
        <v>6112</v>
      </c>
      <c r="E109" t="s">
        <v>16</v>
      </c>
      <c r="F109" t="s">
        <v>6113</v>
      </c>
      <c r="G109" s="2">
        <v>0.38541666666666669</v>
      </c>
      <c r="H109" t="s">
        <v>1200</v>
      </c>
      <c r="I109" t="s">
        <v>1292</v>
      </c>
      <c r="K109" s="2">
        <v>0.39374999999999999</v>
      </c>
      <c r="L109" t="s">
        <v>6114</v>
      </c>
      <c r="M109">
        <v>3190</v>
      </c>
      <c r="N109">
        <v>36</v>
      </c>
      <c r="O109">
        <v>6</v>
      </c>
    </row>
    <row r="110" spans="1:19" x14ac:dyDescent="0.3">
      <c r="A110" t="s">
        <v>660</v>
      </c>
      <c r="B110" t="s">
        <v>6115</v>
      </c>
      <c r="C110" t="s">
        <v>6116</v>
      </c>
      <c r="D110" t="s">
        <v>6117</v>
      </c>
      <c r="E110" t="s">
        <v>16</v>
      </c>
      <c r="F110" t="s">
        <v>6118</v>
      </c>
      <c r="G110" s="2">
        <v>0.66249999999999998</v>
      </c>
      <c r="H110" t="s">
        <v>1200</v>
      </c>
      <c r="I110" t="s">
        <v>1640</v>
      </c>
      <c r="K110" s="2">
        <v>0.70833333333333337</v>
      </c>
      <c r="S110" t="s">
        <v>5637</v>
      </c>
    </row>
    <row r="111" spans="1:19" x14ac:dyDescent="0.3">
      <c r="A111" t="s">
        <v>660</v>
      </c>
      <c r="B111" t="s">
        <v>6119</v>
      </c>
      <c r="C111" t="s">
        <v>6120</v>
      </c>
      <c r="D111" t="s">
        <v>6121</v>
      </c>
      <c r="E111" t="s">
        <v>16</v>
      </c>
      <c r="F111" t="s">
        <v>6122</v>
      </c>
      <c r="G111" s="2">
        <v>0.40486111111111112</v>
      </c>
      <c r="H111" t="s">
        <v>1200</v>
      </c>
      <c r="I111" t="s">
        <v>1292</v>
      </c>
      <c r="K111" s="2">
        <v>0.46736111111111112</v>
      </c>
      <c r="S111" t="s">
        <v>5637</v>
      </c>
    </row>
    <row r="112" spans="1:19" x14ac:dyDescent="0.3">
      <c r="A112" t="s">
        <v>665</v>
      </c>
      <c r="B112" t="s">
        <v>6123</v>
      </c>
      <c r="C112" t="s">
        <v>6124</v>
      </c>
      <c r="D112" t="s">
        <v>6125</v>
      </c>
      <c r="E112" t="s">
        <v>16</v>
      </c>
      <c r="F112" t="s">
        <v>6126</v>
      </c>
      <c r="G112" s="2">
        <v>0.38194444444444442</v>
      </c>
      <c r="H112" t="s">
        <v>1200</v>
      </c>
      <c r="I112" t="s">
        <v>1216</v>
      </c>
      <c r="K112" s="2">
        <v>0.3979166666666667</v>
      </c>
      <c r="S112" t="s">
        <v>965</v>
      </c>
    </row>
    <row r="113" spans="1:20" x14ac:dyDescent="0.3">
      <c r="A113" t="s">
        <v>673</v>
      </c>
      <c r="B113" t="s">
        <v>6127</v>
      </c>
      <c r="C113" t="s">
        <v>6128</v>
      </c>
      <c r="D113" t="s">
        <v>6129</v>
      </c>
      <c r="E113" t="s">
        <v>16</v>
      </c>
      <c r="F113" t="s">
        <v>6130</v>
      </c>
      <c r="G113" s="2">
        <v>0.6069444444444444</v>
      </c>
      <c r="H113" t="s">
        <v>1200</v>
      </c>
      <c r="I113" t="s">
        <v>1292</v>
      </c>
      <c r="K113" s="2">
        <v>0.65625</v>
      </c>
      <c r="S113" t="s">
        <v>5637</v>
      </c>
    </row>
    <row r="114" spans="1:20" x14ac:dyDescent="0.3">
      <c r="A114" t="s">
        <v>673</v>
      </c>
      <c r="B114" t="s">
        <v>6131</v>
      </c>
      <c r="C114" t="s">
        <v>6132</v>
      </c>
      <c r="D114" t="s">
        <v>6133</v>
      </c>
      <c r="E114" t="s">
        <v>16</v>
      </c>
      <c r="F114" t="s">
        <v>6134</v>
      </c>
      <c r="G114" s="2">
        <v>0.6020833333333333</v>
      </c>
      <c r="H114" t="s">
        <v>1200</v>
      </c>
      <c r="I114" t="s">
        <v>1640</v>
      </c>
      <c r="K114" s="2">
        <v>0.60555555555555551</v>
      </c>
      <c r="S114" t="s">
        <v>5637</v>
      </c>
    </row>
    <row r="115" spans="1:20" x14ac:dyDescent="0.3">
      <c r="A115" t="s">
        <v>673</v>
      </c>
      <c r="B115" t="s">
        <v>6135</v>
      </c>
      <c r="C115" t="s">
        <v>6136</v>
      </c>
      <c r="D115" t="s">
        <v>6137</v>
      </c>
      <c r="E115" t="s">
        <v>16</v>
      </c>
      <c r="F115" t="s">
        <v>6138</v>
      </c>
      <c r="G115" s="2">
        <v>0.52708333333333335</v>
      </c>
      <c r="H115" t="s">
        <v>1200</v>
      </c>
      <c r="I115" t="s">
        <v>1464</v>
      </c>
      <c r="K115" s="2">
        <v>0.54375000000000007</v>
      </c>
      <c r="M115">
        <v>3180</v>
      </c>
      <c r="S115" t="s">
        <v>965</v>
      </c>
      <c r="T115" t="s">
        <v>6139</v>
      </c>
    </row>
    <row r="116" spans="1:20" x14ac:dyDescent="0.3">
      <c r="A116" t="s">
        <v>677</v>
      </c>
      <c r="B116" t="s">
        <v>6140</v>
      </c>
      <c r="C116" t="s">
        <v>6141</v>
      </c>
      <c r="D116" t="s">
        <v>6142</v>
      </c>
      <c r="E116" t="s">
        <v>16</v>
      </c>
      <c r="F116" t="s">
        <v>6143</v>
      </c>
      <c r="G116" s="2">
        <v>0.64583333333333337</v>
      </c>
      <c r="H116" t="s">
        <v>1200</v>
      </c>
      <c r="I116" t="s">
        <v>1292</v>
      </c>
      <c r="K116" s="2">
        <v>0.6694444444444444</v>
      </c>
      <c r="L116" t="s">
        <v>6144</v>
      </c>
      <c r="M116">
        <v>3177</v>
      </c>
    </row>
    <row r="117" spans="1:20" x14ac:dyDescent="0.3">
      <c r="A117" t="s">
        <v>677</v>
      </c>
      <c r="B117" t="s">
        <v>6145</v>
      </c>
      <c r="C117" t="s">
        <v>6146</v>
      </c>
      <c r="D117" t="s">
        <v>6147</v>
      </c>
      <c r="E117" t="s">
        <v>16</v>
      </c>
      <c r="F117" t="s">
        <v>6148</v>
      </c>
      <c r="G117" s="2">
        <v>0.52500000000000002</v>
      </c>
      <c r="H117" t="s">
        <v>1200</v>
      </c>
      <c r="I117" t="s">
        <v>1292</v>
      </c>
      <c r="K117" s="2">
        <v>0.53333333333333333</v>
      </c>
      <c r="L117" t="s">
        <v>6149</v>
      </c>
      <c r="M117">
        <v>3176</v>
      </c>
      <c r="N117">
        <v>156</v>
      </c>
      <c r="O117">
        <v>9</v>
      </c>
      <c r="S117" t="s">
        <v>949</v>
      </c>
    </row>
    <row r="118" spans="1:20" x14ac:dyDescent="0.3">
      <c r="A118" t="s">
        <v>677</v>
      </c>
      <c r="B118" t="s">
        <v>6150</v>
      </c>
      <c r="C118" t="s">
        <v>6151</v>
      </c>
      <c r="D118" t="s">
        <v>6152</v>
      </c>
      <c r="E118" t="s">
        <v>16</v>
      </c>
      <c r="F118" t="s">
        <v>6153</v>
      </c>
      <c r="G118" s="2">
        <v>0.52152777777777781</v>
      </c>
      <c r="H118" t="s">
        <v>1200</v>
      </c>
      <c r="I118" t="s">
        <v>1292</v>
      </c>
      <c r="K118" s="2">
        <v>0.52361111111111114</v>
      </c>
      <c r="L118" t="s">
        <v>6154</v>
      </c>
      <c r="M118">
        <v>3175</v>
      </c>
      <c r="N118">
        <v>286</v>
      </c>
      <c r="O118">
        <v>10</v>
      </c>
      <c r="S118" t="s">
        <v>965</v>
      </c>
    </row>
    <row r="119" spans="1:20" x14ac:dyDescent="0.3">
      <c r="A119" t="s">
        <v>677</v>
      </c>
      <c r="B119" t="s">
        <v>6155</v>
      </c>
      <c r="C119" t="s">
        <v>6156</v>
      </c>
      <c r="D119" t="s">
        <v>6157</v>
      </c>
      <c r="E119" t="s">
        <v>16</v>
      </c>
      <c r="F119" t="s">
        <v>6158</v>
      </c>
      <c r="G119" s="2">
        <v>0.44861111111111113</v>
      </c>
      <c r="H119" t="s">
        <v>1668</v>
      </c>
      <c r="I119" t="s">
        <v>1216</v>
      </c>
      <c r="K119" s="2">
        <v>0.4513888888888889</v>
      </c>
      <c r="L119" t="s">
        <v>6159</v>
      </c>
      <c r="M119">
        <v>3174</v>
      </c>
      <c r="N119">
        <v>176</v>
      </c>
      <c r="O119">
        <v>13</v>
      </c>
      <c r="S119" t="s">
        <v>965</v>
      </c>
    </row>
    <row r="120" spans="1:20" x14ac:dyDescent="0.3">
      <c r="A120" t="s">
        <v>677</v>
      </c>
      <c r="B120" t="s">
        <v>6160</v>
      </c>
      <c r="C120" t="s">
        <v>6161</v>
      </c>
      <c r="D120" t="s">
        <v>6162</v>
      </c>
      <c r="E120" t="s">
        <v>16</v>
      </c>
      <c r="F120" t="s">
        <v>6163</v>
      </c>
      <c r="G120" s="2">
        <v>0.3888888888888889</v>
      </c>
      <c r="H120" t="s">
        <v>1200</v>
      </c>
      <c r="I120" t="s">
        <v>1464</v>
      </c>
      <c r="K120" s="2">
        <v>0.39513888888888887</v>
      </c>
      <c r="L120" t="s">
        <v>6164</v>
      </c>
      <c r="M120">
        <v>3173</v>
      </c>
      <c r="N120">
        <v>183</v>
      </c>
      <c r="O120">
        <v>14</v>
      </c>
      <c r="S120" t="s">
        <v>965</v>
      </c>
    </row>
    <row r="121" spans="1:20" x14ac:dyDescent="0.3">
      <c r="A121" t="s">
        <v>677</v>
      </c>
      <c r="B121" t="s">
        <v>6165</v>
      </c>
      <c r="C121" t="s">
        <v>6166</v>
      </c>
      <c r="D121" t="s">
        <v>6167</v>
      </c>
      <c r="E121" t="s">
        <v>16</v>
      </c>
      <c r="F121" t="s">
        <v>6168</v>
      </c>
      <c r="G121" s="2">
        <v>0.37013888888888885</v>
      </c>
      <c r="H121" t="s">
        <v>1200</v>
      </c>
      <c r="I121" t="s">
        <v>1464</v>
      </c>
      <c r="K121" s="2">
        <v>0.3756944444444445</v>
      </c>
      <c r="L121" t="s">
        <v>6164</v>
      </c>
      <c r="M121">
        <v>3173</v>
      </c>
      <c r="N121">
        <v>183</v>
      </c>
      <c r="O121">
        <v>14</v>
      </c>
      <c r="S121" t="s">
        <v>965</v>
      </c>
    </row>
    <row r="122" spans="1:20" x14ac:dyDescent="0.3">
      <c r="A122" t="s">
        <v>677</v>
      </c>
      <c r="B122" t="s">
        <v>6169</v>
      </c>
      <c r="C122" t="s">
        <v>6170</v>
      </c>
      <c r="D122" t="s">
        <v>6171</v>
      </c>
      <c r="E122" t="s">
        <v>16</v>
      </c>
      <c r="F122" t="s">
        <v>6172</v>
      </c>
      <c r="G122" s="2">
        <v>0.36527777777777781</v>
      </c>
      <c r="H122" t="s">
        <v>1200</v>
      </c>
      <c r="I122" t="s">
        <v>1464</v>
      </c>
      <c r="K122" s="2">
        <v>0.36805555555555558</v>
      </c>
      <c r="L122" t="s">
        <v>6173</v>
      </c>
      <c r="M122">
        <v>3172</v>
      </c>
      <c r="N122">
        <v>183</v>
      </c>
      <c r="O122">
        <v>16</v>
      </c>
      <c r="S122" t="s">
        <v>965</v>
      </c>
    </row>
    <row r="123" spans="1:20" x14ac:dyDescent="0.3">
      <c r="A123" t="s">
        <v>677</v>
      </c>
      <c r="B123" t="s">
        <v>6174</v>
      </c>
      <c r="C123" t="s">
        <v>6175</v>
      </c>
      <c r="D123" t="s">
        <v>6176</v>
      </c>
      <c r="E123" t="s">
        <v>16</v>
      </c>
      <c r="F123" t="s">
        <v>6177</v>
      </c>
      <c r="G123" s="2">
        <v>0.35694444444444445</v>
      </c>
      <c r="H123" t="s">
        <v>1668</v>
      </c>
      <c r="I123" t="s">
        <v>1464</v>
      </c>
      <c r="K123" s="2">
        <v>0.3611111111111111</v>
      </c>
      <c r="L123" t="s">
        <v>6074</v>
      </c>
      <c r="M123">
        <v>3171</v>
      </c>
      <c r="N123">
        <v>123</v>
      </c>
      <c r="O123">
        <v>15</v>
      </c>
      <c r="S123" t="s">
        <v>965</v>
      </c>
    </row>
    <row r="124" spans="1:20" x14ac:dyDescent="0.3">
      <c r="A124" t="s">
        <v>683</v>
      </c>
      <c r="B124" t="s">
        <v>6178</v>
      </c>
      <c r="C124" t="s">
        <v>6179</v>
      </c>
      <c r="D124" t="s">
        <v>6180</v>
      </c>
      <c r="E124" t="s">
        <v>16</v>
      </c>
      <c r="F124" t="s">
        <v>6181</v>
      </c>
      <c r="G124" s="2">
        <v>0.59236111111111112</v>
      </c>
      <c r="H124" t="s">
        <v>1200</v>
      </c>
      <c r="I124" t="s">
        <v>1292</v>
      </c>
      <c r="K124" s="2">
        <v>0.59791666666666665</v>
      </c>
      <c r="L124" t="s">
        <v>6182</v>
      </c>
      <c r="M124">
        <v>3169</v>
      </c>
      <c r="O124">
        <v>17</v>
      </c>
      <c r="S124" t="s">
        <v>965</v>
      </c>
    </row>
    <row r="125" spans="1:20" x14ac:dyDescent="0.3">
      <c r="A125" t="s">
        <v>687</v>
      </c>
      <c r="B125" t="s">
        <v>6183</v>
      </c>
      <c r="C125" t="s">
        <v>6184</v>
      </c>
      <c r="D125" t="s">
        <v>6185</v>
      </c>
      <c r="E125" t="s">
        <v>16</v>
      </c>
      <c r="F125" t="s">
        <v>6186</v>
      </c>
      <c r="G125" s="2">
        <v>0.7284722222222223</v>
      </c>
      <c r="H125" t="s">
        <v>1200</v>
      </c>
      <c r="I125" t="s">
        <v>1216</v>
      </c>
      <c r="K125" s="2">
        <v>0.73472222222222217</v>
      </c>
    </row>
    <row r="126" spans="1:20" x14ac:dyDescent="0.3">
      <c r="A126" t="s">
        <v>687</v>
      </c>
      <c r="B126" t="s">
        <v>6187</v>
      </c>
      <c r="C126" t="s">
        <v>6188</v>
      </c>
      <c r="D126" t="s">
        <v>6189</v>
      </c>
      <c r="E126" t="s">
        <v>16</v>
      </c>
      <c r="F126" t="s">
        <v>6190</v>
      </c>
      <c r="G126" s="2">
        <v>0.7104166666666667</v>
      </c>
      <c r="H126" t="s">
        <v>1200</v>
      </c>
      <c r="I126" t="s">
        <v>1292</v>
      </c>
      <c r="K126" s="2">
        <v>0.71736111111111101</v>
      </c>
      <c r="S126" t="s">
        <v>949</v>
      </c>
    </row>
    <row r="127" spans="1:20" x14ac:dyDescent="0.3">
      <c r="A127" t="s">
        <v>691</v>
      </c>
      <c r="B127" t="s">
        <v>6191</v>
      </c>
      <c r="C127" t="s">
        <v>6192</v>
      </c>
      <c r="D127" t="s">
        <v>6193</v>
      </c>
      <c r="E127" t="s">
        <v>16</v>
      </c>
      <c r="F127" t="s">
        <v>6194</v>
      </c>
      <c r="G127" s="2">
        <v>0.59375</v>
      </c>
      <c r="H127" t="s">
        <v>1668</v>
      </c>
      <c r="I127" t="s">
        <v>1501</v>
      </c>
      <c r="K127" s="2">
        <v>0.61458333333333337</v>
      </c>
      <c r="R127" t="s">
        <v>6195</v>
      </c>
    </row>
    <row r="128" spans="1:20" x14ac:dyDescent="0.3">
      <c r="A128" t="s">
        <v>691</v>
      </c>
      <c r="B128" t="s">
        <v>6196</v>
      </c>
      <c r="C128" t="s">
        <v>6197</v>
      </c>
      <c r="D128" t="s">
        <v>6198</v>
      </c>
      <c r="E128" t="s">
        <v>16</v>
      </c>
      <c r="F128" t="s">
        <v>6199</v>
      </c>
      <c r="G128" s="2">
        <v>0.57986111111111105</v>
      </c>
      <c r="H128" t="s">
        <v>1200</v>
      </c>
      <c r="I128" t="s">
        <v>1292</v>
      </c>
      <c r="K128" s="2">
        <v>0.58750000000000002</v>
      </c>
    </row>
    <row r="129" spans="1:20" x14ac:dyDescent="0.3">
      <c r="A129" t="s">
        <v>695</v>
      </c>
      <c r="B129" t="s">
        <v>6200</v>
      </c>
      <c r="C129" t="s">
        <v>6201</v>
      </c>
      <c r="D129" t="s">
        <v>6202</v>
      </c>
      <c r="E129" t="s">
        <v>16</v>
      </c>
      <c r="F129" t="s">
        <v>6203</v>
      </c>
      <c r="G129" s="2">
        <v>0.41666666666666669</v>
      </c>
      <c r="H129" t="s">
        <v>1200</v>
      </c>
      <c r="I129" t="s">
        <v>1292</v>
      </c>
      <c r="K129" s="2">
        <v>0.42708333333333331</v>
      </c>
      <c r="L129" t="s">
        <v>6204</v>
      </c>
      <c r="M129">
        <v>3167</v>
      </c>
      <c r="N129">
        <v>36</v>
      </c>
      <c r="O129">
        <v>5</v>
      </c>
    </row>
    <row r="130" spans="1:20" x14ac:dyDescent="0.3">
      <c r="A130" t="s">
        <v>695</v>
      </c>
      <c r="B130" t="s">
        <v>6205</v>
      </c>
      <c r="C130" t="s">
        <v>6206</v>
      </c>
      <c r="D130" t="s">
        <v>6207</v>
      </c>
      <c r="E130" t="s">
        <v>16</v>
      </c>
      <c r="F130" t="s">
        <v>6208</v>
      </c>
      <c r="G130" s="2">
        <v>0.40347222222222223</v>
      </c>
      <c r="H130" t="s">
        <v>1200</v>
      </c>
      <c r="I130" t="s">
        <v>1464</v>
      </c>
      <c r="K130" s="2">
        <v>0.4069444444444445</v>
      </c>
      <c r="L130" t="s">
        <v>6209</v>
      </c>
      <c r="M130">
        <v>3166</v>
      </c>
      <c r="N130">
        <v>398</v>
      </c>
      <c r="O130">
        <v>16</v>
      </c>
      <c r="S130" t="s">
        <v>965</v>
      </c>
    </row>
    <row r="131" spans="1:20" x14ac:dyDescent="0.3">
      <c r="A131" t="s">
        <v>695</v>
      </c>
      <c r="B131" t="s">
        <v>6210</v>
      </c>
      <c r="C131" t="s">
        <v>6211</v>
      </c>
      <c r="D131" t="s">
        <v>6212</v>
      </c>
      <c r="E131" t="s">
        <v>16</v>
      </c>
      <c r="F131" t="s">
        <v>6213</v>
      </c>
      <c r="G131" s="2">
        <v>0.38263888888888892</v>
      </c>
      <c r="H131" t="s">
        <v>1200</v>
      </c>
      <c r="I131" t="s">
        <v>1464</v>
      </c>
      <c r="K131" s="2">
        <v>0.38750000000000001</v>
      </c>
      <c r="L131" t="s">
        <v>6214</v>
      </c>
      <c r="M131">
        <v>3165</v>
      </c>
      <c r="N131">
        <v>162</v>
      </c>
      <c r="S131" t="s">
        <v>965</v>
      </c>
    </row>
    <row r="132" spans="1:20" x14ac:dyDescent="0.3">
      <c r="A132" t="s">
        <v>695</v>
      </c>
      <c r="B132" t="s">
        <v>6215</v>
      </c>
      <c r="C132" t="s">
        <v>6216</v>
      </c>
      <c r="D132" t="s">
        <v>6217</v>
      </c>
      <c r="E132" t="s">
        <v>16</v>
      </c>
      <c r="F132" t="s">
        <v>6218</v>
      </c>
      <c r="G132" s="2">
        <v>0.37013888888888885</v>
      </c>
      <c r="H132" t="s">
        <v>1200</v>
      </c>
      <c r="I132" t="s">
        <v>1464</v>
      </c>
      <c r="K132" s="2">
        <v>0.3743055555555555</v>
      </c>
      <c r="S132" t="s">
        <v>965</v>
      </c>
    </row>
    <row r="133" spans="1:20" x14ac:dyDescent="0.3">
      <c r="A133" t="s">
        <v>695</v>
      </c>
      <c r="B133" t="s">
        <v>6219</v>
      </c>
      <c r="C133" t="s">
        <v>6220</v>
      </c>
      <c r="D133" t="s">
        <v>6221</v>
      </c>
      <c r="E133" t="s">
        <v>16</v>
      </c>
      <c r="F133" t="s">
        <v>6222</v>
      </c>
      <c r="G133" s="2">
        <v>0.31041666666666667</v>
      </c>
      <c r="I133" t="s">
        <v>1216</v>
      </c>
      <c r="K133" s="2">
        <v>0.31666666666666665</v>
      </c>
      <c r="M133" t="s">
        <v>6223</v>
      </c>
      <c r="O133">
        <v>16</v>
      </c>
      <c r="S133" t="s">
        <v>965</v>
      </c>
    </row>
    <row r="134" spans="1:20" x14ac:dyDescent="0.3">
      <c r="A134" t="s">
        <v>699</v>
      </c>
      <c r="B134" t="s">
        <v>6224</v>
      </c>
      <c r="C134" t="s">
        <v>6225</v>
      </c>
      <c r="D134" t="s">
        <v>6226</v>
      </c>
      <c r="E134" t="s">
        <v>16</v>
      </c>
      <c r="F134" t="s">
        <v>6227</v>
      </c>
      <c r="G134" s="2">
        <v>0.69861111111111107</v>
      </c>
      <c r="H134" t="s">
        <v>1200</v>
      </c>
      <c r="I134" t="s">
        <v>1292</v>
      </c>
      <c r="K134" s="2">
        <v>0.71111111111111114</v>
      </c>
    </row>
    <row r="135" spans="1:20" x14ac:dyDescent="0.3">
      <c r="A135" t="s">
        <v>699</v>
      </c>
      <c r="B135" t="s">
        <v>6228</v>
      </c>
      <c r="C135" t="s">
        <v>6229</v>
      </c>
      <c r="D135" t="s">
        <v>6230</v>
      </c>
      <c r="E135" t="s">
        <v>16</v>
      </c>
      <c r="F135" t="s">
        <v>6231</v>
      </c>
      <c r="G135" s="2">
        <v>0.68888888888888899</v>
      </c>
      <c r="H135" t="s">
        <v>1200</v>
      </c>
      <c r="I135" t="s">
        <v>1501</v>
      </c>
      <c r="K135" s="2">
        <v>0.69513888888888886</v>
      </c>
    </row>
    <row r="136" spans="1:20" x14ac:dyDescent="0.3">
      <c r="A136" t="s">
        <v>699</v>
      </c>
      <c r="B136" t="s">
        <v>6232</v>
      </c>
      <c r="C136" t="s">
        <v>6233</v>
      </c>
      <c r="D136" t="s">
        <v>6234</v>
      </c>
      <c r="E136" t="s">
        <v>16</v>
      </c>
      <c r="F136" t="s">
        <v>6235</v>
      </c>
      <c r="G136" s="2">
        <v>0.62708333333333333</v>
      </c>
      <c r="H136" t="s">
        <v>1668</v>
      </c>
      <c r="I136" t="s">
        <v>1216</v>
      </c>
      <c r="K136" s="2">
        <v>0.65972222222222221</v>
      </c>
      <c r="L136" t="s">
        <v>6236</v>
      </c>
      <c r="M136">
        <v>3160</v>
      </c>
      <c r="N136">
        <v>30</v>
      </c>
      <c r="O136">
        <v>5</v>
      </c>
    </row>
    <row r="137" spans="1:20" x14ac:dyDescent="0.3">
      <c r="A137" t="s">
        <v>699</v>
      </c>
      <c r="B137" t="s">
        <v>6237</v>
      </c>
      <c r="C137" t="s">
        <v>6238</v>
      </c>
      <c r="D137" t="s">
        <v>6239</v>
      </c>
      <c r="E137" t="s">
        <v>16</v>
      </c>
      <c r="F137" t="s">
        <v>6240</v>
      </c>
      <c r="G137" s="2">
        <v>0.60902777777777783</v>
      </c>
      <c r="H137" t="s">
        <v>1200</v>
      </c>
      <c r="I137" t="s">
        <v>1501</v>
      </c>
      <c r="K137" s="2">
        <v>0.62569444444444444</v>
      </c>
      <c r="L137" t="s">
        <v>6241</v>
      </c>
      <c r="M137">
        <v>3159</v>
      </c>
      <c r="N137">
        <v>76</v>
      </c>
      <c r="O137">
        <v>8</v>
      </c>
      <c r="R137" t="s">
        <v>6195</v>
      </c>
    </row>
    <row r="138" spans="1:20" x14ac:dyDescent="0.3">
      <c r="A138" t="s">
        <v>699</v>
      </c>
      <c r="B138" t="s">
        <v>6242</v>
      </c>
      <c r="C138" t="s">
        <v>6243</v>
      </c>
      <c r="D138" t="s">
        <v>6244</v>
      </c>
      <c r="E138" t="s">
        <v>16</v>
      </c>
      <c r="F138" t="s">
        <v>6245</v>
      </c>
      <c r="G138" s="2">
        <v>0.54305555555555551</v>
      </c>
      <c r="H138" t="s">
        <v>1200</v>
      </c>
      <c r="I138" t="s">
        <v>1292</v>
      </c>
      <c r="K138" s="2">
        <v>0.5708333333333333</v>
      </c>
    </row>
    <row r="139" spans="1:20" x14ac:dyDescent="0.3">
      <c r="A139" t="s">
        <v>699</v>
      </c>
      <c r="B139" t="s">
        <v>6246</v>
      </c>
      <c r="C139" t="s">
        <v>6247</v>
      </c>
      <c r="D139" t="s">
        <v>6248</v>
      </c>
      <c r="E139" t="s">
        <v>16</v>
      </c>
      <c r="F139" t="s">
        <v>6249</v>
      </c>
      <c r="G139" s="2">
        <v>0.53055555555555556</v>
      </c>
      <c r="H139" t="s">
        <v>1200</v>
      </c>
      <c r="I139" t="s">
        <v>1216</v>
      </c>
      <c r="K139" s="2">
        <v>0.53819444444444442</v>
      </c>
      <c r="M139">
        <v>3154</v>
      </c>
      <c r="N139">
        <v>41</v>
      </c>
      <c r="O139">
        <v>7</v>
      </c>
      <c r="R139" t="s">
        <v>6195</v>
      </c>
      <c r="S139" t="s">
        <v>5658</v>
      </c>
    </row>
    <row r="140" spans="1:20" x14ac:dyDescent="0.3">
      <c r="A140" t="s">
        <v>699</v>
      </c>
      <c r="B140" t="s">
        <v>6250</v>
      </c>
      <c r="C140" t="s">
        <v>6251</v>
      </c>
      <c r="D140" t="s">
        <v>6252</v>
      </c>
      <c r="E140" t="s">
        <v>16</v>
      </c>
      <c r="F140" t="s">
        <v>6253</v>
      </c>
      <c r="G140" s="2">
        <v>0.52430555555555558</v>
      </c>
      <c r="H140" t="s">
        <v>1200</v>
      </c>
      <c r="I140" t="s">
        <v>1501</v>
      </c>
      <c r="K140" s="2">
        <v>0.53888888888888886</v>
      </c>
      <c r="M140">
        <v>3156</v>
      </c>
      <c r="N140">
        <v>40</v>
      </c>
      <c r="O140">
        <v>7</v>
      </c>
      <c r="R140" t="s">
        <v>6195</v>
      </c>
      <c r="S140" t="s">
        <v>5658</v>
      </c>
      <c r="T140" t="s">
        <v>6254</v>
      </c>
    </row>
    <row r="141" spans="1:20" x14ac:dyDescent="0.3">
      <c r="A141" t="s">
        <v>699</v>
      </c>
      <c r="B141" t="s">
        <v>6255</v>
      </c>
      <c r="C141" t="s">
        <v>6256</v>
      </c>
      <c r="D141" t="s">
        <v>6257</v>
      </c>
      <c r="E141" t="s">
        <v>16</v>
      </c>
      <c r="F141" t="s">
        <v>6258</v>
      </c>
      <c r="G141" s="2">
        <v>0.35069444444444442</v>
      </c>
      <c r="H141" t="s">
        <v>1200</v>
      </c>
      <c r="I141" t="s">
        <v>1309</v>
      </c>
      <c r="K141" s="2">
        <v>0.35486111111111113</v>
      </c>
      <c r="L141" t="s">
        <v>6259</v>
      </c>
      <c r="M141">
        <v>3155</v>
      </c>
      <c r="N141">
        <v>110</v>
      </c>
      <c r="O141">
        <v>15</v>
      </c>
      <c r="S141" t="s">
        <v>949</v>
      </c>
    </row>
    <row r="142" spans="1:20" x14ac:dyDescent="0.3">
      <c r="A142" t="s">
        <v>699</v>
      </c>
      <c r="B142" t="s">
        <v>6260</v>
      </c>
      <c r="C142" t="s">
        <v>6261</v>
      </c>
      <c r="D142" t="s">
        <v>6262</v>
      </c>
      <c r="E142" t="s">
        <v>16</v>
      </c>
      <c r="F142" t="s">
        <v>6263</v>
      </c>
      <c r="G142" s="2">
        <v>0.32291666666666669</v>
      </c>
      <c r="H142" t="s">
        <v>1200</v>
      </c>
      <c r="I142" t="s">
        <v>1464</v>
      </c>
      <c r="K142" s="2">
        <v>0.34791666666666665</v>
      </c>
      <c r="L142" t="s">
        <v>6264</v>
      </c>
      <c r="M142">
        <v>3154</v>
      </c>
      <c r="N142">
        <v>312</v>
      </c>
      <c r="O142">
        <v>13</v>
      </c>
      <c r="S142" t="s">
        <v>965</v>
      </c>
    </row>
    <row r="143" spans="1:20" x14ac:dyDescent="0.3">
      <c r="A143" t="s">
        <v>703</v>
      </c>
      <c r="B143" t="s">
        <v>6265</v>
      </c>
      <c r="C143" t="s">
        <v>6266</v>
      </c>
      <c r="D143" t="s">
        <v>6267</v>
      </c>
      <c r="E143" t="s">
        <v>16</v>
      </c>
      <c r="F143" t="s">
        <v>6268</v>
      </c>
      <c r="G143" s="2">
        <v>0.60555555555555551</v>
      </c>
      <c r="H143" t="s">
        <v>1668</v>
      </c>
      <c r="I143" t="s">
        <v>1464</v>
      </c>
      <c r="K143" s="2">
        <v>0.62569444444444444</v>
      </c>
      <c r="L143" t="s">
        <v>6269</v>
      </c>
      <c r="S143" t="s">
        <v>965</v>
      </c>
    </row>
    <row r="144" spans="1:20" x14ac:dyDescent="0.3">
      <c r="A144" t="s">
        <v>711</v>
      </c>
      <c r="B144" t="s">
        <v>6270</v>
      </c>
      <c r="C144" t="s">
        <v>6271</v>
      </c>
      <c r="D144" t="s">
        <v>6272</v>
      </c>
      <c r="E144" t="s">
        <v>16</v>
      </c>
      <c r="F144" t="s">
        <v>6273</v>
      </c>
      <c r="G144" s="2">
        <v>0.67222222222222217</v>
      </c>
      <c r="H144" t="s">
        <v>1200</v>
      </c>
      <c r="I144" t="s">
        <v>1292</v>
      </c>
      <c r="K144" s="2">
        <v>0.73333333333333339</v>
      </c>
      <c r="S144" t="s">
        <v>949</v>
      </c>
    </row>
    <row r="145" spans="1:20" x14ac:dyDescent="0.3">
      <c r="A145" t="s">
        <v>716</v>
      </c>
      <c r="B145" t="s">
        <v>6274</v>
      </c>
      <c r="C145" t="s">
        <v>6275</v>
      </c>
      <c r="D145" t="s">
        <v>6276</v>
      </c>
      <c r="E145" t="s">
        <v>16</v>
      </c>
      <c r="F145" t="s">
        <v>6277</v>
      </c>
      <c r="G145" s="2">
        <v>0.44027777777777777</v>
      </c>
      <c r="H145" t="s">
        <v>1668</v>
      </c>
      <c r="I145" t="s">
        <v>1501</v>
      </c>
      <c r="K145" s="2">
        <v>0.45347222222222222</v>
      </c>
      <c r="M145">
        <v>3150</v>
      </c>
      <c r="O145">
        <v>9</v>
      </c>
      <c r="T145" t="s">
        <v>6278</v>
      </c>
    </row>
    <row r="146" spans="1:20" x14ac:dyDescent="0.3">
      <c r="A146" t="s">
        <v>716</v>
      </c>
      <c r="B146" s="3" t="s">
        <v>6279</v>
      </c>
      <c r="C146" t="s">
        <v>6280</v>
      </c>
      <c r="D146" t="s">
        <v>6281</v>
      </c>
      <c r="E146" t="s">
        <v>16</v>
      </c>
      <c r="F146" t="s">
        <v>6282</v>
      </c>
      <c r="G146" s="2">
        <v>0.41666666666666669</v>
      </c>
      <c r="H146" t="s">
        <v>1200</v>
      </c>
      <c r="I146" t="s">
        <v>1292</v>
      </c>
      <c r="K146" s="2">
        <v>0.41944444444444445</v>
      </c>
      <c r="L146" t="s">
        <v>6283</v>
      </c>
      <c r="M146">
        <v>3148</v>
      </c>
      <c r="N146">
        <v>43</v>
      </c>
      <c r="O146">
        <v>7</v>
      </c>
    </row>
    <row r="147" spans="1:20" x14ac:dyDescent="0.3">
      <c r="A147" t="s">
        <v>716</v>
      </c>
      <c r="B147" t="s">
        <v>6284</v>
      </c>
      <c r="C147" t="s">
        <v>6285</v>
      </c>
      <c r="D147" t="s">
        <v>6286</v>
      </c>
      <c r="E147" t="s">
        <v>16</v>
      </c>
      <c r="F147" t="s">
        <v>6287</v>
      </c>
      <c r="G147" s="2">
        <v>0.3972222222222222</v>
      </c>
      <c r="H147" t="s">
        <v>1200</v>
      </c>
      <c r="I147" t="s">
        <v>1292</v>
      </c>
      <c r="K147" s="2">
        <v>0.39999999999999997</v>
      </c>
      <c r="L147" t="s">
        <v>6288</v>
      </c>
      <c r="M147">
        <v>3147</v>
      </c>
      <c r="N147">
        <v>43</v>
      </c>
      <c r="O147">
        <v>8</v>
      </c>
    </row>
    <row r="148" spans="1:20" x14ac:dyDescent="0.3">
      <c r="A148" t="s">
        <v>716</v>
      </c>
      <c r="B148" t="s">
        <v>6289</v>
      </c>
      <c r="C148" t="s">
        <v>6290</v>
      </c>
      <c r="D148" t="s">
        <v>6291</v>
      </c>
      <c r="E148" t="s">
        <v>16</v>
      </c>
      <c r="F148" t="s">
        <v>6292</v>
      </c>
      <c r="G148" s="2">
        <v>0.38611111111111113</v>
      </c>
      <c r="H148" t="s">
        <v>1668</v>
      </c>
      <c r="I148" t="s">
        <v>1309</v>
      </c>
      <c r="K148" s="2">
        <v>0.3923611111111111</v>
      </c>
      <c r="L148" t="s">
        <v>6293</v>
      </c>
      <c r="M148">
        <v>3146</v>
      </c>
      <c r="N148">
        <v>153</v>
      </c>
      <c r="O148">
        <v>9</v>
      </c>
      <c r="T148" t="s">
        <v>6294</v>
      </c>
    </row>
    <row r="149" spans="1:20" x14ac:dyDescent="0.3">
      <c r="A149" t="s">
        <v>716</v>
      </c>
      <c r="B149" t="s">
        <v>6295</v>
      </c>
      <c r="C149" t="s">
        <v>6296</v>
      </c>
      <c r="D149" t="s">
        <v>6297</v>
      </c>
      <c r="E149" t="s">
        <v>16</v>
      </c>
      <c r="F149" t="s">
        <v>6298</v>
      </c>
      <c r="G149" s="2">
        <v>0.3756944444444445</v>
      </c>
      <c r="H149" t="s">
        <v>1668</v>
      </c>
      <c r="I149" t="s">
        <v>1260</v>
      </c>
      <c r="K149" s="2">
        <v>0.38611111111111113</v>
      </c>
      <c r="L149" t="s">
        <v>6299</v>
      </c>
      <c r="M149">
        <v>3146</v>
      </c>
      <c r="N149">
        <v>157</v>
      </c>
      <c r="O149">
        <v>11</v>
      </c>
      <c r="T149" t="s">
        <v>6300</v>
      </c>
    </row>
    <row r="150" spans="1:20" x14ac:dyDescent="0.3">
      <c r="A150" t="s">
        <v>716</v>
      </c>
      <c r="B150" t="s">
        <v>6301</v>
      </c>
      <c r="C150" t="s">
        <v>6302</v>
      </c>
      <c r="D150" t="s">
        <v>6303</v>
      </c>
      <c r="E150" t="s">
        <v>16</v>
      </c>
      <c r="F150" t="s">
        <v>6304</v>
      </c>
      <c r="G150" s="2">
        <v>0.3354166666666667</v>
      </c>
      <c r="H150" t="s">
        <v>1200</v>
      </c>
      <c r="I150" t="s">
        <v>1292</v>
      </c>
      <c r="K150" s="2">
        <v>0.3576388888888889</v>
      </c>
      <c r="L150" t="s">
        <v>6305</v>
      </c>
      <c r="M150">
        <v>3144</v>
      </c>
      <c r="N150">
        <v>66</v>
      </c>
      <c r="O150">
        <v>7</v>
      </c>
      <c r="T150" t="s">
        <v>6306</v>
      </c>
    </row>
    <row r="151" spans="1:20" x14ac:dyDescent="0.3">
      <c r="A151" t="s">
        <v>720</v>
      </c>
      <c r="B151" t="s">
        <v>6307</v>
      </c>
      <c r="C151" t="s">
        <v>6308</v>
      </c>
      <c r="D151" t="s">
        <v>6309</v>
      </c>
      <c r="E151" t="s">
        <v>16</v>
      </c>
      <c r="F151" t="s">
        <v>6310</v>
      </c>
      <c r="G151" s="2">
        <v>0.65763888888888888</v>
      </c>
      <c r="H151" t="s">
        <v>1200</v>
      </c>
      <c r="I151" t="s">
        <v>1216</v>
      </c>
      <c r="K151" s="2">
        <v>0.69236111111111109</v>
      </c>
      <c r="L151" t="s">
        <v>6311</v>
      </c>
      <c r="M151">
        <v>3139</v>
      </c>
      <c r="N151">
        <v>107</v>
      </c>
      <c r="O151">
        <v>14</v>
      </c>
    </row>
    <row r="152" spans="1:20" x14ac:dyDescent="0.3">
      <c r="A152" t="s">
        <v>720</v>
      </c>
      <c r="B152" t="s">
        <v>6312</v>
      </c>
      <c r="C152" t="s">
        <v>6313</v>
      </c>
      <c r="D152" t="s">
        <v>6314</v>
      </c>
      <c r="E152" t="s">
        <v>16</v>
      </c>
      <c r="F152" t="s">
        <v>6315</v>
      </c>
      <c r="G152" s="2">
        <v>0.65555555555555556</v>
      </c>
      <c r="H152" t="s">
        <v>1200</v>
      </c>
      <c r="I152" t="s">
        <v>4803</v>
      </c>
      <c r="K152" s="2">
        <v>0.65763888888888888</v>
      </c>
      <c r="L152" t="s">
        <v>6311</v>
      </c>
      <c r="M152">
        <v>3139</v>
      </c>
      <c r="N152">
        <v>107</v>
      </c>
      <c r="O152">
        <v>14</v>
      </c>
    </row>
    <row r="153" spans="1:20" x14ac:dyDescent="0.3">
      <c r="A153" t="s">
        <v>720</v>
      </c>
      <c r="B153" t="s">
        <v>6316</v>
      </c>
      <c r="C153" t="s">
        <v>6317</v>
      </c>
      <c r="D153" t="s">
        <v>6318</v>
      </c>
      <c r="E153" t="s">
        <v>16</v>
      </c>
      <c r="F153" t="s">
        <v>6319</v>
      </c>
      <c r="G153" s="2">
        <v>0.63541666666666663</v>
      </c>
      <c r="H153" t="s">
        <v>1200</v>
      </c>
      <c r="I153" t="s">
        <v>1464</v>
      </c>
      <c r="K153" s="2">
        <v>0.65277777777777779</v>
      </c>
      <c r="L153" t="s">
        <v>6269</v>
      </c>
      <c r="M153">
        <v>3138</v>
      </c>
      <c r="N153">
        <v>167</v>
      </c>
      <c r="O153">
        <v>19</v>
      </c>
      <c r="S153" t="s">
        <v>965</v>
      </c>
    </row>
    <row r="154" spans="1:20" x14ac:dyDescent="0.3">
      <c r="A154" t="s">
        <v>720</v>
      </c>
      <c r="B154" t="s">
        <v>6320</v>
      </c>
      <c r="C154" t="s">
        <v>6321</v>
      </c>
      <c r="D154" t="s">
        <v>6322</v>
      </c>
      <c r="E154" t="s">
        <v>16</v>
      </c>
      <c r="F154" t="s">
        <v>6323</v>
      </c>
      <c r="G154" s="2">
        <v>0.48472222222222222</v>
      </c>
      <c r="H154" t="s">
        <v>1200</v>
      </c>
      <c r="I154" t="s">
        <v>1216</v>
      </c>
      <c r="K154" s="2">
        <v>0.48749999999999999</v>
      </c>
      <c r="S154" t="s">
        <v>965</v>
      </c>
    </row>
    <row r="155" spans="1:20" x14ac:dyDescent="0.3">
      <c r="A155" t="s">
        <v>720</v>
      </c>
      <c r="B155" t="s">
        <v>6324</v>
      </c>
      <c r="C155" t="s">
        <v>6325</v>
      </c>
      <c r="D155" t="s">
        <v>6326</v>
      </c>
      <c r="E155" t="s">
        <v>16</v>
      </c>
      <c r="F155" t="s">
        <v>6327</v>
      </c>
      <c r="G155" s="2">
        <v>0.47361111111111115</v>
      </c>
      <c r="I155" t="s">
        <v>4803</v>
      </c>
      <c r="K155" s="2">
        <v>0.48333333333333334</v>
      </c>
      <c r="S155" t="s">
        <v>965</v>
      </c>
    </row>
    <row r="156" spans="1:20" x14ac:dyDescent="0.3">
      <c r="A156" t="s">
        <v>724</v>
      </c>
      <c r="B156" t="s">
        <v>6328</v>
      </c>
      <c r="C156" t="s">
        <v>6329</v>
      </c>
      <c r="D156" t="s">
        <v>6330</v>
      </c>
      <c r="E156" t="s">
        <v>16</v>
      </c>
      <c r="F156" t="s">
        <v>6331</v>
      </c>
      <c r="G156" s="2">
        <v>0.3215277777777778</v>
      </c>
      <c r="I156" t="s">
        <v>1292</v>
      </c>
      <c r="K156" s="2">
        <v>0.36180555555555555</v>
      </c>
      <c r="L156" t="s">
        <v>6332</v>
      </c>
      <c r="M156">
        <v>3133</v>
      </c>
      <c r="N156">
        <v>220</v>
      </c>
      <c r="O156">
        <v>9</v>
      </c>
      <c r="S156" t="s">
        <v>6333</v>
      </c>
    </row>
    <row r="157" spans="1:20" x14ac:dyDescent="0.3">
      <c r="A157" t="s">
        <v>732</v>
      </c>
      <c r="B157" t="s">
        <v>6334</v>
      </c>
      <c r="C157" t="s">
        <v>6335</v>
      </c>
      <c r="D157" t="s">
        <v>6336</v>
      </c>
      <c r="E157" t="s">
        <v>16</v>
      </c>
      <c r="F157" t="s">
        <v>6337</v>
      </c>
      <c r="G157" s="2">
        <v>0.73611111111111116</v>
      </c>
      <c r="H157" t="s">
        <v>1200</v>
      </c>
      <c r="I157" t="s">
        <v>1292</v>
      </c>
      <c r="K157" s="2">
        <v>0.7583333333333333</v>
      </c>
      <c r="S157" t="s">
        <v>949</v>
      </c>
    </row>
    <row r="158" spans="1:20" x14ac:dyDescent="0.3">
      <c r="A158" t="s">
        <v>732</v>
      </c>
      <c r="B158" t="s">
        <v>6338</v>
      </c>
      <c r="C158" t="s">
        <v>6339</v>
      </c>
      <c r="D158" t="s">
        <v>6340</v>
      </c>
      <c r="E158" t="s">
        <v>16</v>
      </c>
      <c r="F158" t="s">
        <v>6341</v>
      </c>
      <c r="G158" s="2">
        <v>0.71250000000000002</v>
      </c>
      <c r="H158" t="s">
        <v>1668</v>
      </c>
      <c r="I158" t="s">
        <v>1292</v>
      </c>
      <c r="K158" s="2">
        <v>0.72013888888888899</v>
      </c>
    </row>
    <row r="159" spans="1:20" x14ac:dyDescent="0.3">
      <c r="A159" t="s">
        <v>732</v>
      </c>
      <c r="B159" t="s">
        <v>6342</v>
      </c>
      <c r="C159" t="s">
        <v>6343</v>
      </c>
      <c r="D159" t="s">
        <v>6344</v>
      </c>
      <c r="E159" t="s">
        <v>16</v>
      </c>
      <c r="F159" t="s">
        <v>6345</v>
      </c>
      <c r="G159" s="2">
        <v>0.69236111111111109</v>
      </c>
      <c r="H159" t="s">
        <v>1200</v>
      </c>
      <c r="I159" t="s">
        <v>1216</v>
      </c>
      <c r="K159" s="2">
        <v>0.69930555555555562</v>
      </c>
    </row>
    <row r="160" spans="1:20" x14ac:dyDescent="0.3">
      <c r="A160" t="s">
        <v>732</v>
      </c>
      <c r="B160" t="s">
        <v>6346</v>
      </c>
      <c r="C160" t="s">
        <v>6347</v>
      </c>
      <c r="D160" t="s">
        <v>6348</v>
      </c>
      <c r="E160" t="s">
        <v>16</v>
      </c>
      <c r="F160" t="s">
        <v>6349</v>
      </c>
      <c r="G160" s="2">
        <v>0.60277777777777775</v>
      </c>
      <c r="H160" t="s">
        <v>1200</v>
      </c>
      <c r="I160" t="s">
        <v>1292</v>
      </c>
      <c r="K160" s="2">
        <v>0.6118055555555556</v>
      </c>
      <c r="L160" t="s">
        <v>6350</v>
      </c>
      <c r="M160">
        <v>3127</v>
      </c>
      <c r="N160">
        <v>158</v>
      </c>
      <c r="O160">
        <v>17</v>
      </c>
      <c r="S160" t="s">
        <v>965</v>
      </c>
    </row>
    <row r="161" spans="1:19" x14ac:dyDescent="0.3">
      <c r="A161" t="s">
        <v>732</v>
      </c>
      <c r="B161" t="s">
        <v>6351</v>
      </c>
      <c r="C161" t="s">
        <v>6352</v>
      </c>
      <c r="D161" t="s">
        <v>6353</v>
      </c>
      <c r="E161" t="s">
        <v>16</v>
      </c>
      <c r="F161" t="s">
        <v>6354</v>
      </c>
      <c r="G161" s="2">
        <v>0.49791666666666662</v>
      </c>
      <c r="H161" t="s">
        <v>1668</v>
      </c>
      <c r="I161" t="s">
        <v>1292</v>
      </c>
      <c r="K161" s="2">
        <v>0.50277777777777777</v>
      </c>
      <c r="L161" t="s">
        <v>5989</v>
      </c>
      <c r="M161">
        <v>3125</v>
      </c>
      <c r="N161">
        <v>168</v>
      </c>
      <c r="O161">
        <v>16</v>
      </c>
      <c r="S161" t="s">
        <v>965</v>
      </c>
    </row>
    <row r="162" spans="1:19" x14ac:dyDescent="0.3">
      <c r="A162" t="s">
        <v>732</v>
      </c>
      <c r="B162" t="s">
        <v>6355</v>
      </c>
      <c r="C162" t="s">
        <v>6356</v>
      </c>
      <c r="D162" t="s">
        <v>6357</v>
      </c>
      <c r="E162" t="s">
        <v>16</v>
      </c>
      <c r="F162" t="s">
        <v>6358</v>
      </c>
      <c r="G162" s="2">
        <v>0.48958333333333331</v>
      </c>
      <c r="H162" t="s">
        <v>1200</v>
      </c>
      <c r="I162" t="s">
        <v>1292</v>
      </c>
      <c r="K162" s="2">
        <v>0.49305555555555558</v>
      </c>
      <c r="L162" t="s">
        <v>6359</v>
      </c>
      <c r="M162">
        <v>3124</v>
      </c>
      <c r="N162">
        <v>84</v>
      </c>
      <c r="O162">
        <v>10</v>
      </c>
      <c r="R162" t="s">
        <v>6195</v>
      </c>
      <c r="S162" t="s">
        <v>5658</v>
      </c>
    </row>
    <row r="163" spans="1:19" x14ac:dyDescent="0.3">
      <c r="A163" t="s">
        <v>732</v>
      </c>
      <c r="B163" t="s">
        <v>6360</v>
      </c>
      <c r="C163" t="s">
        <v>6361</v>
      </c>
      <c r="D163" t="s">
        <v>6362</v>
      </c>
      <c r="E163" t="s">
        <v>16</v>
      </c>
      <c r="F163" t="s">
        <v>6363</v>
      </c>
      <c r="G163" s="2">
        <v>0.47847222222222219</v>
      </c>
      <c r="H163" t="s">
        <v>1200</v>
      </c>
      <c r="I163" t="s">
        <v>1640</v>
      </c>
      <c r="K163" s="2">
        <v>0.48680555555555555</v>
      </c>
      <c r="L163" t="s">
        <v>6359</v>
      </c>
      <c r="M163">
        <v>3124</v>
      </c>
      <c r="N163">
        <v>82</v>
      </c>
      <c r="O163">
        <v>10</v>
      </c>
      <c r="R163" t="s">
        <v>6195</v>
      </c>
      <c r="S163" t="s">
        <v>5658</v>
      </c>
    </row>
    <row r="164" spans="1:19" x14ac:dyDescent="0.3">
      <c r="A164" t="s">
        <v>732</v>
      </c>
      <c r="B164" s="3" t="s">
        <v>6364</v>
      </c>
      <c r="C164" t="s">
        <v>6365</v>
      </c>
      <c r="D164" t="s">
        <v>6366</v>
      </c>
      <c r="E164" t="s">
        <v>16</v>
      </c>
      <c r="F164" t="s">
        <v>6367</v>
      </c>
      <c r="G164" s="2">
        <v>0.44375000000000003</v>
      </c>
      <c r="H164" t="s">
        <v>1200</v>
      </c>
      <c r="I164" t="s">
        <v>1292</v>
      </c>
      <c r="K164" s="2">
        <v>0.45347222222222222</v>
      </c>
      <c r="L164" t="s">
        <v>6368</v>
      </c>
      <c r="M164">
        <v>3122</v>
      </c>
      <c r="N164">
        <v>63</v>
      </c>
      <c r="O164">
        <v>8</v>
      </c>
      <c r="S164" t="s">
        <v>949</v>
      </c>
    </row>
    <row r="165" spans="1:19" x14ac:dyDescent="0.3">
      <c r="A165" t="s">
        <v>732</v>
      </c>
      <c r="B165" t="s">
        <v>6369</v>
      </c>
      <c r="C165" t="s">
        <v>6370</v>
      </c>
      <c r="D165" t="s">
        <v>6371</v>
      </c>
      <c r="E165" t="s">
        <v>16</v>
      </c>
      <c r="F165" t="s">
        <v>6372</v>
      </c>
      <c r="G165" s="2">
        <v>0.43124999999999997</v>
      </c>
      <c r="H165" t="s">
        <v>1200</v>
      </c>
      <c r="I165" t="s">
        <v>1292</v>
      </c>
      <c r="K165" s="2">
        <v>0.43402777777777773</v>
      </c>
      <c r="L165" t="s">
        <v>6088</v>
      </c>
      <c r="M165">
        <v>3121</v>
      </c>
      <c r="N165">
        <v>190</v>
      </c>
      <c r="O165">
        <v>13</v>
      </c>
      <c r="S165" t="s">
        <v>965</v>
      </c>
    </row>
    <row r="166" spans="1:19" x14ac:dyDescent="0.3">
      <c r="A166" t="s">
        <v>732</v>
      </c>
      <c r="B166" t="s">
        <v>6373</v>
      </c>
      <c r="C166" t="s">
        <v>6374</v>
      </c>
      <c r="D166" t="s">
        <v>6375</v>
      </c>
      <c r="E166" t="s">
        <v>16</v>
      </c>
      <c r="F166" t="s">
        <v>6376</v>
      </c>
      <c r="G166" s="2">
        <v>0.3520833333333333</v>
      </c>
      <c r="H166" t="s">
        <v>1200</v>
      </c>
      <c r="I166" t="s">
        <v>1464</v>
      </c>
      <c r="K166" s="2">
        <v>0.35347222222222219</v>
      </c>
      <c r="L166" t="s">
        <v>6377</v>
      </c>
      <c r="M166">
        <v>3119</v>
      </c>
      <c r="N166">
        <v>124</v>
      </c>
      <c r="O166">
        <v>16</v>
      </c>
      <c r="S166" t="s">
        <v>965</v>
      </c>
    </row>
    <row r="167" spans="1:19" x14ac:dyDescent="0.3">
      <c r="A167" t="s">
        <v>732</v>
      </c>
      <c r="B167" t="s">
        <v>6378</v>
      </c>
      <c r="C167" t="s">
        <v>6379</v>
      </c>
      <c r="D167" t="s">
        <v>6380</v>
      </c>
      <c r="E167" t="s">
        <v>16</v>
      </c>
      <c r="F167" t="s">
        <v>6381</v>
      </c>
      <c r="G167" s="2">
        <v>0.3430555555555555</v>
      </c>
      <c r="H167" t="s">
        <v>1668</v>
      </c>
      <c r="I167" t="s">
        <v>1216</v>
      </c>
      <c r="K167" s="2">
        <v>0.34513888888888888</v>
      </c>
      <c r="M167">
        <v>3117</v>
      </c>
      <c r="S167" t="s">
        <v>965</v>
      </c>
    </row>
    <row r="168" spans="1:19" x14ac:dyDescent="0.3">
      <c r="A168" t="s">
        <v>732</v>
      </c>
      <c r="B168" t="s">
        <v>6382</v>
      </c>
      <c r="C168" t="s">
        <v>6383</v>
      </c>
      <c r="D168" t="s">
        <v>6384</v>
      </c>
      <c r="E168" t="s">
        <v>16</v>
      </c>
      <c r="F168" t="s">
        <v>6385</v>
      </c>
      <c r="G168" s="2">
        <v>0.32013888888888892</v>
      </c>
      <c r="H168" t="s">
        <v>1200</v>
      </c>
      <c r="I168" t="s">
        <v>1464</v>
      </c>
      <c r="K168" s="2">
        <v>0.34166666666666662</v>
      </c>
      <c r="O168">
        <v>17</v>
      </c>
      <c r="S168" t="s">
        <v>965</v>
      </c>
    </row>
    <row r="169" spans="1:19" x14ac:dyDescent="0.3">
      <c r="A169" t="s">
        <v>736</v>
      </c>
      <c r="B169" t="s">
        <v>6386</v>
      </c>
      <c r="C169" t="s">
        <v>6387</v>
      </c>
      <c r="D169" t="s">
        <v>6388</v>
      </c>
      <c r="E169" t="s">
        <v>16</v>
      </c>
      <c r="F169" t="s">
        <v>6389</v>
      </c>
      <c r="G169" s="2">
        <v>0.61875000000000002</v>
      </c>
      <c r="H169" t="s">
        <v>1668</v>
      </c>
      <c r="I169" t="s">
        <v>1292</v>
      </c>
      <c r="K169" s="2">
        <v>0.64583333333333337</v>
      </c>
      <c r="L169" t="s">
        <v>6390</v>
      </c>
      <c r="M169">
        <v>3109</v>
      </c>
      <c r="O169">
        <v>6</v>
      </c>
      <c r="S169" t="s">
        <v>6391</v>
      </c>
    </row>
    <row r="170" spans="1:19" x14ac:dyDescent="0.3">
      <c r="A170" t="s">
        <v>745</v>
      </c>
      <c r="B170" t="s">
        <v>6392</v>
      </c>
      <c r="C170" t="s">
        <v>6393</v>
      </c>
      <c r="D170" t="s">
        <v>6394</v>
      </c>
      <c r="E170" t="s">
        <v>16</v>
      </c>
      <c r="F170" t="s">
        <v>6395</v>
      </c>
      <c r="G170" s="2">
        <v>0.52222222222222225</v>
      </c>
      <c r="H170" t="s">
        <v>1668</v>
      </c>
      <c r="I170" t="s">
        <v>1292</v>
      </c>
      <c r="K170" s="2">
        <v>0.52847222222222223</v>
      </c>
      <c r="L170" t="s">
        <v>6396</v>
      </c>
      <c r="M170">
        <v>3106</v>
      </c>
      <c r="O170">
        <v>10</v>
      </c>
    </row>
    <row r="171" spans="1:19" x14ac:dyDescent="0.3">
      <c r="A171" t="s">
        <v>745</v>
      </c>
      <c r="B171" t="s">
        <v>6397</v>
      </c>
      <c r="C171" t="s">
        <v>6398</v>
      </c>
      <c r="D171" t="s">
        <v>6399</v>
      </c>
      <c r="E171" t="s">
        <v>16</v>
      </c>
      <c r="F171" t="s">
        <v>6400</v>
      </c>
      <c r="G171" s="2">
        <v>0.39027777777777778</v>
      </c>
      <c r="H171" t="s">
        <v>1668</v>
      </c>
      <c r="I171" t="s">
        <v>1464</v>
      </c>
      <c r="K171" s="2">
        <v>0.40138888888888885</v>
      </c>
      <c r="L171" t="s">
        <v>5984</v>
      </c>
      <c r="M171">
        <v>3103</v>
      </c>
      <c r="N171">
        <v>148</v>
      </c>
      <c r="O171">
        <v>13</v>
      </c>
      <c r="S171" t="s">
        <v>965</v>
      </c>
    </row>
    <row r="172" spans="1:19" x14ac:dyDescent="0.3">
      <c r="A172" t="s">
        <v>745</v>
      </c>
      <c r="B172" t="s">
        <v>6401</v>
      </c>
      <c r="C172" t="s">
        <v>6402</v>
      </c>
      <c r="D172" t="s">
        <v>6403</v>
      </c>
      <c r="E172" t="s">
        <v>16</v>
      </c>
      <c r="F172" t="s">
        <v>6404</v>
      </c>
      <c r="G172" s="2">
        <v>0.3840277777777778</v>
      </c>
      <c r="H172" t="s">
        <v>1200</v>
      </c>
      <c r="I172" t="s">
        <v>1216</v>
      </c>
      <c r="K172" s="2">
        <v>0.38819444444444445</v>
      </c>
      <c r="L172" t="s">
        <v>6405</v>
      </c>
      <c r="M172">
        <v>3102</v>
      </c>
      <c r="N172">
        <v>220</v>
      </c>
      <c r="O172">
        <v>14</v>
      </c>
      <c r="S172" t="s">
        <v>965</v>
      </c>
    </row>
    <row r="173" spans="1:19" x14ac:dyDescent="0.3">
      <c r="A173" t="s">
        <v>749</v>
      </c>
      <c r="B173" t="s">
        <v>6406</v>
      </c>
      <c r="C173" t="s">
        <v>6407</v>
      </c>
      <c r="D173" t="s">
        <v>6408</v>
      </c>
      <c r="E173" t="s">
        <v>16</v>
      </c>
      <c r="F173" t="s">
        <v>6409</v>
      </c>
      <c r="G173" s="2">
        <v>0.43472222222222223</v>
      </c>
      <c r="H173" t="s">
        <v>1668</v>
      </c>
      <c r="I173" t="s">
        <v>1292</v>
      </c>
      <c r="K173" s="2">
        <v>0.45069444444444445</v>
      </c>
      <c r="L173" t="s">
        <v>6410</v>
      </c>
      <c r="M173">
        <v>3099</v>
      </c>
      <c r="N173">
        <v>101</v>
      </c>
      <c r="O173">
        <v>9</v>
      </c>
      <c r="R173" t="s">
        <v>6411</v>
      </c>
    </row>
    <row r="174" spans="1:19" x14ac:dyDescent="0.3">
      <c r="A174" t="s">
        <v>749</v>
      </c>
      <c r="B174" t="s">
        <v>6412</v>
      </c>
      <c r="C174" t="s">
        <v>6413</v>
      </c>
      <c r="D174" t="s">
        <v>6414</v>
      </c>
      <c r="E174" t="s">
        <v>16</v>
      </c>
      <c r="F174" t="s">
        <v>6415</v>
      </c>
      <c r="G174" s="2">
        <v>0.40833333333333338</v>
      </c>
      <c r="H174" t="s">
        <v>1668</v>
      </c>
      <c r="I174" t="s">
        <v>1292</v>
      </c>
      <c r="K174" s="2">
        <v>0.42222222222222222</v>
      </c>
      <c r="L174" t="s">
        <v>6416</v>
      </c>
      <c r="M174">
        <v>3098</v>
      </c>
      <c r="N174">
        <v>194</v>
      </c>
      <c r="O174">
        <v>10</v>
      </c>
      <c r="S174" t="s">
        <v>949</v>
      </c>
    </row>
    <row r="175" spans="1:19" x14ac:dyDescent="0.3">
      <c r="A175" t="s">
        <v>753</v>
      </c>
      <c r="B175" t="s">
        <v>6417</v>
      </c>
      <c r="C175" t="s">
        <v>6418</v>
      </c>
      <c r="D175" t="s">
        <v>6419</v>
      </c>
      <c r="E175" t="s">
        <v>16</v>
      </c>
      <c r="F175" t="s">
        <v>6420</v>
      </c>
      <c r="G175" s="2">
        <v>0.67291666666666661</v>
      </c>
      <c r="H175" t="s">
        <v>1668</v>
      </c>
      <c r="I175" t="s">
        <v>1292</v>
      </c>
      <c r="K175" s="2">
        <v>0.71597222222222223</v>
      </c>
      <c r="L175" t="s">
        <v>6421</v>
      </c>
      <c r="M175">
        <v>3096</v>
      </c>
      <c r="N175">
        <v>170</v>
      </c>
      <c r="O175">
        <v>12</v>
      </c>
      <c r="S175" t="s">
        <v>949</v>
      </c>
    </row>
    <row r="176" spans="1:19" x14ac:dyDescent="0.3">
      <c r="A176" t="s">
        <v>753</v>
      </c>
      <c r="B176" t="s">
        <v>6422</v>
      </c>
      <c r="C176" t="s">
        <v>6423</v>
      </c>
      <c r="D176" t="s">
        <v>6424</v>
      </c>
      <c r="E176" t="s">
        <v>16</v>
      </c>
      <c r="F176" t="s">
        <v>6425</v>
      </c>
      <c r="G176" s="2">
        <v>0.64583333333333337</v>
      </c>
      <c r="H176" t="s">
        <v>1668</v>
      </c>
      <c r="I176" t="s">
        <v>1309</v>
      </c>
      <c r="K176" s="2">
        <v>0.6694444444444444</v>
      </c>
      <c r="L176" t="s">
        <v>5736</v>
      </c>
      <c r="M176">
        <v>3096</v>
      </c>
      <c r="N176">
        <v>57</v>
      </c>
      <c r="O176">
        <v>10</v>
      </c>
      <c r="S176" t="s">
        <v>6426</v>
      </c>
    </row>
    <row r="177" spans="1:20" x14ac:dyDescent="0.3">
      <c r="A177" t="s">
        <v>757</v>
      </c>
      <c r="B177" t="s">
        <v>6427</v>
      </c>
      <c r="C177" t="s">
        <v>6428</v>
      </c>
      <c r="D177" t="s">
        <v>6429</v>
      </c>
      <c r="E177" t="s">
        <v>16</v>
      </c>
      <c r="F177" t="s">
        <v>6430</v>
      </c>
      <c r="G177" s="2">
        <v>0.47152777777777777</v>
      </c>
      <c r="H177" t="s">
        <v>1668</v>
      </c>
      <c r="I177" t="s">
        <v>1292</v>
      </c>
      <c r="K177" s="2">
        <v>0.49305555555555558</v>
      </c>
    </row>
    <row r="178" spans="1:20" x14ac:dyDescent="0.3">
      <c r="A178" t="s">
        <v>757</v>
      </c>
      <c r="B178" t="s">
        <v>6431</v>
      </c>
      <c r="C178" t="s">
        <v>6432</v>
      </c>
      <c r="D178" t="s">
        <v>6433</v>
      </c>
      <c r="E178" t="s">
        <v>16</v>
      </c>
      <c r="F178" t="s">
        <v>6434</v>
      </c>
      <c r="G178" s="2">
        <v>0.45416666666666666</v>
      </c>
      <c r="H178" t="s">
        <v>1668</v>
      </c>
      <c r="I178" t="s">
        <v>1309</v>
      </c>
      <c r="K178" s="2">
        <v>0.47152777777777777</v>
      </c>
      <c r="L178" t="s">
        <v>6435</v>
      </c>
      <c r="M178">
        <v>3093</v>
      </c>
      <c r="N178">
        <v>194</v>
      </c>
      <c r="O178">
        <v>15</v>
      </c>
    </row>
    <row r="179" spans="1:20" x14ac:dyDescent="0.3">
      <c r="A179" t="s">
        <v>757</v>
      </c>
      <c r="B179" t="s">
        <v>6436</v>
      </c>
      <c r="C179" t="s">
        <v>6437</v>
      </c>
      <c r="D179" t="s">
        <v>6438</v>
      </c>
      <c r="E179" t="s">
        <v>16</v>
      </c>
      <c r="F179" t="s">
        <v>6439</v>
      </c>
      <c r="G179" s="2">
        <v>0.37013888888888885</v>
      </c>
      <c r="H179" t="s">
        <v>1668</v>
      </c>
      <c r="I179" t="s">
        <v>1334</v>
      </c>
      <c r="K179" s="2">
        <v>0.39861111111111108</v>
      </c>
      <c r="L179" t="s">
        <v>6435</v>
      </c>
      <c r="M179">
        <v>3093</v>
      </c>
      <c r="N179">
        <v>194</v>
      </c>
      <c r="O179">
        <v>15</v>
      </c>
      <c r="T179" t="s">
        <v>6440</v>
      </c>
    </row>
    <row r="180" spans="1:20" x14ac:dyDescent="0.3">
      <c r="A180" t="s">
        <v>761</v>
      </c>
      <c r="B180" t="s">
        <v>6441</v>
      </c>
      <c r="C180" t="s">
        <v>6442</v>
      </c>
      <c r="D180" t="s">
        <v>6443</v>
      </c>
      <c r="E180" t="s">
        <v>16</v>
      </c>
      <c r="F180" t="s">
        <v>6444</v>
      </c>
      <c r="G180" s="2">
        <v>0.70416666666666661</v>
      </c>
      <c r="H180" t="s">
        <v>1668</v>
      </c>
      <c r="I180" t="s">
        <v>1292</v>
      </c>
      <c r="K180" s="2">
        <v>0.74652777777777779</v>
      </c>
      <c r="M180">
        <v>3090</v>
      </c>
    </row>
    <row r="181" spans="1:20" x14ac:dyDescent="0.3">
      <c r="A181" t="s">
        <v>761</v>
      </c>
      <c r="B181" t="s">
        <v>6445</v>
      </c>
      <c r="C181" t="s">
        <v>6446</v>
      </c>
      <c r="D181" t="s">
        <v>6447</v>
      </c>
      <c r="E181" t="s">
        <v>16</v>
      </c>
      <c r="F181" t="s">
        <v>6448</v>
      </c>
      <c r="G181" s="2">
        <v>0.67847222222222225</v>
      </c>
      <c r="H181" t="s">
        <v>1668</v>
      </c>
      <c r="I181" t="s">
        <v>1292</v>
      </c>
      <c r="K181" s="2">
        <v>0.6875</v>
      </c>
      <c r="S181" t="s">
        <v>949</v>
      </c>
    </row>
    <row r="182" spans="1:20" x14ac:dyDescent="0.3">
      <c r="A182" t="s">
        <v>761</v>
      </c>
      <c r="B182" t="s">
        <v>6449</v>
      </c>
      <c r="C182" t="s">
        <v>6450</v>
      </c>
      <c r="D182" t="s">
        <v>6451</v>
      </c>
      <c r="E182" t="s">
        <v>16</v>
      </c>
      <c r="F182" t="s">
        <v>6452</v>
      </c>
      <c r="G182" s="2">
        <v>0.66249999999999998</v>
      </c>
      <c r="H182" t="s">
        <v>1668</v>
      </c>
      <c r="I182" t="s">
        <v>1292</v>
      </c>
      <c r="K182" s="2">
        <v>0.67152777777777783</v>
      </c>
      <c r="M182">
        <v>3089</v>
      </c>
    </row>
    <row r="183" spans="1:20" x14ac:dyDescent="0.3">
      <c r="A183" t="s">
        <v>765</v>
      </c>
      <c r="B183" t="s">
        <v>6453</v>
      </c>
      <c r="C183" t="s">
        <v>6454</v>
      </c>
      <c r="D183" t="s">
        <v>6455</v>
      </c>
      <c r="E183" t="s">
        <v>16</v>
      </c>
      <c r="F183" t="s">
        <v>6456</v>
      </c>
      <c r="G183" s="2">
        <v>0.65208333333333335</v>
      </c>
      <c r="H183" t="s">
        <v>1668</v>
      </c>
      <c r="I183" t="s">
        <v>1292</v>
      </c>
      <c r="K183" s="2">
        <v>0.65763888888888888</v>
      </c>
      <c r="M183">
        <v>3087</v>
      </c>
      <c r="T183" t="s">
        <v>6457</v>
      </c>
    </row>
    <row r="184" spans="1:20" x14ac:dyDescent="0.3">
      <c r="A184" t="s">
        <v>765</v>
      </c>
      <c r="B184" t="s">
        <v>6458</v>
      </c>
      <c r="C184" t="s">
        <v>6459</v>
      </c>
      <c r="D184" t="s">
        <v>6460</v>
      </c>
      <c r="E184" t="s">
        <v>16</v>
      </c>
      <c r="F184" t="s">
        <v>6461</v>
      </c>
      <c r="G184" s="2">
        <v>0.60347222222222219</v>
      </c>
      <c r="H184" t="s">
        <v>1668</v>
      </c>
      <c r="I184" t="s">
        <v>1216</v>
      </c>
      <c r="K184" s="2">
        <v>0.64652777777777781</v>
      </c>
      <c r="M184">
        <v>3086</v>
      </c>
      <c r="S184" t="s">
        <v>7909</v>
      </c>
      <c r="T184" t="s">
        <v>6462</v>
      </c>
    </row>
    <row r="185" spans="1:20" x14ac:dyDescent="0.3">
      <c r="A185" t="s">
        <v>769</v>
      </c>
      <c r="B185" t="s">
        <v>6463</v>
      </c>
      <c r="C185" t="s">
        <v>6464</v>
      </c>
      <c r="D185" t="s">
        <v>6465</v>
      </c>
      <c r="E185" t="s">
        <v>16</v>
      </c>
      <c r="F185" t="s">
        <v>6466</v>
      </c>
      <c r="G185" s="2">
        <v>0.55763888888888891</v>
      </c>
      <c r="H185" t="s">
        <v>1668</v>
      </c>
      <c r="I185" t="s">
        <v>1292</v>
      </c>
      <c r="K185" s="2">
        <v>0.57222222222222219</v>
      </c>
      <c r="L185" t="s">
        <v>6467</v>
      </c>
      <c r="M185">
        <v>3081</v>
      </c>
      <c r="N185">
        <v>33</v>
      </c>
      <c r="T185" t="s">
        <v>6468</v>
      </c>
    </row>
    <row r="186" spans="1:20" x14ac:dyDescent="0.3">
      <c r="A186" t="s">
        <v>769</v>
      </c>
      <c r="B186" t="s">
        <v>6469</v>
      </c>
      <c r="C186" t="s">
        <v>6470</v>
      </c>
      <c r="D186" t="s">
        <v>6471</v>
      </c>
      <c r="E186" t="s">
        <v>16</v>
      </c>
      <c r="F186" t="s">
        <v>6472</v>
      </c>
      <c r="G186" s="2">
        <v>0.3833333333333333</v>
      </c>
      <c r="H186" t="s">
        <v>1200</v>
      </c>
      <c r="I186" t="s">
        <v>1292</v>
      </c>
      <c r="K186" s="2">
        <v>0.39305555555555555</v>
      </c>
      <c r="L186" t="s">
        <v>6473</v>
      </c>
      <c r="M186">
        <v>3079</v>
      </c>
      <c r="N186">
        <v>41</v>
      </c>
      <c r="O186">
        <v>8</v>
      </c>
    </row>
    <row r="187" spans="1:20" x14ac:dyDescent="0.3">
      <c r="A187" t="s">
        <v>769</v>
      </c>
      <c r="B187" t="s">
        <v>6474</v>
      </c>
      <c r="C187" t="s">
        <v>6475</v>
      </c>
      <c r="D187" t="s">
        <v>6476</v>
      </c>
      <c r="E187" t="s">
        <v>16</v>
      </c>
      <c r="F187" t="s">
        <v>6477</v>
      </c>
      <c r="G187" s="2">
        <v>0.37361111111111112</v>
      </c>
      <c r="H187" t="s">
        <v>1200</v>
      </c>
      <c r="I187" t="s">
        <v>1216</v>
      </c>
      <c r="K187" s="2">
        <v>0.3840277777777778</v>
      </c>
      <c r="L187" t="s">
        <v>6478</v>
      </c>
      <c r="M187">
        <v>3078</v>
      </c>
      <c r="N187">
        <v>142</v>
      </c>
      <c r="O187">
        <v>15</v>
      </c>
      <c r="S187" t="s">
        <v>965</v>
      </c>
    </row>
    <row r="188" spans="1:20" x14ac:dyDescent="0.3">
      <c r="A188" t="s">
        <v>769</v>
      </c>
      <c r="B188" t="s">
        <v>6479</v>
      </c>
      <c r="C188" t="s">
        <v>6480</v>
      </c>
      <c r="D188" t="s">
        <v>6481</v>
      </c>
      <c r="E188" t="s">
        <v>16</v>
      </c>
      <c r="F188" t="s">
        <v>6482</v>
      </c>
      <c r="G188" s="2">
        <v>0.35694444444444445</v>
      </c>
      <c r="H188" t="s">
        <v>1668</v>
      </c>
      <c r="I188" t="s">
        <v>1292</v>
      </c>
      <c r="K188" s="2">
        <v>0.37152777777777773</v>
      </c>
      <c r="L188" t="s">
        <v>6483</v>
      </c>
      <c r="M188">
        <v>3076</v>
      </c>
      <c r="N188">
        <v>147</v>
      </c>
      <c r="O188">
        <v>15</v>
      </c>
      <c r="S188" t="s">
        <v>949</v>
      </c>
    </row>
    <row r="189" spans="1:20" x14ac:dyDescent="0.3">
      <c r="A189" t="s">
        <v>769</v>
      </c>
      <c r="B189" t="s">
        <v>6484</v>
      </c>
      <c r="C189" t="s">
        <v>6485</v>
      </c>
      <c r="D189" t="s">
        <v>6486</v>
      </c>
      <c r="E189" t="s">
        <v>16</v>
      </c>
      <c r="F189" t="s">
        <v>6487</v>
      </c>
      <c r="G189" s="2">
        <v>0.3444444444444445</v>
      </c>
      <c r="H189" t="s">
        <v>1200</v>
      </c>
      <c r="I189" t="s">
        <v>1216</v>
      </c>
      <c r="K189" s="2">
        <v>0.35416666666666669</v>
      </c>
      <c r="L189" t="s">
        <v>6144</v>
      </c>
      <c r="M189">
        <v>3075</v>
      </c>
      <c r="O189">
        <v>16</v>
      </c>
      <c r="T189" t="s">
        <v>6488</v>
      </c>
    </row>
    <row r="190" spans="1:20" x14ac:dyDescent="0.3">
      <c r="A190" t="s">
        <v>773</v>
      </c>
      <c r="B190" t="s">
        <v>6489</v>
      </c>
      <c r="C190" t="s">
        <v>6490</v>
      </c>
      <c r="D190" t="s">
        <v>6491</v>
      </c>
      <c r="E190" t="s">
        <v>16</v>
      </c>
      <c r="F190" t="s">
        <v>6492</v>
      </c>
      <c r="G190" s="2">
        <v>0.45624999999999999</v>
      </c>
      <c r="H190" t="s">
        <v>1668</v>
      </c>
      <c r="I190" t="s">
        <v>1640</v>
      </c>
      <c r="K190" s="2">
        <v>0.53125</v>
      </c>
      <c r="L190" t="s">
        <v>6493</v>
      </c>
      <c r="M190">
        <v>3072</v>
      </c>
      <c r="N190">
        <v>41</v>
      </c>
      <c r="O190">
        <v>7</v>
      </c>
      <c r="T190" t="s">
        <v>6494</v>
      </c>
    </row>
    <row r="191" spans="1:20" x14ac:dyDescent="0.3">
      <c r="A191" t="s">
        <v>777</v>
      </c>
      <c r="B191" t="s">
        <v>6495</v>
      </c>
      <c r="C191" t="s">
        <v>6496</v>
      </c>
      <c r="D191" t="s">
        <v>6497</v>
      </c>
      <c r="E191" t="s">
        <v>16</v>
      </c>
      <c r="F191" t="s">
        <v>6498</v>
      </c>
      <c r="G191" s="2">
        <v>0.44027777777777777</v>
      </c>
      <c r="H191" t="s">
        <v>1668</v>
      </c>
      <c r="I191" t="s">
        <v>1292</v>
      </c>
      <c r="K191" s="2">
        <v>0.44791666666666669</v>
      </c>
    </row>
    <row r="192" spans="1:20" x14ac:dyDescent="0.3">
      <c r="A192" t="s">
        <v>780</v>
      </c>
      <c r="B192" t="s">
        <v>6499</v>
      </c>
      <c r="C192" t="s">
        <v>6500</v>
      </c>
      <c r="D192" t="s">
        <v>6501</v>
      </c>
      <c r="E192" t="s">
        <v>16</v>
      </c>
      <c r="F192" t="s">
        <v>6502</v>
      </c>
      <c r="G192" s="2">
        <v>0.4236111111111111</v>
      </c>
      <c r="H192" t="s">
        <v>1668</v>
      </c>
      <c r="I192" t="s">
        <v>1216</v>
      </c>
      <c r="K192" s="2">
        <v>0.43055555555555558</v>
      </c>
      <c r="L192" t="s">
        <v>6503</v>
      </c>
      <c r="M192">
        <v>3068</v>
      </c>
    </row>
    <row r="193" spans="1:19" x14ac:dyDescent="0.3">
      <c r="A193" t="s">
        <v>783</v>
      </c>
      <c r="B193" t="s">
        <v>6504</v>
      </c>
      <c r="C193" t="s">
        <v>6505</v>
      </c>
      <c r="D193" t="s">
        <v>6506</v>
      </c>
      <c r="E193" t="s">
        <v>16</v>
      </c>
      <c r="F193" t="s">
        <v>6507</v>
      </c>
      <c r="G193" s="2">
        <v>0.70347222222222217</v>
      </c>
      <c r="H193" t="s">
        <v>1668</v>
      </c>
      <c r="I193" t="s">
        <v>1292</v>
      </c>
      <c r="K193" s="2">
        <v>0.7090277777777777</v>
      </c>
    </row>
    <row r="194" spans="1:19" x14ac:dyDescent="0.3">
      <c r="A194" t="s">
        <v>783</v>
      </c>
      <c r="B194" t="s">
        <v>6508</v>
      </c>
      <c r="C194" t="s">
        <v>6509</v>
      </c>
      <c r="D194" t="s">
        <v>6510</v>
      </c>
      <c r="E194" t="s">
        <v>16</v>
      </c>
      <c r="F194" t="s">
        <v>6511</v>
      </c>
      <c r="G194" s="2">
        <v>0.66736111111111107</v>
      </c>
      <c r="H194" t="s">
        <v>1668</v>
      </c>
      <c r="I194" t="s">
        <v>1292</v>
      </c>
      <c r="K194" s="2">
        <v>0.68958333333333333</v>
      </c>
    </row>
    <row r="195" spans="1:19" x14ac:dyDescent="0.3">
      <c r="A195" t="s">
        <v>783</v>
      </c>
      <c r="B195" t="s">
        <v>6512</v>
      </c>
      <c r="C195" t="s">
        <v>6513</v>
      </c>
      <c r="D195" t="s">
        <v>6514</v>
      </c>
      <c r="E195" t="s">
        <v>16</v>
      </c>
      <c r="F195" t="s">
        <v>6515</v>
      </c>
      <c r="G195" s="2">
        <v>0.60347222222222219</v>
      </c>
      <c r="H195" t="s">
        <v>1668</v>
      </c>
      <c r="I195" t="s">
        <v>1292</v>
      </c>
      <c r="K195" s="2">
        <v>0.63541666666666663</v>
      </c>
    </row>
    <row r="196" spans="1:19" x14ac:dyDescent="0.3">
      <c r="A196" t="s">
        <v>787</v>
      </c>
      <c r="B196" t="s">
        <v>6516</v>
      </c>
      <c r="C196" t="s">
        <v>6517</v>
      </c>
      <c r="D196" t="s">
        <v>6518</v>
      </c>
      <c r="E196" t="s">
        <v>16</v>
      </c>
      <c r="F196" t="s">
        <v>6519</v>
      </c>
      <c r="G196" s="2">
        <v>0.4777777777777778</v>
      </c>
      <c r="H196" t="s">
        <v>1668</v>
      </c>
      <c r="I196" t="s">
        <v>1292</v>
      </c>
      <c r="K196" s="2">
        <v>0.51597222222222217</v>
      </c>
      <c r="S196" t="s">
        <v>949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040C-3A12-419D-8556-ED949957D929}">
  <dimension ref="A1:S24"/>
  <sheetViews>
    <sheetView workbookViewId="0">
      <selection activeCell="H7" sqref="H7"/>
    </sheetView>
  </sheetViews>
  <sheetFormatPr baseColWidth="10" defaultRowHeight="14.4" x14ac:dyDescent="0.3"/>
  <cols>
    <col min="4" max="4" width="27.21875" customWidth="1"/>
    <col min="6" max="6" width="28.109375" customWidth="1"/>
    <col min="8" max="8" width="26.21875" customWidth="1"/>
    <col min="11" max="11" width="20.33203125" customWidth="1"/>
    <col min="16" max="16" width="21" customWidth="1"/>
    <col min="17" max="17" width="17.109375" customWidth="1"/>
    <col min="18" max="18" width="18" customWidth="1"/>
  </cols>
  <sheetData>
    <row r="1" spans="1:19" x14ac:dyDescent="0.3">
      <c r="A1" t="s">
        <v>791</v>
      </c>
      <c r="B1" t="s">
        <v>792</v>
      </c>
      <c r="C1" t="s">
        <v>1</v>
      </c>
      <c r="D1" t="s">
        <v>2</v>
      </c>
      <c r="E1" t="s">
        <v>3</v>
      </c>
      <c r="F1" t="s">
        <v>4</v>
      </c>
      <c r="G1" t="s">
        <v>6520</v>
      </c>
      <c r="H1" t="s">
        <v>6521</v>
      </c>
      <c r="I1" t="s">
        <v>6522</v>
      </c>
      <c r="J1" t="s">
        <v>6523</v>
      </c>
      <c r="K1" t="s">
        <v>6524</v>
      </c>
      <c r="L1" t="s">
        <v>6525</v>
      </c>
      <c r="M1" t="s">
        <v>6526</v>
      </c>
      <c r="N1" t="s">
        <v>6527</v>
      </c>
      <c r="O1" t="s">
        <v>6528</v>
      </c>
      <c r="P1" t="s">
        <v>6529</v>
      </c>
      <c r="Q1" t="s">
        <v>6530</v>
      </c>
      <c r="R1" t="s">
        <v>6531</v>
      </c>
      <c r="S1" t="s">
        <v>6532</v>
      </c>
    </row>
    <row r="2" spans="1:19" x14ac:dyDescent="0.3">
      <c r="A2" t="s">
        <v>569</v>
      </c>
      <c r="B2" t="s">
        <v>6533</v>
      </c>
      <c r="C2" t="s">
        <v>6534</v>
      </c>
      <c r="D2" t="s">
        <v>6535</v>
      </c>
      <c r="E2" t="s">
        <v>16</v>
      </c>
      <c r="F2" t="s">
        <v>6536</v>
      </c>
      <c r="G2" s="2">
        <v>0.3659722222222222</v>
      </c>
      <c r="H2" t="s">
        <v>1200</v>
      </c>
      <c r="I2" t="s">
        <v>6537</v>
      </c>
      <c r="J2" t="s">
        <v>6538</v>
      </c>
      <c r="K2" t="s">
        <v>6539</v>
      </c>
      <c r="O2" s="2">
        <v>0.3666666666666667</v>
      </c>
    </row>
    <row r="3" spans="1:19" x14ac:dyDescent="0.3">
      <c r="A3" t="s">
        <v>581</v>
      </c>
      <c r="B3" t="s">
        <v>6540</v>
      </c>
      <c r="C3" t="s">
        <v>6541</v>
      </c>
      <c r="D3" t="s">
        <v>6542</v>
      </c>
      <c r="E3" t="s">
        <v>16</v>
      </c>
      <c r="F3" t="s">
        <v>6543</v>
      </c>
      <c r="G3" s="2">
        <v>0.6166666666666667</v>
      </c>
      <c r="H3" t="s">
        <v>1200</v>
      </c>
      <c r="I3" t="s">
        <v>6544</v>
      </c>
      <c r="J3" t="s">
        <v>6538</v>
      </c>
      <c r="K3" t="s">
        <v>6545</v>
      </c>
      <c r="L3" t="s">
        <v>2390</v>
      </c>
      <c r="O3" s="2">
        <v>0.62222222222222223</v>
      </c>
      <c r="P3" t="s">
        <v>6546</v>
      </c>
      <c r="Q3" t="s">
        <v>3970</v>
      </c>
      <c r="R3" t="s">
        <v>1228</v>
      </c>
    </row>
    <row r="4" spans="1:19" x14ac:dyDescent="0.3">
      <c r="A4" t="s">
        <v>581</v>
      </c>
      <c r="B4" t="s">
        <v>6547</v>
      </c>
      <c r="C4" t="s">
        <v>6548</v>
      </c>
      <c r="D4" t="s">
        <v>6549</v>
      </c>
      <c r="E4" t="s">
        <v>16</v>
      </c>
      <c r="F4" t="s">
        <v>6550</v>
      </c>
      <c r="G4" s="2">
        <v>0.56666666666666665</v>
      </c>
      <c r="H4" t="s">
        <v>1200</v>
      </c>
      <c r="I4" t="s">
        <v>6544</v>
      </c>
      <c r="J4" t="s">
        <v>6538</v>
      </c>
      <c r="K4" t="s">
        <v>6551</v>
      </c>
      <c r="L4" t="s">
        <v>1203</v>
      </c>
      <c r="O4" s="2">
        <v>0.57500000000000007</v>
      </c>
      <c r="P4" t="s">
        <v>6546</v>
      </c>
      <c r="Q4" t="s">
        <v>3970</v>
      </c>
      <c r="R4" t="s">
        <v>1203</v>
      </c>
    </row>
    <row r="5" spans="1:19" x14ac:dyDescent="0.3">
      <c r="A5" t="s">
        <v>651</v>
      </c>
      <c r="B5" t="s">
        <v>6552</v>
      </c>
      <c r="C5" t="s">
        <v>6553</v>
      </c>
      <c r="D5" t="s">
        <v>6554</v>
      </c>
      <c r="E5" t="s">
        <v>16</v>
      </c>
      <c r="F5" t="s">
        <v>6555</v>
      </c>
      <c r="G5" s="2">
        <v>0.5854166666666667</v>
      </c>
      <c r="H5" t="s">
        <v>1200</v>
      </c>
      <c r="I5" t="s">
        <v>3969</v>
      </c>
      <c r="J5" t="s">
        <v>3970</v>
      </c>
      <c r="K5" t="s">
        <v>6556</v>
      </c>
      <c r="L5" t="s">
        <v>1203</v>
      </c>
      <c r="O5" s="2">
        <v>0.59166666666666667</v>
      </c>
    </row>
    <row r="6" spans="1:19" x14ac:dyDescent="0.3">
      <c r="A6" t="s">
        <v>673</v>
      </c>
      <c r="B6" t="s">
        <v>6557</v>
      </c>
      <c r="C6" t="s">
        <v>6558</v>
      </c>
      <c r="D6" t="s">
        <v>6559</v>
      </c>
      <c r="E6" t="s">
        <v>16</v>
      </c>
      <c r="F6" t="s">
        <v>6560</v>
      </c>
      <c r="G6" s="2">
        <v>0.59305555555555556</v>
      </c>
      <c r="H6" t="s">
        <v>1668</v>
      </c>
      <c r="I6" t="s">
        <v>6544</v>
      </c>
      <c r="J6" t="s">
        <v>3970</v>
      </c>
      <c r="K6" t="s">
        <v>6561</v>
      </c>
      <c r="L6" t="s">
        <v>1203</v>
      </c>
      <c r="O6" s="2">
        <v>0.60138888888888886</v>
      </c>
      <c r="P6" t="s">
        <v>6546</v>
      </c>
      <c r="Q6" t="s">
        <v>6538</v>
      </c>
      <c r="R6" t="s">
        <v>1228</v>
      </c>
    </row>
    <row r="7" spans="1:19" x14ac:dyDescent="0.3">
      <c r="A7" t="s">
        <v>673</v>
      </c>
      <c r="B7" t="s">
        <v>6562</v>
      </c>
      <c r="C7" t="s">
        <v>6563</v>
      </c>
      <c r="D7" t="s">
        <v>6564</v>
      </c>
      <c r="E7" t="s">
        <v>16</v>
      </c>
      <c r="F7" t="s">
        <v>6565</v>
      </c>
      <c r="G7" s="2">
        <v>0.58958333333333335</v>
      </c>
      <c r="H7" t="s">
        <v>1200</v>
      </c>
      <c r="I7" t="s">
        <v>5456</v>
      </c>
      <c r="J7" t="s">
        <v>3970</v>
      </c>
      <c r="K7" t="s">
        <v>6566</v>
      </c>
      <c r="L7" t="s">
        <v>6567</v>
      </c>
      <c r="N7" t="s">
        <v>2440</v>
      </c>
      <c r="O7" s="2">
        <v>0.58958333333333335</v>
      </c>
    </row>
    <row r="8" spans="1:19" x14ac:dyDescent="0.3">
      <c r="A8" t="s">
        <v>677</v>
      </c>
      <c r="B8" t="s">
        <v>6568</v>
      </c>
      <c r="C8" t="s">
        <v>6569</v>
      </c>
      <c r="D8" t="s">
        <v>6570</v>
      </c>
      <c r="E8" t="s">
        <v>16</v>
      </c>
      <c r="F8" t="s">
        <v>6571</v>
      </c>
      <c r="G8" s="2">
        <v>0.62430555555555556</v>
      </c>
      <c r="H8" t="s">
        <v>1200</v>
      </c>
      <c r="I8" t="s">
        <v>6544</v>
      </c>
      <c r="J8" t="s">
        <v>3970</v>
      </c>
      <c r="L8" t="s">
        <v>1203</v>
      </c>
      <c r="O8" s="2">
        <v>0.64027777777777783</v>
      </c>
      <c r="P8" t="s">
        <v>6546</v>
      </c>
    </row>
    <row r="9" spans="1:19" x14ac:dyDescent="0.3">
      <c r="A9" t="s">
        <v>677</v>
      </c>
      <c r="B9" t="s">
        <v>6572</v>
      </c>
      <c r="C9" t="s">
        <v>6573</v>
      </c>
      <c r="D9" t="s">
        <v>6574</v>
      </c>
      <c r="E9" t="s">
        <v>16</v>
      </c>
      <c r="F9" t="s">
        <v>6575</v>
      </c>
      <c r="G9" s="2">
        <v>0.37916666666666665</v>
      </c>
      <c r="H9" t="s">
        <v>1668</v>
      </c>
      <c r="I9" t="s">
        <v>6544</v>
      </c>
      <c r="J9" t="s">
        <v>3970</v>
      </c>
      <c r="K9" t="s">
        <v>6576</v>
      </c>
      <c r="L9" t="s">
        <v>1203</v>
      </c>
      <c r="O9" s="2">
        <v>0.38819444444444445</v>
      </c>
      <c r="P9" t="s">
        <v>6546</v>
      </c>
      <c r="Q9" t="s">
        <v>6538</v>
      </c>
      <c r="R9" t="s">
        <v>1250</v>
      </c>
    </row>
    <row r="10" spans="1:19" x14ac:dyDescent="0.3">
      <c r="A10" t="s">
        <v>716</v>
      </c>
      <c r="B10" t="s">
        <v>6577</v>
      </c>
      <c r="C10" t="s">
        <v>6578</v>
      </c>
      <c r="D10" t="s">
        <v>6579</v>
      </c>
      <c r="E10" t="s">
        <v>16</v>
      </c>
      <c r="F10" t="s">
        <v>6580</v>
      </c>
      <c r="G10" s="2">
        <v>0.40138888888888885</v>
      </c>
      <c r="H10" t="s">
        <v>1200</v>
      </c>
      <c r="I10" t="s">
        <v>4727</v>
      </c>
      <c r="J10" t="s">
        <v>4728</v>
      </c>
      <c r="K10" t="s">
        <v>4729</v>
      </c>
      <c r="L10" t="s">
        <v>4727</v>
      </c>
      <c r="O10" s="2">
        <v>0.4055555555555555</v>
      </c>
    </row>
    <row r="11" spans="1:19" x14ac:dyDescent="0.3">
      <c r="A11" t="s">
        <v>716</v>
      </c>
      <c r="B11" t="s">
        <v>6581</v>
      </c>
      <c r="C11" t="s">
        <v>6582</v>
      </c>
      <c r="D11" t="s">
        <v>6583</v>
      </c>
      <c r="E11" t="s">
        <v>16</v>
      </c>
      <c r="F11" t="s">
        <v>6584</v>
      </c>
      <c r="G11" s="2">
        <v>0.39444444444444443</v>
      </c>
      <c r="H11" t="s">
        <v>1200</v>
      </c>
      <c r="I11" t="s">
        <v>6544</v>
      </c>
      <c r="J11" t="s">
        <v>3970</v>
      </c>
      <c r="K11" t="s">
        <v>4769</v>
      </c>
      <c r="O11" s="2">
        <v>0.39861111111111108</v>
      </c>
    </row>
    <row r="12" spans="1:19" x14ac:dyDescent="0.3">
      <c r="A12" t="s">
        <v>716</v>
      </c>
      <c r="B12" t="s">
        <v>6585</v>
      </c>
      <c r="C12" t="s">
        <v>6586</v>
      </c>
      <c r="D12" t="s">
        <v>6587</v>
      </c>
      <c r="E12" t="s">
        <v>16</v>
      </c>
      <c r="F12" t="s">
        <v>6588</v>
      </c>
      <c r="G12" s="2">
        <v>0.3034722222222222</v>
      </c>
      <c r="H12" t="s">
        <v>1668</v>
      </c>
      <c r="I12" t="s">
        <v>6544</v>
      </c>
      <c r="J12" t="s">
        <v>3970</v>
      </c>
      <c r="K12" t="s">
        <v>4769</v>
      </c>
      <c r="O12" s="2">
        <v>0.33194444444444443</v>
      </c>
      <c r="P12" t="s">
        <v>6546</v>
      </c>
    </row>
    <row r="13" spans="1:19" x14ac:dyDescent="0.3">
      <c r="A13" t="s">
        <v>716</v>
      </c>
      <c r="B13" t="s">
        <v>6589</v>
      </c>
      <c r="C13" t="s">
        <v>6590</v>
      </c>
      <c r="D13" t="s">
        <v>6591</v>
      </c>
      <c r="E13" t="s">
        <v>16</v>
      </c>
      <c r="F13" t="s">
        <v>6592</v>
      </c>
      <c r="G13" s="2">
        <v>0.2986111111111111</v>
      </c>
      <c r="H13" t="s">
        <v>1200</v>
      </c>
      <c r="I13" t="s">
        <v>3969</v>
      </c>
      <c r="J13" t="s">
        <v>4728</v>
      </c>
      <c r="K13" t="s">
        <v>4769</v>
      </c>
      <c r="O13" s="2">
        <v>0.3034722222222222</v>
      </c>
    </row>
    <row r="14" spans="1:19" x14ac:dyDescent="0.3">
      <c r="A14" t="s">
        <v>732</v>
      </c>
      <c r="B14" t="s">
        <v>6593</v>
      </c>
      <c r="C14" t="s">
        <v>6594</v>
      </c>
      <c r="D14" t="s">
        <v>6595</v>
      </c>
      <c r="E14" t="s">
        <v>16</v>
      </c>
      <c r="F14" t="s">
        <v>6596</v>
      </c>
      <c r="G14" s="2">
        <v>0.70416666666666661</v>
      </c>
      <c r="H14" t="s">
        <v>1668</v>
      </c>
      <c r="I14" t="s">
        <v>6597</v>
      </c>
      <c r="J14" t="s">
        <v>1677</v>
      </c>
      <c r="O14" s="2">
        <v>0.71250000000000002</v>
      </c>
    </row>
    <row r="15" spans="1:19" x14ac:dyDescent="0.3">
      <c r="A15" t="s">
        <v>732</v>
      </c>
      <c r="B15" t="s">
        <v>6598</v>
      </c>
      <c r="C15" t="s">
        <v>6599</v>
      </c>
      <c r="D15" t="s">
        <v>6600</v>
      </c>
      <c r="E15" t="s">
        <v>16</v>
      </c>
      <c r="F15" t="s">
        <v>6601</v>
      </c>
      <c r="G15" s="2">
        <v>0.55208333333333337</v>
      </c>
      <c r="H15" t="s">
        <v>1200</v>
      </c>
      <c r="I15" t="s">
        <v>6544</v>
      </c>
      <c r="J15" t="s">
        <v>6538</v>
      </c>
      <c r="K15" t="s">
        <v>6602</v>
      </c>
      <c r="O15" s="2">
        <v>0.59444444444444444</v>
      </c>
    </row>
    <row r="16" spans="1:19" x14ac:dyDescent="0.3">
      <c r="A16" t="s">
        <v>732</v>
      </c>
      <c r="B16" t="s">
        <v>6603</v>
      </c>
      <c r="C16" t="s">
        <v>6604</v>
      </c>
      <c r="D16" t="s">
        <v>6605</v>
      </c>
      <c r="E16" t="s">
        <v>16</v>
      </c>
      <c r="F16" t="s">
        <v>6606</v>
      </c>
      <c r="G16" s="2">
        <v>0.53402777777777777</v>
      </c>
      <c r="H16" t="s">
        <v>1668</v>
      </c>
      <c r="I16" t="s">
        <v>6544</v>
      </c>
      <c r="J16" t="s">
        <v>6538</v>
      </c>
      <c r="K16" t="s">
        <v>6602</v>
      </c>
      <c r="O16" s="2">
        <v>0.53819444444444442</v>
      </c>
      <c r="P16" t="s">
        <v>6546</v>
      </c>
      <c r="Q16" t="s">
        <v>6538</v>
      </c>
      <c r="R16" t="s">
        <v>1203</v>
      </c>
    </row>
    <row r="17" spans="1:19" x14ac:dyDescent="0.3">
      <c r="A17" t="s">
        <v>732</v>
      </c>
      <c r="B17" t="s">
        <v>6607</v>
      </c>
      <c r="C17" t="s">
        <v>6608</v>
      </c>
      <c r="D17" t="s">
        <v>6609</v>
      </c>
      <c r="E17" t="s">
        <v>16</v>
      </c>
      <c r="F17" t="s">
        <v>6610</v>
      </c>
      <c r="G17" s="2">
        <v>0.51041666666666663</v>
      </c>
      <c r="H17" t="s">
        <v>1200</v>
      </c>
      <c r="I17" t="s">
        <v>3969</v>
      </c>
      <c r="J17" t="s">
        <v>3970</v>
      </c>
      <c r="K17" t="s">
        <v>6611</v>
      </c>
      <c r="O17" s="2">
        <v>0.52638888888888891</v>
      </c>
    </row>
    <row r="18" spans="1:19" x14ac:dyDescent="0.3">
      <c r="A18" t="s">
        <v>732</v>
      </c>
      <c r="B18" t="s">
        <v>6612</v>
      </c>
      <c r="C18" t="s">
        <v>6613</v>
      </c>
      <c r="D18" t="s">
        <v>6614</v>
      </c>
      <c r="E18" t="s">
        <v>16</v>
      </c>
      <c r="F18" t="s">
        <v>6615</v>
      </c>
      <c r="G18" s="2">
        <v>0.5083333333333333</v>
      </c>
      <c r="H18" t="s">
        <v>1200</v>
      </c>
      <c r="I18" t="s">
        <v>6544</v>
      </c>
      <c r="J18" t="s">
        <v>6538</v>
      </c>
      <c r="K18" t="s">
        <v>6611</v>
      </c>
      <c r="L18" t="s">
        <v>1203</v>
      </c>
      <c r="O18" s="2">
        <v>0.52569444444444446</v>
      </c>
      <c r="P18" t="s">
        <v>6546</v>
      </c>
      <c r="Q18" t="s">
        <v>3970</v>
      </c>
      <c r="R18" t="s">
        <v>6616</v>
      </c>
    </row>
    <row r="19" spans="1:19" x14ac:dyDescent="0.3">
      <c r="A19" t="s">
        <v>740</v>
      </c>
      <c r="B19" t="s">
        <v>6617</v>
      </c>
      <c r="C19" t="s">
        <v>6618</v>
      </c>
      <c r="D19" t="s">
        <v>6619</v>
      </c>
      <c r="E19" t="s">
        <v>16</v>
      </c>
      <c r="F19" t="s">
        <v>6620</v>
      </c>
      <c r="G19" s="2">
        <v>0.54097222222222219</v>
      </c>
      <c r="H19" t="s">
        <v>1200</v>
      </c>
      <c r="I19" t="s">
        <v>4727</v>
      </c>
      <c r="J19" t="s">
        <v>3970</v>
      </c>
      <c r="K19" t="s">
        <v>6621</v>
      </c>
      <c r="L19" t="s">
        <v>6622</v>
      </c>
      <c r="O19" s="2">
        <v>0.54791666666666672</v>
      </c>
      <c r="S19" t="s">
        <v>6623</v>
      </c>
    </row>
    <row r="20" spans="1:19" x14ac:dyDescent="0.3">
      <c r="A20" t="s">
        <v>780</v>
      </c>
      <c r="B20" t="s">
        <v>6624</v>
      </c>
      <c r="C20" t="s">
        <v>6625</v>
      </c>
      <c r="D20" t="s">
        <v>6626</v>
      </c>
      <c r="E20" t="s">
        <v>16</v>
      </c>
      <c r="F20" t="s">
        <v>6627</v>
      </c>
      <c r="G20" s="2">
        <v>0.38958333333333334</v>
      </c>
      <c r="H20" t="s">
        <v>1200</v>
      </c>
      <c r="I20" t="s">
        <v>4727</v>
      </c>
      <c r="J20" t="s">
        <v>6538</v>
      </c>
      <c r="K20" t="s">
        <v>6628</v>
      </c>
      <c r="L20" t="s">
        <v>1202</v>
      </c>
      <c r="O20" s="2">
        <v>0.39166666666666666</v>
      </c>
    </row>
    <row r="21" spans="1:19" x14ac:dyDescent="0.3">
      <c r="A21" t="s">
        <v>787</v>
      </c>
      <c r="B21" t="s">
        <v>6629</v>
      </c>
      <c r="C21" t="s">
        <v>6630</v>
      </c>
      <c r="D21" t="s">
        <v>6631</v>
      </c>
      <c r="E21" t="s">
        <v>16</v>
      </c>
      <c r="F21" t="s">
        <v>6632</v>
      </c>
      <c r="G21" s="2">
        <v>0.56458333333333333</v>
      </c>
      <c r="H21" t="s">
        <v>1668</v>
      </c>
      <c r="I21" t="s">
        <v>6544</v>
      </c>
      <c r="J21" t="s">
        <v>6538</v>
      </c>
      <c r="K21" t="s">
        <v>6633</v>
      </c>
      <c r="L21" t="s">
        <v>1203</v>
      </c>
      <c r="O21" s="2">
        <v>0.56874999999999998</v>
      </c>
    </row>
    <row r="22" spans="1:19" x14ac:dyDescent="0.3">
      <c r="A22" t="s">
        <v>787</v>
      </c>
      <c r="B22" t="s">
        <v>6634</v>
      </c>
      <c r="C22" t="s">
        <v>6635</v>
      </c>
      <c r="D22" t="s">
        <v>6636</v>
      </c>
      <c r="E22" t="s">
        <v>16</v>
      </c>
      <c r="F22" t="s">
        <v>6637</v>
      </c>
      <c r="G22" s="2">
        <v>0.55694444444444446</v>
      </c>
      <c r="H22" t="s">
        <v>1668</v>
      </c>
      <c r="I22" t="s">
        <v>6638</v>
      </c>
      <c r="J22" t="s">
        <v>6538</v>
      </c>
      <c r="K22" t="s">
        <v>6633</v>
      </c>
      <c r="L22" t="s">
        <v>6616</v>
      </c>
      <c r="O22" s="2">
        <v>0.5625</v>
      </c>
      <c r="P22" t="s">
        <v>6639</v>
      </c>
      <c r="Q22" t="s">
        <v>6538</v>
      </c>
      <c r="R22" t="s">
        <v>1203</v>
      </c>
    </row>
    <row r="23" spans="1:19" x14ac:dyDescent="0.3">
      <c r="A23" t="s">
        <v>787</v>
      </c>
      <c r="B23" t="s">
        <v>6640</v>
      </c>
      <c r="C23" t="s">
        <v>6641</v>
      </c>
      <c r="D23" t="s">
        <v>6642</v>
      </c>
      <c r="E23" t="s">
        <v>16</v>
      </c>
      <c r="F23" t="s">
        <v>6643</v>
      </c>
      <c r="G23" s="2">
        <v>0.41319444444444442</v>
      </c>
      <c r="H23" t="s">
        <v>1200</v>
      </c>
      <c r="I23" t="s">
        <v>6638</v>
      </c>
      <c r="J23" t="s">
        <v>6538</v>
      </c>
      <c r="K23" t="s">
        <v>6633</v>
      </c>
      <c r="L23" t="s">
        <v>6644</v>
      </c>
      <c r="N23" t="s">
        <v>2613</v>
      </c>
      <c r="O23" s="2">
        <v>0.44375000000000003</v>
      </c>
      <c r="P23" t="s">
        <v>6639</v>
      </c>
      <c r="Q23" t="s">
        <v>6538</v>
      </c>
    </row>
    <row r="24" spans="1:19" x14ac:dyDescent="0.3">
      <c r="A24" t="s">
        <v>787</v>
      </c>
      <c r="B24" t="s">
        <v>6645</v>
      </c>
      <c r="C24" t="s">
        <v>6646</v>
      </c>
      <c r="D24" t="s">
        <v>6647</v>
      </c>
      <c r="E24" t="s">
        <v>16</v>
      </c>
      <c r="F24" t="s">
        <v>6648</v>
      </c>
      <c r="G24" s="2">
        <v>0.39513888888888887</v>
      </c>
      <c r="H24" t="s">
        <v>1668</v>
      </c>
      <c r="I24" t="s">
        <v>6638</v>
      </c>
      <c r="J24" t="s">
        <v>3970</v>
      </c>
      <c r="K24" t="s">
        <v>6649</v>
      </c>
      <c r="L24" t="s">
        <v>1202</v>
      </c>
      <c r="N24" t="s">
        <v>2613</v>
      </c>
      <c r="O24" s="2">
        <v>0.44236111111111115</v>
      </c>
      <c r="P24" t="s">
        <v>6639</v>
      </c>
      <c r="Q24" t="s">
        <v>6538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2A5B-1E42-4CF1-A90C-5AD6EC59FEA4}">
  <dimension ref="A1:Z272"/>
  <sheetViews>
    <sheetView zoomScale="82" workbookViewId="0">
      <selection activeCell="V240" sqref="V240"/>
    </sheetView>
  </sheetViews>
  <sheetFormatPr baseColWidth="10" defaultRowHeight="14.4" x14ac:dyDescent="0.3"/>
  <cols>
    <col min="3" max="3" width="32.21875" customWidth="1"/>
    <col min="4" max="4" width="31.109375" customWidth="1"/>
    <col min="10" max="10" width="22.21875" customWidth="1"/>
    <col min="11" max="11" width="23.109375" customWidth="1"/>
    <col min="12" max="12" width="30.5546875" customWidth="1"/>
    <col min="13" max="13" width="28" customWidth="1"/>
    <col min="14" max="14" width="21.6640625" customWidth="1"/>
    <col min="15" max="15" width="24.33203125" customWidth="1"/>
    <col min="16" max="16" width="23.21875" customWidth="1"/>
    <col min="17" max="17" width="12.44140625" customWidth="1"/>
    <col min="18" max="18" width="19.44140625" customWidth="1"/>
    <col min="19" max="19" width="22" customWidth="1"/>
    <col min="20" max="20" width="17.88671875" customWidth="1"/>
    <col min="21" max="21" width="18.44140625" customWidth="1"/>
    <col min="22" max="22" width="21.6640625" customWidth="1"/>
    <col min="23" max="23" width="18.88671875" customWidth="1"/>
    <col min="24" max="24" width="28.88671875" customWidth="1"/>
    <col min="25" max="25" width="21.21875" customWidth="1"/>
  </cols>
  <sheetData>
    <row r="1" spans="1:26" x14ac:dyDescent="0.3">
      <c r="A1" t="s">
        <v>791</v>
      </c>
      <c r="B1" t="s">
        <v>792</v>
      </c>
      <c r="C1" t="s">
        <v>1</v>
      </c>
      <c r="D1" t="s">
        <v>2</v>
      </c>
      <c r="E1" t="s">
        <v>3</v>
      </c>
      <c r="F1" t="s">
        <v>4</v>
      </c>
      <c r="G1" t="s">
        <v>6650</v>
      </c>
      <c r="H1" t="s">
        <v>6651</v>
      </c>
      <c r="I1" t="s">
        <v>6652</v>
      </c>
      <c r="J1" t="s">
        <v>6653</v>
      </c>
      <c r="K1" t="s">
        <v>6654</v>
      </c>
      <c r="L1" t="s">
        <v>7910</v>
      </c>
      <c r="M1" t="s">
        <v>6655</v>
      </c>
      <c r="N1" t="s">
        <v>6656</v>
      </c>
      <c r="O1" t="s">
        <v>6657</v>
      </c>
      <c r="P1" t="s">
        <v>6658</v>
      </c>
      <c r="Q1" t="s">
        <v>6659</v>
      </c>
      <c r="R1" t="s">
        <v>6660</v>
      </c>
      <c r="S1" t="s">
        <v>6661</v>
      </c>
      <c r="T1" t="s">
        <v>6662</v>
      </c>
      <c r="U1" t="s">
        <v>6663</v>
      </c>
      <c r="V1" t="s">
        <v>6664</v>
      </c>
      <c r="W1" t="s">
        <v>6665</v>
      </c>
      <c r="X1" t="s">
        <v>6666</v>
      </c>
      <c r="Y1" t="s">
        <v>6667</v>
      </c>
      <c r="Z1" t="s">
        <v>6668</v>
      </c>
    </row>
    <row r="2" spans="1:26" x14ac:dyDescent="0.3">
      <c r="A2" t="s">
        <v>494</v>
      </c>
      <c r="B2" t="s">
        <v>6669</v>
      </c>
      <c r="C2" t="s">
        <v>6670</v>
      </c>
      <c r="D2" t="s">
        <v>6671</v>
      </c>
      <c r="E2" t="s">
        <v>16</v>
      </c>
      <c r="F2" t="s">
        <v>6672</v>
      </c>
      <c r="G2" s="2">
        <v>0.58333333333333337</v>
      </c>
      <c r="H2" t="s">
        <v>6673</v>
      </c>
      <c r="I2">
        <v>3548</v>
      </c>
      <c r="J2">
        <v>2</v>
      </c>
      <c r="K2">
        <v>3</v>
      </c>
      <c r="L2">
        <v>3</v>
      </c>
      <c r="N2">
        <v>1</v>
      </c>
      <c r="S2">
        <v>1</v>
      </c>
      <c r="V2">
        <v>3</v>
      </c>
    </row>
    <row r="3" spans="1:26" x14ac:dyDescent="0.3">
      <c r="A3" t="s">
        <v>494</v>
      </c>
      <c r="B3" t="s">
        <v>6674</v>
      </c>
      <c r="C3" t="s">
        <v>6675</v>
      </c>
      <c r="D3" t="s">
        <v>6676</v>
      </c>
      <c r="E3" t="s">
        <v>16</v>
      </c>
      <c r="F3" t="s">
        <v>6677</v>
      </c>
      <c r="G3" s="2">
        <v>0.5625</v>
      </c>
      <c r="H3" t="s">
        <v>6678</v>
      </c>
      <c r="I3">
        <v>3547</v>
      </c>
      <c r="J3">
        <v>2</v>
      </c>
      <c r="K3">
        <v>3</v>
      </c>
      <c r="L3">
        <v>3</v>
      </c>
      <c r="N3">
        <v>1</v>
      </c>
      <c r="S3">
        <v>1</v>
      </c>
      <c r="V3">
        <v>3</v>
      </c>
    </row>
    <row r="4" spans="1:26" x14ac:dyDescent="0.3">
      <c r="A4" t="s">
        <v>494</v>
      </c>
      <c r="B4" t="s">
        <v>6679</v>
      </c>
      <c r="C4" t="s">
        <v>6680</v>
      </c>
      <c r="D4" t="s">
        <v>6681</v>
      </c>
      <c r="E4" t="s">
        <v>16</v>
      </c>
      <c r="F4" t="s">
        <v>6682</v>
      </c>
      <c r="G4" s="2">
        <v>0.55208333333333337</v>
      </c>
      <c r="H4" t="s">
        <v>6678</v>
      </c>
      <c r="I4">
        <v>3545</v>
      </c>
      <c r="J4">
        <v>2</v>
      </c>
      <c r="K4">
        <v>3</v>
      </c>
      <c r="L4">
        <v>3</v>
      </c>
      <c r="N4">
        <v>1</v>
      </c>
      <c r="S4">
        <v>1</v>
      </c>
      <c r="V4">
        <v>3</v>
      </c>
    </row>
    <row r="5" spans="1:26" x14ac:dyDescent="0.3">
      <c r="A5" t="s">
        <v>494</v>
      </c>
      <c r="B5" t="s">
        <v>6683</v>
      </c>
      <c r="C5" t="s">
        <v>6684</v>
      </c>
      <c r="D5" t="s">
        <v>6685</v>
      </c>
      <c r="E5" t="s">
        <v>16</v>
      </c>
      <c r="F5" t="s">
        <v>6686</v>
      </c>
      <c r="G5" s="2">
        <v>0.54166666666666663</v>
      </c>
      <c r="H5" t="s">
        <v>6678</v>
      </c>
      <c r="I5">
        <v>3544</v>
      </c>
      <c r="J5">
        <v>2</v>
      </c>
      <c r="K5">
        <v>3</v>
      </c>
      <c r="L5">
        <v>3</v>
      </c>
      <c r="N5">
        <v>1</v>
      </c>
      <c r="S5">
        <v>1</v>
      </c>
      <c r="V5">
        <v>3</v>
      </c>
    </row>
    <row r="6" spans="1:26" x14ac:dyDescent="0.3">
      <c r="A6" t="s">
        <v>494</v>
      </c>
      <c r="B6" t="s">
        <v>6687</v>
      </c>
      <c r="C6" t="s">
        <v>6688</v>
      </c>
      <c r="D6" t="s">
        <v>6689</v>
      </c>
      <c r="E6" t="s">
        <v>16</v>
      </c>
      <c r="F6" t="s">
        <v>6690</v>
      </c>
      <c r="G6" s="2">
        <v>0.53125</v>
      </c>
      <c r="H6" t="s">
        <v>6678</v>
      </c>
      <c r="I6">
        <v>3542</v>
      </c>
      <c r="J6">
        <v>2</v>
      </c>
      <c r="K6">
        <v>3</v>
      </c>
      <c r="L6">
        <v>3</v>
      </c>
      <c r="N6">
        <v>1</v>
      </c>
      <c r="S6">
        <v>1</v>
      </c>
      <c r="V6">
        <v>3</v>
      </c>
    </row>
    <row r="7" spans="1:26" x14ac:dyDescent="0.3">
      <c r="A7" t="s">
        <v>494</v>
      </c>
      <c r="B7" t="s">
        <v>6691</v>
      </c>
      <c r="C7" t="s">
        <v>6692</v>
      </c>
      <c r="D7" t="s">
        <v>6693</v>
      </c>
      <c r="E7" t="s">
        <v>16</v>
      </c>
      <c r="F7" t="s">
        <v>6694</v>
      </c>
      <c r="G7" s="2">
        <v>0.52083333333333337</v>
      </c>
      <c r="H7" t="s">
        <v>6678</v>
      </c>
      <c r="I7">
        <v>3541</v>
      </c>
      <c r="J7">
        <v>2</v>
      </c>
      <c r="K7">
        <v>3</v>
      </c>
      <c r="L7">
        <v>3</v>
      </c>
      <c r="N7">
        <v>1</v>
      </c>
      <c r="S7">
        <v>1</v>
      </c>
      <c r="V7">
        <v>3</v>
      </c>
    </row>
    <row r="8" spans="1:26" x14ac:dyDescent="0.3">
      <c r="A8" t="s">
        <v>502</v>
      </c>
      <c r="B8" t="s">
        <v>6695</v>
      </c>
      <c r="C8" t="s">
        <v>6696</v>
      </c>
      <c r="D8" t="s">
        <v>6697</v>
      </c>
      <c r="E8" t="s">
        <v>16</v>
      </c>
      <c r="F8" t="s">
        <v>6698</v>
      </c>
      <c r="G8" s="2">
        <v>0.51041666666666663</v>
      </c>
      <c r="H8" t="s">
        <v>6678</v>
      </c>
      <c r="I8">
        <v>3540</v>
      </c>
      <c r="J8">
        <v>2</v>
      </c>
      <c r="K8">
        <v>3</v>
      </c>
      <c r="L8">
        <v>3</v>
      </c>
      <c r="N8">
        <v>1</v>
      </c>
      <c r="S8">
        <v>1</v>
      </c>
      <c r="V8">
        <v>3</v>
      </c>
    </row>
    <row r="9" spans="1:26" x14ac:dyDescent="0.3">
      <c r="A9" t="s">
        <v>502</v>
      </c>
      <c r="B9" t="s">
        <v>6699</v>
      </c>
      <c r="C9" t="s">
        <v>6700</v>
      </c>
      <c r="D9" t="s">
        <v>6701</v>
      </c>
      <c r="E9" t="s">
        <v>16</v>
      </c>
      <c r="F9" t="s">
        <v>6702</v>
      </c>
      <c r="G9" s="2">
        <v>0.5</v>
      </c>
      <c r="H9" t="s">
        <v>6678</v>
      </c>
      <c r="I9">
        <v>3539</v>
      </c>
      <c r="J9">
        <v>2</v>
      </c>
      <c r="K9">
        <v>3</v>
      </c>
      <c r="L9">
        <v>3</v>
      </c>
      <c r="N9">
        <v>1</v>
      </c>
      <c r="S9">
        <v>1</v>
      </c>
      <c r="V9">
        <v>3</v>
      </c>
    </row>
    <row r="10" spans="1:26" x14ac:dyDescent="0.3">
      <c r="A10" t="s">
        <v>502</v>
      </c>
      <c r="B10" t="s">
        <v>6703</v>
      </c>
      <c r="C10" t="s">
        <v>6704</v>
      </c>
      <c r="D10" t="s">
        <v>6705</v>
      </c>
      <c r="E10" t="s">
        <v>16</v>
      </c>
      <c r="F10" t="s">
        <v>6706</v>
      </c>
      <c r="G10" s="2">
        <v>0.48958333333333331</v>
      </c>
      <c r="H10" t="s">
        <v>6678</v>
      </c>
      <c r="I10">
        <v>3538</v>
      </c>
      <c r="J10">
        <v>2</v>
      </c>
      <c r="K10">
        <v>3</v>
      </c>
      <c r="L10">
        <v>3</v>
      </c>
      <c r="N10">
        <v>1</v>
      </c>
      <c r="S10">
        <v>1</v>
      </c>
      <c r="V10">
        <v>3</v>
      </c>
    </row>
    <row r="11" spans="1:26" x14ac:dyDescent="0.3">
      <c r="A11" t="s">
        <v>502</v>
      </c>
      <c r="B11" t="s">
        <v>6707</v>
      </c>
      <c r="C11" t="s">
        <v>6708</v>
      </c>
      <c r="D11" t="s">
        <v>6709</v>
      </c>
      <c r="E11" t="s">
        <v>16</v>
      </c>
      <c r="F11" t="s">
        <v>6710</v>
      </c>
      <c r="G11" s="2">
        <v>0.47916666666666669</v>
      </c>
      <c r="H11" t="s">
        <v>6678</v>
      </c>
      <c r="I11">
        <v>3537</v>
      </c>
      <c r="J11">
        <v>2</v>
      </c>
      <c r="K11">
        <v>3</v>
      </c>
      <c r="L11">
        <v>3</v>
      </c>
      <c r="N11">
        <v>1</v>
      </c>
      <c r="S11">
        <v>1</v>
      </c>
      <c r="V11">
        <v>3</v>
      </c>
    </row>
    <row r="12" spans="1:26" x14ac:dyDescent="0.3">
      <c r="A12" t="s">
        <v>502</v>
      </c>
      <c r="B12" t="s">
        <v>6711</v>
      </c>
      <c r="C12" t="s">
        <v>6712</v>
      </c>
      <c r="D12" t="s">
        <v>6713</v>
      </c>
      <c r="E12" t="s">
        <v>16</v>
      </c>
      <c r="F12" t="s">
        <v>6714</v>
      </c>
      <c r="G12" s="2">
        <v>0.46875</v>
      </c>
      <c r="H12" t="s">
        <v>6678</v>
      </c>
      <c r="I12">
        <v>3535</v>
      </c>
      <c r="J12">
        <v>2</v>
      </c>
      <c r="K12">
        <v>3</v>
      </c>
      <c r="L12">
        <v>3</v>
      </c>
      <c r="N12">
        <v>1</v>
      </c>
      <c r="S12">
        <v>1</v>
      </c>
      <c r="V12">
        <v>3</v>
      </c>
    </row>
    <row r="13" spans="1:26" x14ac:dyDescent="0.3">
      <c r="A13" t="s">
        <v>502</v>
      </c>
      <c r="B13" t="s">
        <v>6715</v>
      </c>
      <c r="C13" t="s">
        <v>6716</v>
      </c>
      <c r="D13" t="s">
        <v>6717</v>
      </c>
      <c r="E13" t="s">
        <v>16</v>
      </c>
      <c r="F13" t="s">
        <v>6718</v>
      </c>
      <c r="G13" s="2">
        <v>0.45833333333333331</v>
      </c>
      <c r="H13" t="s">
        <v>6678</v>
      </c>
      <c r="I13">
        <v>3533</v>
      </c>
      <c r="J13">
        <v>2</v>
      </c>
      <c r="K13">
        <v>3</v>
      </c>
      <c r="L13">
        <v>3</v>
      </c>
      <c r="N13">
        <v>1</v>
      </c>
      <c r="S13">
        <v>1</v>
      </c>
      <c r="V13">
        <v>3</v>
      </c>
    </row>
    <row r="14" spans="1:26" x14ac:dyDescent="0.3">
      <c r="A14" t="s">
        <v>502</v>
      </c>
      <c r="B14" t="s">
        <v>6719</v>
      </c>
      <c r="C14" t="s">
        <v>6720</v>
      </c>
      <c r="D14" t="s">
        <v>6721</v>
      </c>
      <c r="E14" t="s">
        <v>16</v>
      </c>
      <c r="F14" t="s">
        <v>6722</v>
      </c>
      <c r="G14" s="2">
        <v>0.44791666666666669</v>
      </c>
      <c r="H14" t="s">
        <v>6678</v>
      </c>
      <c r="I14">
        <v>3531</v>
      </c>
      <c r="J14">
        <v>2</v>
      </c>
      <c r="K14">
        <v>3</v>
      </c>
      <c r="L14">
        <v>3</v>
      </c>
      <c r="N14">
        <v>1</v>
      </c>
      <c r="S14">
        <v>1</v>
      </c>
      <c r="V14">
        <v>3</v>
      </c>
    </row>
    <row r="15" spans="1:26" x14ac:dyDescent="0.3">
      <c r="A15" t="s">
        <v>502</v>
      </c>
      <c r="B15" t="s">
        <v>6723</v>
      </c>
      <c r="C15" t="s">
        <v>6724</v>
      </c>
      <c r="D15" t="s">
        <v>6725</v>
      </c>
      <c r="E15" t="s">
        <v>16</v>
      </c>
      <c r="F15" t="s">
        <v>6726</v>
      </c>
      <c r="G15" s="2">
        <v>0.4375</v>
      </c>
      <c r="H15" t="s">
        <v>6673</v>
      </c>
      <c r="I15">
        <v>3530</v>
      </c>
      <c r="J15">
        <v>2</v>
      </c>
      <c r="K15">
        <v>3</v>
      </c>
      <c r="L15">
        <v>3</v>
      </c>
      <c r="N15">
        <v>1</v>
      </c>
      <c r="S15">
        <v>1</v>
      </c>
      <c r="V15">
        <v>3</v>
      </c>
    </row>
    <row r="16" spans="1:26" x14ac:dyDescent="0.3">
      <c r="A16" t="s">
        <v>508</v>
      </c>
      <c r="B16" t="s">
        <v>6727</v>
      </c>
      <c r="C16" t="s">
        <v>6728</v>
      </c>
      <c r="D16" t="s">
        <v>6729</v>
      </c>
      <c r="E16" t="s">
        <v>16</v>
      </c>
      <c r="F16" t="s">
        <v>6730</v>
      </c>
      <c r="G16" s="2">
        <v>0.70833333333333337</v>
      </c>
      <c r="H16" t="s">
        <v>6678</v>
      </c>
      <c r="I16">
        <v>3528</v>
      </c>
      <c r="J16">
        <v>2</v>
      </c>
      <c r="K16">
        <v>3</v>
      </c>
      <c r="L16">
        <v>3</v>
      </c>
      <c r="N16">
        <v>1</v>
      </c>
      <c r="S16">
        <v>1</v>
      </c>
      <c r="V16">
        <v>3</v>
      </c>
    </row>
    <row r="17" spans="1:22" x14ac:dyDescent="0.3">
      <c r="A17" t="s">
        <v>508</v>
      </c>
      <c r="B17" t="s">
        <v>6731</v>
      </c>
      <c r="C17" t="s">
        <v>6732</v>
      </c>
      <c r="D17" t="s">
        <v>6733</v>
      </c>
      <c r="E17" t="s">
        <v>16</v>
      </c>
      <c r="F17" t="s">
        <v>6734</v>
      </c>
      <c r="G17" s="2">
        <v>0.63541666666666663</v>
      </c>
      <c r="H17" t="s">
        <v>6678</v>
      </c>
      <c r="I17">
        <v>3526</v>
      </c>
      <c r="J17">
        <v>2</v>
      </c>
      <c r="K17">
        <v>3</v>
      </c>
      <c r="L17">
        <v>3</v>
      </c>
      <c r="N17">
        <v>1</v>
      </c>
      <c r="S17">
        <v>1</v>
      </c>
      <c r="V17">
        <v>3</v>
      </c>
    </row>
    <row r="18" spans="1:22" x14ac:dyDescent="0.3">
      <c r="A18" t="s">
        <v>508</v>
      </c>
      <c r="B18" t="s">
        <v>6735</v>
      </c>
      <c r="C18" t="s">
        <v>6736</v>
      </c>
      <c r="D18" t="s">
        <v>6737</v>
      </c>
      <c r="E18" t="s">
        <v>16</v>
      </c>
      <c r="F18" t="s">
        <v>6738</v>
      </c>
      <c r="G18" s="2">
        <v>0.53125</v>
      </c>
      <c r="H18" t="s">
        <v>6678</v>
      </c>
      <c r="I18">
        <v>3523</v>
      </c>
      <c r="J18">
        <v>2</v>
      </c>
      <c r="K18">
        <v>3</v>
      </c>
      <c r="L18">
        <v>3</v>
      </c>
      <c r="N18">
        <v>1</v>
      </c>
      <c r="S18">
        <v>1</v>
      </c>
      <c r="V18">
        <v>3</v>
      </c>
    </row>
    <row r="19" spans="1:22" x14ac:dyDescent="0.3">
      <c r="A19" t="s">
        <v>508</v>
      </c>
      <c r="B19" t="s">
        <v>6739</v>
      </c>
      <c r="C19" t="s">
        <v>6740</v>
      </c>
      <c r="D19" t="s">
        <v>6741</v>
      </c>
      <c r="E19" t="s">
        <v>16</v>
      </c>
      <c r="F19" t="s">
        <v>6742</v>
      </c>
      <c r="G19" s="2">
        <v>0.48958333333333331</v>
      </c>
      <c r="H19" t="s">
        <v>6678</v>
      </c>
      <c r="I19">
        <v>3522</v>
      </c>
      <c r="J19">
        <v>2</v>
      </c>
      <c r="K19">
        <v>3</v>
      </c>
      <c r="L19">
        <v>3</v>
      </c>
      <c r="N19">
        <v>1</v>
      </c>
      <c r="S19">
        <v>1</v>
      </c>
      <c r="V19">
        <v>3</v>
      </c>
    </row>
    <row r="20" spans="1:22" x14ac:dyDescent="0.3">
      <c r="A20" t="s">
        <v>508</v>
      </c>
      <c r="B20" t="s">
        <v>6743</v>
      </c>
      <c r="C20" t="s">
        <v>6744</v>
      </c>
      <c r="D20" t="s">
        <v>6745</v>
      </c>
      <c r="E20" t="s">
        <v>16</v>
      </c>
      <c r="F20" t="s">
        <v>6746</v>
      </c>
      <c r="G20" s="2">
        <v>0.41666666666666669</v>
      </c>
      <c r="H20" t="s">
        <v>551</v>
      </c>
      <c r="I20">
        <v>3521</v>
      </c>
      <c r="J20">
        <v>2</v>
      </c>
      <c r="K20">
        <v>3</v>
      </c>
      <c r="L20">
        <v>3</v>
      </c>
      <c r="N20">
        <v>1</v>
      </c>
      <c r="S20">
        <v>1</v>
      </c>
      <c r="V20">
        <v>3</v>
      </c>
    </row>
    <row r="21" spans="1:22" x14ac:dyDescent="0.3">
      <c r="A21" t="s">
        <v>508</v>
      </c>
      <c r="B21" t="s">
        <v>6747</v>
      </c>
      <c r="C21" t="s">
        <v>6748</v>
      </c>
      <c r="D21" t="s">
        <v>6749</v>
      </c>
      <c r="E21" t="s">
        <v>16</v>
      </c>
      <c r="F21" t="s">
        <v>6750</v>
      </c>
      <c r="G21" s="2">
        <v>0.40625</v>
      </c>
      <c r="H21" t="s">
        <v>551</v>
      </c>
      <c r="I21">
        <v>3519</v>
      </c>
      <c r="J21">
        <v>2</v>
      </c>
      <c r="K21">
        <v>3</v>
      </c>
      <c r="L21">
        <v>3</v>
      </c>
      <c r="N21">
        <v>1</v>
      </c>
      <c r="S21">
        <v>1</v>
      </c>
      <c r="V21">
        <v>3</v>
      </c>
    </row>
    <row r="22" spans="1:22" x14ac:dyDescent="0.3">
      <c r="A22" t="s">
        <v>508</v>
      </c>
      <c r="B22" t="s">
        <v>6751</v>
      </c>
      <c r="C22" t="s">
        <v>6752</v>
      </c>
      <c r="D22" t="s">
        <v>6753</v>
      </c>
      <c r="E22" t="s">
        <v>16</v>
      </c>
      <c r="F22" t="s">
        <v>6754</v>
      </c>
      <c r="G22" s="2">
        <v>0.39583333333333331</v>
      </c>
      <c r="H22" t="s">
        <v>6678</v>
      </c>
      <c r="I22">
        <v>3517</v>
      </c>
      <c r="J22">
        <v>2</v>
      </c>
      <c r="K22">
        <v>3</v>
      </c>
      <c r="L22">
        <v>3</v>
      </c>
      <c r="N22">
        <v>1</v>
      </c>
      <c r="S22">
        <v>1</v>
      </c>
      <c r="V22">
        <v>3</v>
      </c>
    </row>
    <row r="23" spans="1:22" x14ac:dyDescent="0.3">
      <c r="A23" t="s">
        <v>508</v>
      </c>
      <c r="B23" t="s">
        <v>6755</v>
      </c>
      <c r="C23" t="s">
        <v>6756</v>
      </c>
      <c r="D23" t="s">
        <v>6757</v>
      </c>
      <c r="E23" t="s">
        <v>16</v>
      </c>
      <c r="F23" t="s">
        <v>6758</v>
      </c>
      <c r="G23" s="2">
        <v>0.38541666666666669</v>
      </c>
      <c r="H23" t="s">
        <v>551</v>
      </c>
      <c r="I23">
        <v>3515</v>
      </c>
      <c r="J23">
        <v>2</v>
      </c>
      <c r="K23">
        <v>3</v>
      </c>
      <c r="L23">
        <v>3</v>
      </c>
      <c r="N23">
        <v>1</v>
      </c>
      <c r="S23">
        <v>1</v>
      </c>
    </row>
    <row r="24" spans="1:22" x14ac:dyDescent="0.3">
      <c r="A24" t="s">
        <v>508</v>
      </c>
      <c r="B24" t="s">
        <v>6759</v>
      </c>
      <c r="C24" t="s">
        <v>6760</v>
      </c>
      <c r="D24" t="s">
        <v>6761</v>
      </c>
      <c r="E24" t="s">
        <v>16</v>
      </c>
      <c r="F24" t="s">
        <v>6762</v>
      </c>
      <c r="G24" s="2">
        <v>0.36458333333333331</v>
      </c>
      <c r="H24" t="s">
        <v>551</v>
      </c>
      <c r="I24">
        <v>3513</v>
      </c>
      <c r="J24">
        <v>2</v>
      </c>
      <c r="K24">
        <v>3</v>
      </c>
      <c r="L24">
        <v>2</v>
      </c>
      <c r="N24">
        <v>1</v>
      </c>
      <c r="S24">
        <v>1</v>
      </c>
      <c r="V24">
        <v>3</v>
      </c>
    </row>
    <row r="25" spans="1:22" x14ac:dyDescent="0.3">
      <c r="A25" t="s">
        <v>508</v>
      </c>
      <c r="B25" t="s">
        <v>6763</v>
      </c>
      <c r="C25" t="s">
        <v>6764</v>
      </c>
      <c r="D25" t="s">
        <v>6765</v>
      </c>
      <c r="E25" t="s">
        <v>16</v>
      </c>
      <c r="F25" t="s">
        <v>6766</v>
      </c>
      <c r="G25" s="2">
        <v>0.34375</v>
      </c>
      <c r="H25" t="s">
        <v>551</v>
      </c>
      <c r="I25">
        <v>3512</v>
      </c>
      <c r="J25">
        <v>2</v>
      </c>
      <c r="K25">
        <v>3</v>
      </c>
      <c r="L25">
        <v>3</v>
      </c>
      <c r="N25">
        <v>1</v>
      </c>
      <c r="S25">
        <v>1</v>
      </c>
      <c r="V25">
        <v>3</v>
      </c>
    </row>
    <row r="26" spans="1:22" x14ac:dyDescent="0.3">
      <c r="A26" t="s">
        <v>513</v>
      </c>
      <c r="B26" t="s">
        <v>6767</v>
      </c>
      <c r="C26" t="s">
        <v>6768</v>
      </c>
      <c r="D26" t="s">
        <v>6769</v>
      </c>
      <c r="E26" t="s">
        <v>16</v>
      </c>
      <c r="F26" t="s">
        <v>6770</v>
      </c>
      <c r="G26" s="2">
        <v>0.72916666666666663</v>
      </c>
      <c r="H26" t="s">
        <v>6673</v>
      </c>
      <c r="I26">
        <v>3508</v>
      </c>
      <c r="J26">
        <v>2</v>
      </c>
      <c r="K26">
        <v>3</v>
      </c>
      <c r="L26">
        <v>3</v>
      </c>
      <c r="N26">
        <v>1</v>
      </c>
      <c r="S26">
        <v>1</v>
      </c>
      <c r="V26">
        <v>3</v>
      </c>
    </row>
    <row r="27" spans="1:22" x14ac:dyDescent="0.3">
      <c r="A27" t="s">
        <v>513</v>
      </c>
      <c r="B27" t="s">
        <v>6771</v>
      </c>
      <c r="C27" t="s">
        <v>6772</v>
      </c>
      <c r="D27" t="s">
        <v>6773</v>
      </c>
      <c r="E27" t="s">
        <v>16</v>
      </c>
      <c r="F27" t="s">
        <v>6774</v>
      </c>
      <c r="G27" s="2">
        <v>0.70833333333333337</v>
      </c>
      <c r="H27" t="s">
        <v>6673</v>
      </c>
      <c r="I27">
        <v>3505</v>
      </c>
      <c r="J27">
        <v>2</v>
      </c>
      <c r="K27">
        <v>3</v>
      </c>
      <c r="L27">
        <v>3</v>
      </c>
      <c r="N27">
        <v>1</v>
      </c>
      <c r="S27">
        <v>1</v>
      </c>
      <c r="V27">
        <v>3</v>
      </c>
    </row>
    <row r="28" spans="1:22" x14ac:dyDescent="0.3">
      <c r="A28" t="s">
        <v>513</v>
      </c>
      <c r="B28" t="s">
        <v>6775</v>
      </c>
      <c r="C28" t="s">
        <v>6776</v>
      </c>
      <c r="D28" t="s">
        <v>6777</v>
      </c>
      <c r="E28" t="s">
        <v>16</v>
      </c>
      <c r="F28" t="s">
        <v>6778</v>
      </c>
      <c r="G28" s="2">
        <v>0.6875</v>
      </c>
      <c r="H28" t="s">
        <v>6673</v>
      </c>
      <c r="I28">
        <v>3504</v>
      </c>
      <c r="J28">
        <v>2</v>
      </c>
      <c r="K28">
        <v>3</v>
      </c>
      <c r="L28">
        <v>3</v>
      </c>
      <c r="N28">
        <v>1</v>
      </c>
      <c r="S28">
        <v>1</v>
      </c>
      <c r="V28">
        <v>3</v>
      </c>
    </row>
    <row r="29" spans="1:22" x14ac:dyDescent="0.3">
      <c r="A29" t="s">
        <v>513</v>
      </c>
      <c r="B29" t="s">
        <v>6779</v>
      </c>
      <c r="C29" t="s">
        <v>6780</v>
      </c>
      <c r="D29" t="s">
        <v>6781</v>
      </c>
      <c r="E29" t="s">
        <v>16</v>
      </c>
      <c r="F29" t="s">
        <v>6782</v>
      </c>
      <c r="G29" s="2">
        <v>0.66666666666666663</v>
      </c>
      <c r="H29" t="s">
        <v>6673</v>
      </c>
      <c r="I29">
        <v>3503</v>
      </c>
      <c r="J29">
        <v>2</v>
      </c>
      <c r="K29">
        <v>3</v>
      </c>
      <c r="L29">
        <v>3</v>
      </c>
      <c r="N29">
        <v>1</v>
      </c>
      <c r="S29">
        <v>1</v>
      </c>
      <c r="V29">
        <v>3</v>
      </c>
    </row>
    <row r="30" spans="1:22" x14ac:dyDescent="0.3">
      <c r="A30" t="s">
        <v>513</v>
      </c>
      <c r="B30" t="s">
        <v>6783</v>
      </c>
      <c r="C30" t="s">
        <v>6784</v>
      </c>
      <c r="D30" t="s">
        <v>6785</v>
      </c>
      <c r="E30" t="s">
        <v>16</v>
      </c>
      <c r="F30" t="s">
        <v>6786</v>
      </c>
      <c r="G30" s="2">
        <v>0.64583333333333337</v>
      </c>
      <c r="H30" t="s">
        <v>6673</v>
      </c>
      <c r="I30">
        <v>3502</v>
      </c>
      <c r="J30">
        <v>2</v>
      </c>
      <c r="K30">
        <v>3</v>
      </c>
      <c r="L30">
        <v>3</v>
      </c>
      <c r="N30">
        <v>1</v>
      </c>
      <c r="S30">
        <v>1</v>
      </c>
      <c r="V30">
        <v>3</v>
      </c>
    </row>
    <row r="31" spans="1:22" x14ac:dyDescent="0.3">
      <c r="A31" t="s">
        <v>513</v>
      </c>
      <c r="B31" t="s">
        <v>6787</v>
      </c>
      <c r="C31" t="s">
        <v>6788</v>
      </c>
      <c r="D31" t="s">
        <v>6789</v>
      </c>
      <c r="E31" t="s">
        <v>16</v>
      </c>
      <c r="F31" t="s">
        <v>6790</v>
      </c>
      <c r="G31" s="2">
        <v>0.60416666666666663</v>
      </c>
      <c r="H31" t="s">
        <v>556</v>
      </c>
      <c r="I31">
        <v>3501</v>
      </c>
      <c r="J31">
        <v>2</v>
      </c>
      <c r="K31">
        <v>3</v>
      </c>
      <c r="L31">
        <v>3</v>
      </c>
      <c r="N31">
        <v>1</v>
      </c>
      <c r="S31">
        <v>1</v>
      </c>
      <c r="V31">
        <v>3</v>
      </c>
    </row>
    <row r="32" spans="1:22" x14ac:dyDescent="0.3">
      <c r="A32" t="s">
        <v>513</v>
      </c>
      <c r="B32" t="s">
        <v>6791</v>
      </c>
      <c r="C32" t="s">
        <v>6792</v>
      </c>
      <c r="D32" t="s">
        <v>6793</v>
      </c>
      <c r="E32" t="s">
        <v>16</v>
      </c>
      <c r="F32" t="s">
        <v>6794</v>
      </c>
      <c r="G32" s="2">
        <v>0.59375</v>
      </c>
      <c r="H32" t="s">
        <v>556</v>
      </c>
      <c r="I32">
        <v>3500</v>
      </c>
      <c r="J32">
        <v>2</v>
      </c>
      <c r="K32">
        <v>3</v>
      </c>
      <c r="L32">
        <v>3</v>
      </c>
      <c r="N32">
        <v>1</v>
      </c>
      <c r="S32">
        <v>1</v>
      </c>
      <c r="V32">
        <v>3</v>
      </c>
    </row>
    <row r="33" spans="1:22" x14ac:dyDescent="0.3">
      <c r="A33" t="s">
        <v>513</v>
      </c>
      <c r="B33" t="s">
        <v>6795</v>
      </c>
      <c r="C33" t="s">
        <v>6796</v>
      </c>
      <c r="D33" t="s">
        <v>6797</v>
      </c>
      <c r="E33" t="s">
        <v>16</v>
      </c>
      <c r="F33" t="s">
        <v>6798</v>
      </c>
      <c r="G33" s="2">
        <v>0.57291666666666663</v>
      </c>
      <c r="H33" t="s">
        <v>556</v>
      </c>
      <c r="I33">
        <v>3499</v>
      </c>
      <c r="J33">
        <v>2</v>
      </c>
      <c r="K33">
        <v>3</v>
      </c>
      <c r="L33">
        <v>3</v>
      </c>
      <c r="N33">
        <v>1</v>
      </c>
      <c r="S33">
        <v>1</v>
      </c>
      <c r="V33">
        <v>3</v>
      </c>
    </row>
    <row r="34" spans="1:22" x14ac:dyDescent="0.3">
      <c r="A34" t="s">
        <v>513</v>
      </c>
      <c r="B34" t="s">
        <v>6799</v>
      </c>
      <c r="C34" t="s">
        <v>6800</v>
      </c>
      <c r="D34" t="s">
        <v>6801</v>
      </c>
      <c r="E34" t="s">
        <v>16</v>
      </c>
      <c r="F34" t="s">
        <v>6802</v>
      </c>
      <c r="G34" s="2">
        <v>0.55208333333333337</v>
      </c>
      <c r="H34" t="s">
        <v>556</v>
      </c>
      <c r="I34">
        <v>3498</v>
      </c>
      <c r="J34">
        <v>2</v>
      </c>
      <c r="K34">
        <v>3</v>
      </c>
      <c r="L34">
        <v>3</v>
      </c>
      <c r="N34">
        <v>1</v>
      </c>
      <c r="S34">
        <v>1</v>
      </c>
      <c r="V34">
        <v>3</v>
      </c>
    </row>
    <row r="35" spans="1:22" x14ac:dyDescent="0.3">
      <c r="A35" t="s">
        <v>513</v>
      </c>
      <c r="B35" t="s">
        <v>6803</v>
      </c>
      <c r="C35" t="s">
        <v>6804</v>
      </c>
      <c r="D35" t="s">
        <v>6805</v>
      </c>
      <c r="E35" t="s">
        <v>16</v>
      </c>
      <c r="F35" t="s">
        <v>6806</v>
      </c>
      <c r="G35" s="2">
        <v>0.53125</v>
      </c>
      <c r="H35" t="s">
        <v>556</v>
      </c>
      <c r="I35">
        <v>3497</v>
      </c>
      <c r="J35">
        <v>2</v>
      </c>
      <c r="K35">
        <v>3</v>
      </c>
      <c r="L35">
        <v>3</v>
      </c>
      <c r="N35">
        <v>1</v>
      </c>
      <c r="S35">
        <v>1</v>
      </c>
      <c r="V35">
        <v>3</v>
      </c>
    </row>
    <row r="36" spans="1:22" x14ac:dyDescent="0.3">
      <c r="A36" t="s">
        <v>513</v>
      </c>
      <c r="B36" t="s">
        <v>6807</v>
      </c>
      <c r="C36" t="s">
        <v>6808</v>
      </c>
      <c r="D36" t="s">
        <v>6809</v>
      </c>
      <c r="E36" t="s">
        <v>16</v>
      </c>
      <c r="F36" t="s">
        <v>6810</v>
      </c>
      <c r="G36" s="2">
        <v>0.5</v>
      </c>
      <c r="H36" t="s">
        <v>556</v>
      </c>
      <c r="I36">
        <v>3496</v>
      </c>
      <c r="J36">
        <v>2</v>
      </c>
      <c r="K36">
        <v>3</v>
      </c>
      <c r="L36">
        <v>3</v>
      </c>
      <c r="N36">
        <v>1</v>
      </c>
      <c r="S36">
        <v>1</v>
      </c>
      <c r="V36">
        <v>3</v>
      </c>
    </row>
    <row r="37" spans="1:22" x14ac:dyDescent="0.3">
      <c r="A37" t="s">
        <v>513</v>
      </c>
      <c r="B37" t="s">
        <v>6811</v>
      </c>
      <c r="C37" t="s">
        <v>6812</v>
      </c>
      <c r="D37" t="s">
        <v>6813</v>
      </c>
      <c r="E37" t="s">
        <v>16</v>
      </c>
      <c r="F37" t="s">
        <v>6814</v>
      </c>
      <c r="G37" s="2">
        <v>0.48958333333333331</v>
      </c>
      <c r="H37" t="s">
        <v>556</v>
      </c>
      <c r="I37">
        <v>3495</v>
      </c>
      <c r="J37">
        <v>2</v>
      </c>
      <c r="K37">
        <v>4</v>
      </c>
      <c r="L37">
        <v>3</v>
      </c>
      <c r="N37">
        <v>1</v>
      </c>
      <c r="S37">
        <v>1</v>
      </c>
      <c r="V37">
        <v>3</v>
      </c>
    </row>
    <row r="38" spans="1:22" x14ac:dyDescent="0.3">
      <c r="A38" t="s">
        <v>513</v>
      </c>
      <c r="B38" t="s">
        <v>6815</v>
      </c>
      <c r="C38" t="s">
        <v>6816</v>
      </c>
      <c r="D38" t="s">
        <v>6817</v>
      </c>
      <c r="E38" t="s">
        <v>16</v>
      </c>
      <c r="F38" t="s">
        <v>6818</v>
      </c>
      <c r="G38" s="2">
        <v>0.47916666666666669</v>
      </c>
      <c r="H38" t="s">
        <v>6673</v>
      </c>
      <c r="I38">
        <v>3494</v>
      </c>
      <c r="J38">
        <v>2</v>
      </c>
      <c r="K38">
        <v>4</v>
      </c>
      <c r="L38">
        <v>3</v>
      </c>
      <c r="S38">
        <v>1</v>
      </c>
      <c r="V38">
        <v>3</v>
      </c>
    </row>
    <row r="39" spans="1:22" x14ac:dyDescent="0.3">
      <c r="A39" t="s">
        <v>513</v>
      </c>
      <c r="B39" t="s">
        <v>6819</v>
      </c>
      <c r="C39" t="s">
        <v>6820</v>
      </c>
      <c r="D39" t="s">
        <v>6821</v>
      </c>
      <c r="E39" t="s">
        <v>16</v>
      </c>
      <c r="F39" t="s">
        <v>6822</v>
      </c>
      <c r="G39" s="2">
        <v>0.44791666666666669</v>
      </c>
      <c r="H39" t="s">
        <v>6673</v>
      </c>
      <c r="I39">
        <v>3493</v>
      </c>
      <c r="J39">
        <v>2</v>
      </c>
      <c r="K39">
        <v>4</v>
      </c>
      <c r="L39">
        <v>3</v>
      </c>
      <c r="S39">
        <v>1</v>
      </c>
      <c r="V39">
        <v>3</v>
      </c>
    </row>
    <row r="40" spans="1:22" x14ac:dyDescent="0.3">
      <c r="A40" t="s">
        <v>513</v>
      </c>
      <c r="B40" t="s">
        <v>6823</v>
      </c>
      <c r="C40" t="s">
        <v>6824</v>
      </c>
      <c r="D40" t="s">
        <v>6825</v>
      </c>
      <c r="E40" t="s">
        <v>16</v>
      </c>
      <c r="F40" t="s">
        <v>6826</v>
      </c>
      <c r="G40" s="2">
        <v>0.4375</v>
      </c>
      <c r="H40" t="s">
        <v>6673</v>
      </c>
      <c r="I40">
        <v>3490</v>
      </c>
      <c r="J40">
        <v>2</v>
      </c>
      <c r="K40">
        <v>4</v>
      </c>
      <c r="L40">
        <v>3</v>
      </c>
      <c r="S40">
        <v>1</v>
      </c>
      <c r="V40">
        <v>3</v>
      </c>
    </row>
    <row r="41" spans="1:22" x14ac:dyDescent="0.3">
      <c r="A41" t="s">
        <v>513</v>
      </c>
      <c r="B41" t="s">
        <v>6827</v>
      </c>
      <c r="C41" t="s">
        <v>6828</v>
      </c>
      <c r="D41" t="s">
        <v>6829</v>
      </c>
      <c r="E41" t="s">
        <v>16</v>
      </c>
      <c r="F41" t="s">
        <v>6830</v>
      </c>
      <c r="G41" s="2">
        <v>0.41666666666666669</v>
      </c>
      <c r="H41" t="s">
        <v>6673</v>
      </c>
      <c r="I41">
        <v>3488</v>
      </c>
      <c r="J41">
        <v>2</v>
      </c>
      <c r="K41">
        <v>4</v>
      </c>
      <c r="L41">
        <v>3</v>
      </c>
      <c r="S41">
        <v>1</v>
      </c>
      <c r="V41">
        <v>3</v>
      </c>
    </row>
    <row r="42" spans="1:22" x14ac:dyDescent="0.3">
      <c r="A42" t="s">
        <v>517</v>
      </c>
      <c r="B42" t="s">
        <v>6831</v>
      </c>
      <c r="C42" t="s">
        <v>6832</v>
      </c>
      <c r="D42" t="s">
        <v>6833</v>
      </c>
      <c r="E42" t="s">
        <v>16</v>
      </c>
      <c r="F42" t="s">
        <v>6834</v>
      </c>
      <c r="G42" s="2">
        <v>0.67708333333333337</v>
      </c>
      <c r="H42" t="s">
        <v>6678</v>
      </c>
      <c r="I42">
        <v>3481</v>
      </c>
      <c r="J42">
        <v>2</v>
      </c>
      <c r="K42">
        <v>4</v>
      </c>
      <c r="L42">
        <v>3</v>
      </c>
      <c r="S42">
        <v>1</v>
      </c>
      <c r="V42">
        <v>3</v>
      </c>
    </row>
    <row r="43" spans="1:22" x14ac:dyDescent="0.3">
      <c r="A43" t="s">
        <v>517</v>
      </c>
      <c r="B43" t="s">
        <v>6835</v>
      </c>
      <c r="C43" t="s">
        <v>6836</v>
      </c>
      <c r="D43" t="s">
        <v>6837</v>
      </c>
      <c r="E43" t="s">
        <v>16</v>
      </c>
      <c r="F43" t="s">
        <v>6838</v>
      </c>
      <c r="G43" s="2">
        <v>0.66666666666666663</v>
      </c>
      <c r="H43" t="s">
        <v>6678</v>
      </c>
      <c r="I43">
        <v>3480</v>
      </c>
      <c r="J43">
        <v>2</v>
      </c>
      <c r="K43">
        <v>4</v>
      </c>
      <c r="L43">
        <v>3</v>
      </c>
      <c r="S43">
        <v>1</v>
      </c>
      <c r="V43">
        <v>3</v>
      </c>
    </row>
    <row r="44" spans="1:22" x14ac:dyDescent="0.3">
      <c r="A44" t="s">
        <v>517</v>
      </c>
      <c r="B44" s="3" t="s">
        <v>6839</v>
      </c>
      <c r="C44" t="s">
        <v>6840</v>
      </c>
      <c r="D44" t="s">
        <v>6841</v>
      </c>
      <c r="E44" t="s">
        <v>16</v>
      </c>
      <c r="F44" t="s">
        <v>6842</v>
      </c>
      <c r="G44" s="2">
        <v>0.63541666666666663</v>
      </c>
      <c r="H44" t="s">
        <v>6673</v>
      </c>
      <c r="I44">
        <v>3477</v>
      </c>
      <c r="J44">
        <v>2</v>
      </c>
      <c r="K44">
        <v>4</v>
      </c>
      <c r="L44">
        <v>3</v>
      </c>
      <c r="S44">
        <v>1</v>
      </c>
      <c r="U44">
        <v>0</v>
      </c>
      <c r="V44">
        <v>3</v>
      </c>
    </row>
    <row r="45" spans="1:22" x14ac:dyDescent="0.3">
      <c r="A45" t="s">
        <v>517</v>
      </c>
      <c r="B45" t="s">
        <v>6843</v>
      </c>
      <c r="C45" t="s">
        <v>6844</v>
      </c>
      <c r="D45" t="s">
        <v>6845</v>
      </c>
      <c r="E45" t="s">
        <v>16</v>
      </c>
      <c r="F45" t="s">
        <v>6846</v>
      </c>
      <c r="G45" s="2">
        <v>0.61458333333333337</v>
      </c>
      <c r="H45" t="s">
        <v>6673</v>
      </c>
      <c r="I45">
        <v>3475</v>
      </c>
      <c r="J45">
        <v>1</v>
      </c>
    </row>
    <row r="46" spans="1:22" x14ac:dyDescent="0.3">
      <c r="A46" t="s">
        <v>517</v>
      </c>
      <c r="B46" t="s">
        <v>6847</v>
      </c>
      <c r="C46" t="s">
        <v>6848</v>
      </c>
      <c r="D46" t="s">
        <v>6849</v>
      </c>
      <c r="E46" t="s">
        <v>16</v>
      </c>
      <c r="F46" t="s">
        <v>6850</v>
      </c>
      <c r="G46" s="2">
        <v>0.60416666666666663</v>
      </c>
      <c r="H46" t="s">
        <v>6673</v>
      </c>
      <c r="I46">
        <v>3474</v>
      </c>
      <c r="J46">
        <v>2</v>
      </c>
      <c r="K46">
        <v>4</v>
      </c>
      <c r="L46">
        <v>3</v>
      </c>
      <c r="S46">
        <v>1</v>
      </c>
      <c r="V46">
        <v>3</v>
      </c>
    </row>
    <row r="47" spans="1:22" x14ac:dyDescent="0.3">
      <c r="A47" t="s">
        <v>521</v>
      </c>
      <c r="B47" t="s">
        <v>6851</v>
      </c>
      <c r="C47" t="s">
        <v>6852</v>
      </c>
      <c r="D47" t="s">
        <v>6853</v>
      </c>
      <c r="E47" t="s">
        <v>16</v>
      </c>
      <c r="F47" t="s">
        <v>6854</v>
      </c>
      <c r="G47" s="2">
        <v>0.55208333333333337</v>
      </c>
      <c r="H47" t="s">
        <v>6673</v>
      </c>
      <c r="I47">
        <v>3471</v>
      </c>
      <c r="J47">
        <v>2</v>
      </c>
      <c r="K47">
        <v>4</v>
      </c>
      <c r="L47">
        <v>3</v>
      </c>
      <c r="S47">
        <v>1</v>
      </c>
      <c r="V47">
        <v>3</v>
      </c>
    </row>
    <row r="48" spans="1:22" x14ac:dyDescent="0.3">
      <c r="A48" t="s">
        <v>521</v>
      </c>
      <c r="B48" t="s">
        <v>6855</v>
      </c>
      <c r="C48" t="s">
        <v>6856</v>
      </c>
      <c r="D48" t="s">
        <v>6857</v>
      </c>
      <c r="E48" t="s">
        <v>16</v>
      </c>
      <c r="F48" t="s">
        <v>6858</v>
      </c>
      <c r="G48" s="2">
        <v>0.54166666666666663</v>
      </c>
      <c r="H48" t="s">
        <v>6673</v>
      </c>
      <c r="I48">
        <v>3468</v>
      </c>
      <c r="J48">
        <v>2</v>
      </c>
      <c r="K48">
        <v>4</v>
      </c>
      <c r="L48">
        <v>3</v>
      </c>
      <c r="S48">
        <v>1</v>
      </c>
      <c r="V48">
        <v>3</v>
      </c>
    </row>
    <row r="49" spans="1:22" x14ac:dyDescent="0.3">
      <c r="A49" t="s">
        <v>521</v>
      </c>
      <c r="B49" t="s">
        <v>6859</v>
      </c>
      <c r="C49" t="s">
        <v>6860</v>
      </c>
      <c r="D49" t="s">
        <v>6861</v>
      </c>
      <c r="E49" t="s">
        <v>16</v>
      </c>
      <c r="F49" t="s">
        <v>6862</v>
      </c>
      <c r="G49" s="2">
        <v>0.53125</v>
      </c>
      <c r="H49" t="s">
        <v>6673</v>
      </c>
      <c r="I49">
        <v>3467</v>
      </c>
      <c r="J49">
        <v>2</v>
      </c>
      <c r="K49">
        <v>4</v>
      </c>
      <c r="L49">
        <v>3</v>
      </c>
      <c r="S49">
        <v>1</v>
      </c>
      <c r="V49">
        <v>3</v>
      </c>
    </row>
    <row r="50" spans="1:22" x14ac:dyDescent="0.3">
      <c r="A50" t="s">
        <v>526</v>
      </c>
      <c r="B50" t="s">
        <v>6863</v>
      </c>
      <c r="C50" t="s">
        <v>6864</v>
      </c>
      <c r="D50" t="s">
        <v>6865</v>
      </c>
      <c r="E50" t="s">
        <v>16</v>
      </c>
      <c r="F50" t="s">
        <v>6866</v>
      </c>
      <c r="G50" s="2">
        <v>0.51041666666666663</v>
      </c>
      <c r="H50" t="s">
        <v>6673</v>
      </c>
      <c r="I50">
        <v>3466</v>
      </c>
      <c r="J50">
        <v>2</v>
      </c>
      <c r="K50">
        <v>4</v>
      </c>
      <c r="L50">
        <v>3</v>
      </c>
      <c r="S50">
        <v>1</v>
      </c>
      <c r="V50">
        <v>3</v>
      </c>
    </row>
    <row r="51" spans="1:22" x14ac:dyDescent="0.3">
      <c r="A51" t="s">
        <v>526</v>
      </c>
      <c r="B51" t="s">
        <v>6867</v>
      </c>
      <c r="C51" t="s">
        <v>6868</v>
      </c>
      <c r="D51" t="s">
        <v>6869</v>
      </c>
      <c r="E51" t="s">
        <v>16</v>
      </c>
      <c r="F51" t="s">
        <v>6870</v>
      </c>
      <c r="G51" s="2">
        <v>0.5</v>
      </c>
      <c r="H51" t="s">
        <v>6673</v>
      </c>
      <c r="I51">
        <v>3465</v>
      </c>
      <c r="J51">
        <v>2</v>
      </c>
      <c r="K51">
        <v>4</v>
      </c>
      <c r="L51">
        <v>3</v>
      </c>
      <c r="S51">
        <v>1</v>
      </c>
      <c r="V51">
        <v>3</v>
      </c>
    </row>
    <row r="52" spans="1:22" x14ac:dyDescent="0.3">
      <c r="A52" t="s">
        <v>526</v>
      </c>
      <c r="B52" t="s">
        <v>6871</v>
      </c>
      <c r="C52" t="s">
        <v>6872</v>
      </c>
      <c r="D52" t="s">
        <v>6873</v>
      </c>
      <c r="E52" t="s">
        <v>16</v>
      </c>
      <c r="F52" t="s">
        <v>6874</v>
      </c>
      <c r="G52" s="2">
        <v>0.48958333333333331</v>
      </c>
      <c r="H52" t="s">
        <v>6673</v>
      </c>
      <c r="I52">
        <v>3464</v>
      </c>
      <c r="J52">
        <v>2</v>
      </c>
      <c r="K52">
        <v>4</v>
      </c>
      <c r="L52">
        <v>3</v>
      </c>
      <c r="S52">
        <v>1</v>
      </c>
      <c r="V52">
        <v>3</v>
      </c>
    </row>
    <row r="53" spans="1:22" x14ac:dyDescent="0.3">
      <c r="A53" t="s">
        <v>526</v>
      </c>
      <c r="B53" t="s">
        <v>6875</v>
      </c>
      <c r="C53" t="s">
        <v>6876</v>
      </c>
      <c r="D53" t="s">
        <v>6877</v>
      </c>
      <c r="E53" t="s">
        <v>16</v>
      </c>
      <c r="F53" t="s">
        <v>6878</v>
      </c>
      <c r="G53" s="2">
        <v>0.45833333333333331</v>
      </c>
      <c r="H53" t="s">
        <v>6673</v>
      </c>
      <c r="I53">
        <v>3463</v>
      </c>
      <c r="J53">
        <v>2</v>
      </c>
      <c r="K53">
        <v>4</v>
      </c>
      <c r="L53">
        <v>3</v>
      </c>
      <c r="S53">
        <v>1</v>
      </c>
      <c r="V53">
        <v>3</v>
      </c>
    </row>
    <row r="54" spans="1:22" x14ac:dyDescent="0.3">
      <c r="A54" t="s">
        <v>526</v>
      </c>
      <c r="B54" t="s">
        <v>6879</v>
      </c>
      <c r="C54" t="s">
        <v>6880</v>
      </c>
      <c r="D54" t="s">
        <v>6881</v>
      </c>
      <c r="E54" t="s">
        <v>16</v>
      </c>
      <c r="F54" t="s">
        <v>6882</v>
      </c>
      <c r="G54" s="2">
        <v>0.44791666666666669</v>
      </c>
      <c r="H54" t="s">
        <v>6673</v>
      </c>
      <c r="I54">
        <v>3462</v>
      </c>
      <c r="J54">
        <v>2</v>
      </c>
      <c r="K54">
        <v>4</v>
      </c>
      <c r="L54">
        <v>3</v>
      </c>
      <c r="S54">
        <v>1</v>
      </c>
      <c r="V54">
        <v>3</v>
      </c>
    </row>
    <row r="55" spans="1:22" x14ac:dyDescent="0.3">
      <c r="A55" t="s">
        <v>526</v>
      </c>
      <c r="B55" t="s">
        <v>6883</v>
      </c>
      <c r="C55" t="s">
        <v>6884</v>
      </c>
      <c r="D55" t="s">
        <v>6885</v>
      </c>
      <c r="E55" t="s">
        <v>16</v>
      </c>
      <c r="F55" t="s">
        <v>6886</v>
      </c>
      <c r="G55" s="2">
        <v>0.4375</v>
      </c>
      <c r="H55" t="s">
        <v>6673</v>
      </c>
      <c r="I55">
        <v>3461</v>
      </c>
      <c r="J55">
        <v>2</v>
      </c>
      <c r="K55">
        <v>4</v>
      </c>
      <c r="L55">
        <v>3</v>
      </c>
      <c r="S55">
        <v>1</v>
      </c>
      <c r="V55">
        <v>3</v>
      </c>
    </row>
    <row r="56" spans="1:22" x14ac:dyDescent="0.3">
      <c r="A56" t="s">
        <v>526</v>
      </c>
      <c r="B56" t="s">
        <v>6887</v>
      </c>
      <c r="C56" t="s">
        <v>6888</v>
      </c>
      <c r="D56" t="s">
        <v>6889</v>
      </c>
      <c r="E56" t="s">
        <v>16</v>
      </c>
      <c r="F56" t="s">
        <v>6890</v>
      </c>
      <c r="G56" s="2">
        <v>0.42708333333333331</v>
      </c>
      <c r="H56" t="s">
        <v>6673</v>
      </c>
      <c r="I56">
        <v>3460</v>
      </c>
      <c r="J56">
        <v>2</v>
      </c>
      <c r="K56">
        <v>4</v>
      </c>
      <c r="L56">
        <v>3</v>
      </c>
      <c r="S56">
        <v>1</v>
      </c>
      <c r="V56">
        <v>3</v>
      </c>
    </row>
    <row r="57" spans="1:22" x14ac:dyDescent="0.3">
      <c r="A57" t="s">
        <v>526</v>
      </c>
      <c r="B57" t="s">
        <v>6891</v>
      </c>
      <c r="C57" t="s">
        <v>6892</v>
      </c>
      <c r="D57" t="s">
        <v>6893</v>
      </c>
      <c r="E57" t="s">
        <v>16</v>
      </c>
      <c r="F57" t="s">
        <v>6894</v>
      </c>
      <c r="G57" s="2">
        <v>0.41666666666666669</v>
      </c>
      <c r="H57" t="s">
        <v>6673</v>
      </c>
      <c r="I57">
        <v>3459</v>
      </c>
      <c r="J57">
        <v>2</v>
      </c>
      <c r="K57">
        <v>4</v>
      </c>
      <c r="L57">
        <v>3</v>
      </c>
      <c r="S57">
        <v>1</v>
      </c>
      <c r="V57">
        <v>3</v>
      </c>
    </row>
    <row r="58" spans="1:22" x14ac:dyDescent="0.3">
      <c r="A58" t="s">
        <v>530</v>
      </c>
      <c r="B58" t="s">
        <v>6895</v>
      </c>
      <c r="C58" t="s">
        <v>6896</v>
      </c>
      <c r="D58" t="s">
        <v>6897</v>
      </c>
      <c r="E58" t="s">
        <v>16</v>
      </c>
      <c r="F58" t="s">
        <v>6898</v>
      </c>
      <c r="G58" s="2">
        <v>0.60416666666666663</v>
      </c>
      <c r="H58" t="s">
        <v>6673</v>
      </c>
      <c r="I58">
        <v>3453</v>
      </c>
      <c r="J58">
        <v>2</v>
      </c>
      <c r="K58">
        <v>4</v>
      </c>
      <c r="L58">
        <v>3</v>
      </c>
      <c r="S58">
        <v>1</v>
      </c>
      <c r="V58">
        <v>3</v>
      </c>
    </row>
    <row r="59" spans="1:22" x14ac:dyDescent="0.3">
      <c r="A59" t="s">
        <v>530</v>
      </c>
      <c r="B59" t="s">
        <v>6899</v>
      </c>
      <c r="C59" t="s">
        <v>6900</v>
      </c>
      <c r="D59" t="s">
        <v>6901</v>
      </c>
      <c r="E59" t="s">
        <v>16</v>
      </c>
      <c r="F59" t="s">
        <v>6902</v>
      </c>
      <c r="G59" s="2">
        <v>0.58333333333333337</v>
      </c>
      <c r="H59" t="s">
        <v>6678</v>
      </c>
      <c r="I59">
        <v>3448</v>
      </c>
      <c r="J59">
        <v>2</v>
      </c>
      <c r="K59">
        <v>4</v>
      </c>
      <c r="L59">
        <v>3</v>
      </c>
      <c r="S59">
        <v>1</v>
      </c>
      <c r="V59">
        <v>3</v>
      </c>
    </row>
    <row r="60" spans="1:22" x14ac:dyDescent="0.3">
      <c r="A60" t="s">
        <v>530</v>
      </c>
      <c r="B60" t="s">
        <v>6903</v>
      </c>
      <c r="C60" t="s">
        <v>6904</v>
      </c>
      <c r="D60" t="s">
        <v>6905</v>
      </c>
      <c r="E60" t="s">
        <v>16</v>
      </c>
      <c r="F60" t="s">
        <v>6906</v>
      </c>
      <c r="G60" s="2">
        <v>0.57291666666666663</v>
      </c>
      <c r="H60" t="s">
        <v>6678</v>
      </c>
      <c r="I60">
        <v>3447</v>
      </c>
    </row>
    <row r="61" spans="1:22" x14ac:dyDescent="0.3">
      <c r="A61" t="s">
        <v>534</v>
      </c>
      <c r="B61" t="s">
        <v>6907</v>
      </c>
      <c r="C61" t="s">
        <v>6908</v>
      </c>
      <c r="D61" t="s">
        <v>6909</v>
      </c>
      <c r="E61" t="s">
        <v>16</v>
      </c>
      <c r="F61" t="s">
        <v>6910</v>
      </c>
      <c r="G61" s="2">
        <v>0.51041666666666663</v>
      </c>
      <c r="H61" t="s">
        <v>6911</v>
      </c>
      <c r="I61">
        <v>3445</v>
      </c>
      <c r="J61">
        <v>2</v>
      </c>
      <c r="K61">
        <v>5</v>
      </c>
      <c r="L61">
        <v>3</v>
      </c>
      <c r="S61">
        <v>2</v>
      </c>
      <c r="V61">
        <v>3</v>
      </c>
    </row>
    <row r="62" spans="1:22" x14ac:dyDescent="0.3">
      <c r="A62" t="s">
        <v>534</v>
      </c>
      <c r="B62" t="s">
        <v>6912</v>
      </c>
      <c r="C62" t="s">
        <v>6913</v>
      </c>
      <c r="D62" t="s">
        <v>6914</v>
      </c>
      <c r="E62" t="s">
        <v>16</v>
      </c>
      <c r="F62" t="s">
        <v>6915</v>
      </c>
      <c r="G62" s="2">
        <v>0.46875</v>
      </c>
      <c r="H62" t="s">
        <v>6911</v>
      </c>
      <c r="I62">
        <v>3443</v>
      </c>
      <c r="J62">
        <v>2</v>
      </c>
      <c r="K62">
        <v>6</v>
      </c>
      <c r="L62">
        <v>3</v>
      </c>
      <c r="S62">
        <v>2</v>
      </c>
      <c r="V62">
        <v>3</v>
      </c>
    </row>
    <row r="63" spans="1:22" x14ac:dyDescent="0.3">
      <c r="A63" t="s">
        <v>534</v>
      </c>
      <c r="B63" t="s">
        <v>6916</v>
      </c>
      <c r="C63" t="s">
        <v>6917</v>
      </c>
      <c r="D63" t="s">
        <v>6918</v>
      </c>
      <c r="E63" t="s">
        <v>16</v>
      </c>
      <c r="F63" t="s">
        <v>6919</v>
      </c>
      <c r="G63" s="2">
        <v>0.45833333333333331</v>
      </c>
      <c r="H63" t="s">
        <v>6678</v>
      </c>
      <c r="I63">
        <v>3441</v>
      </c>
      <c r="J63">
        <v>2</v>
      </c>
      <c r="K63">
        <v>6</v>
      </c>
      <c r="L63">
        <v>3</v>
      </c>
      <c r="S63">
        <v>2</v>
      </c>
      <c r="V63">
        <v>3</v>
      </c>
    </row>
    <row r="64" spans="1:22" x14ac:dyDescent="0.3">
      <c r="A64" t="s">
        <v>534</v>
      </c>
      <c r="B64" t="s">
        <v>6920</v>
      </c>
      <c r="C64" t="s">
        <v>6921</v>
      </c>
      <c r="D64" t="s">
        <v>6922</v>
      </c>
      <c r="E64" t="s">
        <v>16</v>
      </c>
      <c r="F64" t="s">
        <v>6923</v>
      </c>
      <c r="G64" s="2">
        <v>0.44791666666666669</v>
      </c>
      <c r="I64">
        <v>3439</v>
      </c>
      <c r="J64">
        <v>2</v>
      </c>
      <c r="K64">
        <v>6</v>
      </c>
      <c r="L64">
        <v>3</v>
      </c>
      <c r="S64">
        <v>2</v>
      </c>
      <c r="V64">
        <v>3</v>
      </c>
    </row>
    <row r="65" spans="1:22" x14ac:dyDescent="0.3">
      <c r="A65" t="s">
        <v>539</v>
      </c>
      <c r="B65" t="s">
        <v>6924</v>
      </c>
      <c r="C65" t="s">
        <v>6925</v>
      </c>
      <c r="D65" t="s">
        <v>6926</v>
      </c>
      <c r="E65" t="s">
        <v>16</v>
      </c>
      <c r="F65" t="s">
        <v>6927</v>
      </c>
      <c r="G65" s="2">
        <v>0.60416666666666663</v>
      </c>
      <c r="H65" t="s">
        <v>6673</v>
      </c>
      <c r="I65">
        <v>3436</v>
      </c>
      <c r="J65">
        <v>2</v>
      </c>
      <c r="K65">
        <v>5</v>
      </c>
      <c r="L65">
        <v>3</v>
      </c>
      <c r="S65">
        <v>1</v>
      </c>
      <c r="V65">
        <v>3</v>
      </c>
    </row>
    <row r="66" spans="1:22" x14ac:dyDescent="0.3">
      <c r="A66" t="s">
        <v>539</v>
      </c>
      <c r="B66" t="s">
        <v>6928</v>
      </c>
      <c r="C66" t="s">
        <v>6929</v>
      </c>
      <c r="D66" t="s">
        <v>6930</v>
      </c>
      <c r="E66" t="s">
        <v>16</v>
      </c>
      <c r="F66" t="s">
        <v>6931</v>
      </c>
      <c r="G66" s="2">
        <v>0.58333333333333337</v>
      </c>
      <c r="H66" t="s">
        <v>6678</v>
      </c>
      <c r="I66">
        <v>3435</v>
      </c>
      <c r="J66">
        <v>2</v>
      </c>
      <c r="K66">
        <v>4</v>
      </c>
      <c r="L66">
        <v>3</v>
      </c>
      <c r="S66">
        <v>1</v>
      </c>
      <c r="V66">
        <v>3</v>
      </c>
    </row>
    <row r="67" spans="1:22" x14ac:dyDescent="0.3">
      <c r="A67" t="s">
        <v>539</v>
      </c>
      <c r="B67" t="s">
        <v>6932</v>
      </c>
      <c r="C67" t="s">
        <v>6933</v>
      </c>
      <c r="D67" t="s">
        <v>6934</v>
      </c>
      <c r="E67" t="s">
        <v>16</v>
      </c>
      <c r="F67" t="s">
        <v>6935</v>
      </c>
      <c r="G67" s="2">
        <v>0.5625</v>
      </c>
      <c r="H67" t="s">
        <v>6678</v>
      </c>
      <c r="I67">
        <v>3434</v>
      </c>
      <c r="J67">
        <v>3</v>
      </c>
      <c r="K67">
        <v>6</v>
      </c>
      <c r="L67">
        <v>3</v>
      </c>
      <c r="S67">
        <v>2</v>
      </c>
      <c r="V67">
        <v>3</v>
      </c>
    </row>
    <row r="68" spans="1:22" x14ac:dyDescent="0.3">
      <c r="A68" t="s">
        <v>539</v>
      </c>
      <c r="B68" t="s">
        <v>6936</v>
      </c>
      <c r="C68" t="s">
        <v>6937</v>
      </c>
      <c r="D68" t="s">
        <v>6938</v>
      </c>
      <c r="E68" t="s">
        <v>16</v>
      </c>
      <c r="F68" t="s">
        <v>6939</v>
      </c>
      <c r="G68" s="2">
        <v>0.54236111111111118</v>
      </c>
      <c r="H68" t="s">
        <v>6678</v>
      </c>
      <c r="I68">
        <v>3432</v>
      </c>
      <c r="J68">
        <v>3</v>
      </c>
      <c r="K68">
        <v>6</v>
      </c>
      <c r="L68">
        <v>3</v>
      </c>
      <c r="S68">
        <v>2</v>
      </c>
      <c r="V68">
        <v>3</v>
      </c>
    </row>
    <row r="69" spans="1:22" x14ac:dyDescent="0.3">
      <c r="A69" t="s">
        <v>539</v>
      </c>
      <c r="B69" t="s">
        <v>6940</v>
      </c>
      <c r="C69" t="s">
        <v>6941</v>
      </c>
      <c r="D69" t="s">
        <v>6942</v>
      </c>
      <c r="E69" t="s">
        <v>16</v>
      </c>
      <c r="F69" t="s">
        <v>6943</v>
      </c>
      <c r="G69" s="2">
        <v>0.47916666666666669</v>
      </c>
      <c r="H69" t="s">
        <v>6678</v>
      </c>
      <c r="I69">
        <v>3431</v>
      </c>
      <c r="J69">
        <v>3</v>
      </c>
      <c r="K69">
        <v>6</v>
      </c>
      <c r="L69">
        <v>3</v>
      </c>
      <c r="S69">
        <v>2</v>
      </c>
      <c r="V69">
        <v>3</v>
      </c>
    </row>
    <row r="70" spans="1:22" x14ac:dyDescent="0.3">
      <c r="A70" t="s">
        <v>539</v>
      </c>
      <c r="B70" t="s">
        <v>6944</v>
      </c>
      <c r="C70" t="s">
        <v>6945</v>
      </c>
      <c r="D70" t="s">
        <v>6946</v>
      </c>
      <c r="E70" t="s">
        <v>16</v>
      </c>
      <c r="F70" t="s">
        <v>6947</v>
      </c>
      <c r="G70" s="2">
        <v>0.39583333333333331</v>
      </c>
      <c r="H70" t="s">
        <v>551</v>
      </c>
      <c r="I70">
        <v>3430</v>
      </c>
      <c r="J70">
        <v>3</v>
      </c>
      <c r="K70">
        <v>6</v>
      </c>
      <c r="L70">
        <v>3</v>
      </c>
      <c r="S70">
        <v>2</v>
      </c>
      <c r="V70">
        <v>3</v>
      </c>
    </row>
    <row r="71" spans="1:22" x14ac:dyDescent="0.3">
      <c r="A71" t="s">
        <v>539</v>
      </c>
      <c r="B71" t="s">
        <v>6948</v>
      </c>
      <c r="C71" t="s">
        <v>6949</v>
      </c>
      <c r="D71" t="s">
        <v>6950</v>
      </c>
      <c r="E71" t="s">
        <v>16</v>
      </c>
      <c r="F71" t="s">
        <v>6951</v>
      </c>
      <c r="G71" s="2">
        <v>0.375</v>
      </c>
      <c r="H71" t="s">
        <v>551</v>
      </c>
      <c r="I71">
        <v>3429</v>
      </c>
      <c r="J71">
        <v>3</v>
      </c>
      <c r="K71">
        <v>6</v>
      </c>
      <c r="L71">
        <v>3</v>
      </c>
      <c r="S71">
        <v>2</v>
      </c>
      <c r="V71">
        <v>3</v>
      </c>
    </row>
    <row r="72" spans="1:22" x14ac:dyDescent="0.3">
      <c r="A72" t="s">
        <v>543</v>
      </c>
      <c r="B72" t="s">
        <v>6952</v>
      </c>
      <c r="C72" t="s">
        <v>6953</v>
      </c>
      <c r="D72" t="s">
        <v>6954</v>
      </c>
      <c r="E72" t="s">
        <v>16</v>
      </c>
      <c r="F72" t="s">
        <v>6955</v>
      </c>
      <c r="G72" s="2">
        <v>0.48958333333333331</v>
      </c>
      <c r="H72" t="s">
        <v>556</v>
      </c>
      <c r="I72">
        <v>3426</v>
      </c>
      <c r="J72">
        <v>3</v>
      </c>
      <c r="K72">
        <v>6</v>
      </c>
      <c r="L72">
        <v>3</v>
      </c>
      <c r="S72">
        <v>2</v>
      </c>
      <c r="V72">
        <v>3</v>
      </c>
    </row>
    <row r="73" spans="1:22" x14ac:dyDescent="0.3">
      <c r="A73" t="s">
        <v>543</v>
      </c>
      <c r="B73" t="s">
        <v>6956</v>
      </c>
      <c r="C73" t="s">
        <v>6957</v>
      </c>
      <c r="D73" t="s">
        <v>6958</v>
      </c>
      <c r="E73" t="s">
        <v>16</v>
      </c>
      <c r="F73" t="s">
        <v>6959</v>
      </c>
      <c r="G73" s="2">
        <v>0.46875</v>
      </c>
      <c r="H73" t="s">
        <v>556</v>
      </c>
      <c r="I73">
        <v>3425</v>
      </c>
      <c r="J73">
        <v>3</v>
      </c>
      <c r="K73">
        <v>6</v>
      </c>
      <c r="L73">
        <v>3</v>
      </c>
      <c r="S73">
        <v>2</v>
      </c>
      <c r="U73">
        <v>3</v>
      </c>
    </row>
    <row r="74" spans="1:22" x14ac:dyDescent="0.3">
      <c r="A74" t="s">
        <v>543</v>
      </c>
      <c r="B74" t="s">
        <v>6960</v>
      </c>
      <c r="C74" t="s">
        <v>6961</v>
      </c>
      <c r="D74" t="s">
        <v>6962</v>
      </c>
      <c r="E74" t="s">
        <v>16</v>
      </c>
      <c r="F74" t="s">
        <v>6963</v>
      </c>
      <c r="G74" s="2">
        <v>0.45833333333333331</v>
      </c>
      <c r="H74" t="s">
        <v>556</v>
      </c>
      <c r="I74">
        <v>3423</v>
      </c>
      <c r="J74">
        <v>3</v>
      </c>
      <c r="K74">
        <v>6</v>
      </c>
      <c r="L74">
        <v>3</v>
      </c>
      <c r="S74">
        <v>2</v>
      </c>
      <c r="V74">
        <v>3</v>
      </c>
    </row>
    <row r="75" spans="1:22" x14ac:dyDescent="0.3">
      <c r="A75" t="s">
        <v>543</v>
      </c>
      <c r="B75" t="s">
        <v>6964</v>
      </c>
      <c r="C75" t="s">
        <v>6965</v>
      </c>
      <c r="D75" t="s">
        <v>6966</v>
      </c>
      <c r="E75" t="s">
        <v>16</v>
      </c>
      <c r="F75" t="s">
        <v>6967</v>
      </c>
      <c r="G75" s="2">
        <v>0.44791666666666669</v>
      </c>
      <c r="H75" t="s">
        <v>556</v>
      </c>
      <c r="I75">
        <v>3421</v>
      </c>
      <c r="J75">
        <v>3</v>
      </c>
      <c r="K75">
        <v>6</v>
      </c>
      <c r="L75">
        <v>3</v>
      </c>
      <c r="S75">
        <v>2</v>
      </c>
      <c r="V75">
        <v>3</v>
      </c>
    </row>
    <row r="76" spans="1:22" x14ac:dyDescent="0.3">
      <c r="A76" t="s">
        <v>543</v>
      </c>
      <c r="B76" t="s">
        <v>6968</v>
      </c>
      <c r="C76" t="s">
        <v>6969</v>
      </c>
      <c r="D76" t="s">
        <v>6970</v>
      </c>
      <c r="E76" t="s">
        <v>16</v>
      </c>
      <c r="F76" t="s">
        <v>6971</v>
      </c>
      <c r="G76" s="2">
        <v>0.4375</v>
      </c>
      <c r="H76" t="s">
        <v>556</v>
      </c>
      <c r="I76">
        <v>3420</v>
      </c>
      <c r="J76">
        <v>3</v>
      </c>
      <c r="K76">
        <v>6</v>
      </c>
      <c r="L76">
        <v>3</v>
      </c>
      <c r="S76">
        <v>2</v>
      </c>
      <c r="V76">
        <v>3</v>
      </c>
    </row>
    <row r="77" spans="1:22" x14ac:dyDescent="0.3">
      <c r="A77" t="s">
        <v>543</v>
      </c>
      <c r="B77" t="s">
        <v>6972</v>
      </c>
      <c r="C77" t="s">
        <v>6973</v>
      </c>
      <c r="D77" t="s">
        <v>6974</v>
      </c>
      <c r="E77" t="s">
        <v>16</v>
      </c>
      <c r="F77" t="s">
        <v>6975</v>
      </c>
      <c r="G77" s="2">
        <v>0.42708333333333331</v>
      </c>
      <c r="H77" t="s">
        <v>6673</v>
      </c>
      <c r="I77">
        <v>3418</v>
      </c>
      <c r="J77">
        <v>3</v>
      </c>
      <c r="K77">
        <v>6</v>
      </c>
      <c r="L77">
        <v>3</v>
      </c>
      <c r="S77">
        <v>2</v>
      </c>
      <c r="V77">
        <v>3</v>
      </c>
    </row>
    <row r="78" spans="1:22" x14ac:dyDescent="0.3">
      <c r="A78" t="s">
        <v>543</v>
      </c>
      <c r="B78" t="s">
        <v>6976</v>
      </c>
      <c r="C78" t="s">
        <v>6977</v>
      </c>
      <c r="D78" t="s">
        <v>6978</v>
      </c>
      <c r="E78" t="s">
        <v>16</v>
      </c>
      <c r="F78" t="s">
        <v>6979</v>
      </c>
      <c r="G78" s="2">
        <v>0.41666666666666669</v>
      </c>
      <c r="H78" t="s">
        <v>6673</v>
      </c>
      <c r="I78">
        <v>3417</v>
      </c>
      <c r="J78">
        <v>3</v>
      </c>
      <c r="K78">
        <v>6</v>
      </c>
      <c r="L78">
        <v>3</v>
      </c>
      <c r="S78">
        <v>2</v>
      </c>
      <c r="V78">
        <v>3</v>
      </c>
    </row>
    <row r="79" spans="1:22" x14ac:dyDescent="0.3">
      <c r="A79" t="s">
        <v>552</v>
      </c>
      <c r="B79" t="s">
        <v>6980</v>
      </c>
      <c r="C79" t="s">
        <v>6981</v>
      </c>
      <c r="D79" t="s">
        <v>6982</v>
      </c>
      <c r="E79" t="s">
        <v>16</v>
      </c>
      <c r="F79" t="s">
        <v>6983</v>
      </c>
      <c r="G79" s="2">
        <v>0.5</v>
      </c>
      <c r="H79" t="s">
        <v>556</v>
      </c>
      <c r="I79">
        <v>3411</v>
      </c>
      <c r="J79">
        <v>4</v>
      </c>
      <c r="K79">
        <v>7</v>
      </c>
      <c r="L79">
        <v>2</v>
      </c>
      <c r="S79">
        <v>2</v>
      </c>
      <c r="V79">
        <v>2</v>
      </c>
    </row>
    <row r="80" spans="1:22" x14ac:dyDescent="0.3">
      <c r="A80" t="s">
        <v>557</v>
      </c>
      <c r="B80" t="s">
        <v>6984</v>
      </c>
      <c r="C80" t="s">
        <v>6985</v>
      </c>
      <c r="D80" t="s">
        <v>6986</v>
      </c>
      <c r="E80" t="s">
        <v>16</v>
      </c>
      <c r="F80" t="s">
        <v>6987</v>
      </c>
      <c r="G80" s="2">
        <v>0.58333333333333337</v>
      </c>
      <c r="H80" t="s">
        <v>556</v>
      </c>
      <c r="I80">
        <v>3408</v>
      </c>
      <c r="J80">
        <v>3</v>
      </c>
      <c r="K80">
        <v>6</v>
      </c>
      <c r="L80">
        <v>1</v>
      </c>
      <c r="S80">
        <v>1</v>
      </c>
    </row>
    <row r="81" spans="1:22" x14ac:dyDescent="0.3">
      <c r="A81" t="s">
        <v>557</v>
      </c>
      <c r="B81" t="s">
        <v>6988</v>
      </c>
      <c r="C81" t="s">
        <v>6989</v>
      </c>
      <c r="D81" t="s">
        <v>6990</v>
      </c>
      <c r="E81" t="s">
        <v>16</v>
      </c>
      <c r="F81" t="s">
        <v>6991</v>
      </c>
      <c r="G81" s="2">
        <v>0.48958333333333331</v>
      </c>
      <c r="H81" t="s">
        <v>6911</v>
      </c>
      <c r="I81">
        <v>3406</v>
      </c>
      <c r="J81">
        <v>1</v>
      </c>
      <c r="K81">
        <v>1</v>
      </c>
    </row>
    <row r="82" spans="1:22" x14ac:dyDescent="0.3">
      <c r="A82" t="s">
        <v>557</v>
      </c>
      <c r="B82" t="s">
        <v>6992</v>
      </c>
      <c r="C82" t="s">
        <v>6993</v>
      </c>
      <c r="D82" t="s">
        <v>6994</v>
      </c>
      <c r="E82" t="s">
        <v>16</v>
      </c>
      <c r="F82" t="s">
        <v>6995</v>
      </c>
      <c r="G82" s="2">
        <v>0.47916666666666669</v>
      </c>
      <c r="H82" t="s">
        <v>6911</v>
      </c>
      <c r="I82">
        <v>3405</v>
      </c>
      <c r="J82">
        <v>1</v>
      </c>
      <c r="K82">
        <v>1</v>
      </c>
    </row>
    <row r="83" spans="1:22" x14ac:dyDescent="0.3">
      <c r="A83" t="s">
        <v>557</v>
      </c>
      <c r="B83" t="s">
        <v>6996</v>
      </c>
      <c r="C83" t="s">
        <v>6997</v>
      </c>
      <c r="D83" t="s">
        <v>6998</v>
      </c>
      <c r="E83" t="s">
        <v>16</v>
      </c>
      <c r="F83" t="s">
        <v>6999</v>
      </c>
      <c r="G83" s="2">
        <v>0.41666666666666669</v>
      </c>
      <c r="H83" t="s">
        <v>6911</v>
      </c>
      <c r="I83">
        <v>3403</v>
      </c>
      <c r="J83">
        <v>4</v>
      </c>
      <c r="K83">
        <v>6</v>
      </c>
      <c r="L83">
        <v>0</v>
      </c>
      <c r="S83">
        <v>3</v>
      </c>
    </row>
    <row r="84" spans="1:22" x14ac:dyDescent="0.3">
      <c r="A84" t="s">
        <v>561</v>
      </c>
      <c r="B84" t="s">
        <v>7000</v>
      </c>
      <c r="C84" t="s">
        <v>7001</v>
      </c>
      <c r="D84" t="s">
        <v>7002</v>
      </c>
      <c r="E84" t="s">
        <v>16</v>
      </c>
      <c r="F84" t="s">
        <v>7003</v>
      </c>
      <c r="G84" s="2">
        <v>0.51041666666666663</v>
      </c>
      <c r="H84" t="s">
        <v>556</v>
      </c>
      <c r="I84">
        <v>3400</v>
      </c>
      <c r="J84">
        <v>2</v>
      </c>
      <c r="K84">
        <v>6</v>
      </c>
      <c r="L84">
        <v>1</v>
      </c>
      <c r="S84">
        <v>2</v>
      </c>
      <c r="V84">
        <v>1</v>
      </c>
    </row>
    <row r="85" spans="1:22" x14ac:dyDescent="0.3">
      <c r="A85" t="s">
        <v>565</v>
      </c>
      <c r="B85" t="s">
        <v>7004</v>
      </c>
      <c r="C85" t="s">
        <v>7005</v>
      </c>
      <c r="D85" t="s">
        <v>7006</v>
      </c>
      <c r="E85" t="s">
        <v>16</v>
      </c>
      <c r="F85" t="s">
        <v>7007</v>
      </c>
      <c r="G85" s="2">
        <v>0.5625</v>
      </c>
      <c r="H85" t="s">
        <v>6911</v>
      </c>
      <c r="I85">
        <v>3397</v>
      </c>
      <c r="J85">
        <v>4</v>
      </c>
      <c r="K85">
        <v>6</v>
      </c>
      <c r="L85">
        <v>1</v>
      </c>
      <c r="S85">
        <v>1</v>
      </c>
      <c r="V85">
        <v>1</v>
      </c>
    </row>
    <row r="86" spans="1:22" x14ac:dyDescent="0.3">
      <c r="A86" t="s">
        <v>569</v>
      </c>
      <c r="B86" t="s">
        <v>7008</v>
      </c>
      <c r="C86" t="s">
        <v>7009</v>
      </c>
      <c r="D86" t="s">
        <v>7010</v>
      </c>
      <c r="E86" t="s">
        <v>16</v>
      </c>
      <c r="F86" t="s">
        <v>7011</v>
      </c>
      <c r="G86" s="2">
        <v>0.45833333333333331</v>
      </c>
      <c r="H86" t="s">
        <v>6678</v>
      </c>
      <c r="I86">
        <v>3392</v>
      </c>
      <c r="J86">
        <v>4</v>
      </c>
      <c r="K86">
        <v>7</v>
      </c>
      <c r="L86">
        <v>2</v>
      </c>
      <c r="S86">
        <v>2</v>
      </c>
      <c r="V86">
        <v>2</v>
      </c>
    </row>
    <row r="87" spans="1:22" x14ac:dyDescent="0.3">
      <c r="A87" t="s">
        <v>569</v>
      </c>
      <c r="B87" t="s">
        <v>7012</v>
      </c>
      <c r="C87" t="s">
        <v>7013</v>
      </c>
      <c r="D87" t="s">
        <v>7014</v>
      </c>
      <c r="E87" t="s">
        <v>16</v>
      </c>
      <c r="F87" t="s">
        <v>7015</v>
      </c>
      <c r="G87" s="2">
        <v>0.44791666666666669</v>
      </c>
      <c r="H87" t="s">
        <v>6678</v>
      </c>
      <c r="I87">
        <v>3390</v>
      </c>
      <c r="J87">
        <v>2</v>
      </c>
      <c r="K87">
        <v>6</v>
      </c>
      <c r="L87">
        <v>2</v>
      </c>
      <c r="S87">
        <v>2</v>
      </c>
      <c r="V87">
        <v>2</v>
      </c>
    </row>
    <row r="88" spans="1:22" x14ac:dyDescent="0.3">
      <c r="A88" t="s">
        <v>569</v>
      </c>
      <c r="B88" t="s">
        <v>7016</v>
      </c>
      <c r="C88" t="s">
        <v>7017</v>
      </c>
      <c r="D88" t="s">
        <v>7018</v>
      </c>
      <c r="E88" t="s">
        <v>16</v>
      </c>
      <c r="F88" t="s">
        <v>7019</v>
      </c>
      <c r="G88" s="2">
        <v>0.4375</v>
      </c>
      <c r="H88" t="s">
        <v>6911</v>
      </c>
      <c r="I88">
        <v>3389</v>
      </c>
      <c r="J88">
        <v>1</v>
      </c>
      <c r="K88">
        <v>4</v>
      </c>
      <c r="L88">
        <v>1</v>
      </c>
      <c r="S88">
        <v>1</v>
      </c>
      <c r="V88">
        <v>1</v>
      </c>
    </row>
    <row r="89" spans="1:22" x14ac:dyDescent="0.3">
      <c r="A89" t="s">
        <v>569</v>
      </c>
      <c r="B89" t="s">
        <v>7020</v>
      </c>
      <c r="C89" t="s">
        <v>7021</v>
      </c>
      <c r="D89" t="s">
        <v>7022</v>
      </c>
      <c r="E89" t="s">
        <v>16</v>
      </c>
      <c r="F89" t="s">
        <v>7023</v>
      </c>
      <c r="G89" s="2">
        <v>0.42708333333333331</v>
      </c>
      <c r="H89" t="s">
        <v>6911</v>
      </c>
      <c r="I89">
        <v>3388</v>
      </c>
      <c r="J89">
        <v>2</v>
      </c>
      <c r="K89">
        <v>4</v>
      </c>
      <c r="L89">
        <v>1</v>
      </c>
      <c r="S89">
        <v>1</v>
      </c>
      <c r="V89">
        <v>1</v>
      </c>
    </row>
    <row r="90" spans="1:22" x14ac:dyDescent="0.3">
      <c r="A90" t="s">
        <v>569</v>
      </c>
      <c r="B90" t="s">
        <v>7024</v>
      </c>
      <c r="C90" t="s">
        <v>7025</v>
      </c>
      <c r="D90" t="s">
        <v>7026</v>
      </c>
      <c r="E90" t="s">
        <v>16</v>
      </c>
      <c r="F90" t="s">
        <v>7027</v>
      </c>
      <c r="G90" s="2">
        <v>0.40625</v>
      </c>
      <c r="H90" t="s">
        <v>551</v>
      </c>
      <c r="I90">
        <v>3387</v>
      </c>
      <c r="J90">
        <v>1</v>
      </c>
      <c r="K90">
        <v>4</v>
      </c>
      <c r="L90">
        <v>1</v>
      </c>
      <c r="S90">
        <v>1</v>
      </c>
      <c r="V90">
        <v>1</v>
      </c>
    </row>
    <row r="91" spans="1:22" x14ac:dyDescent="0.3">
      <c r="A91" t="s">
        <v>569</v>
      </c>
      <c r="B91" t="s">
        <v>7028</v>
      </c>
      <c r="C91" t="s">
        <v>7029</v>
      </c>
      <c r="D91" t="s">
        <v>7030</v>
      </c>
      <c r="E91" t="s">
        <v>16</v>
      </c>
      <c r="F91" t="s">
        <v>7031</v>
      </c>
      <c r="G91" s="2">
        <v>0.39583333333333331</v>
      </c>
      <c r="H91" t="s">
        <v>551</v>
      </c>
      <c r="I91">
        <v>3386</v>
      </c>
      <c r="J91">
        <v>1</v>
      </c>
      <c r="K91">
        <v>4</v>
      </c>
      <c r="L91">
        <v>1</v>
      </c>
      <c r="S91">
        <v>1</v>
      </c>
      <c r="V91">
        <v>1</v>
      </c>
    </row>
    <row r="92" spans="1:22" x14ac:dyDescent="0.3">
      <c r="A92" t="s">
        <v>569</v>
      </c>
      <c r="B92" t="s">
        <v>7032</v>
      </c>
      <c r="C92" t="s">
        <v>7033</v>
      </c>
      <c r="D92" t="s">
        <v>7034</v>
      </c>
      <c r="E92" t="s">
        <v>16</v>
      </c>
      <c r="F92" t="s">
        <v>7035</v>
      </c>
      <c r="G92" s="2">
        <v>0.38541666666666669</v>
      </c>
      <c r="H92" t="s">
        <v>551</v>
      </c>
      <c r="I92">
        <v>3385</v>
      </c>
      <c r="J92">
        <v>1</v>
      </c>
      <c r="K92">
        <v>4</v>
      </c>
      <c r="L92">
        <v>1</v>
      </c>
      <c r="S92">
        <v>1</v>
      </c>
      <c r="V92">
        <v>1</v>
      </c>
    </row>
    <row r="93" spans="1:22" x14ac:dyDescent="0.3">
      <c r="A93" t="s">
        <v>569</v>
      </c>
      <c r="B93" t="s">
        <v>7036</v>
      </c>
      <c r="C93" t="s">
        <v>7037</v>
      </c>
      <c r="D93" t="s">
        <v>7038</v>
      </c>
      <c r="E93" t="s">
        <v>16</v>
      </c>
      <c r="F93" t="s">
        <v>7039</v>
      </c>
      <c r="G93" s="2">
        <v>0.375</v>
      </c>
      <c r="H93" t="s">
        <v>551</v>
      </c>
      <c r="I93">
        <v>3384</v>
      </c>
      <c r="J93">
        <v>1</v>
      </c>
      <c r="K93">
        <v>4</v>
      </c>
      <c r="L93">
        <v>1</v>
      </c>
      <c r="S93">
        <v>1</v>
      </c>
      <c r="V93">
        <v>1</v>
      </c>
    </row>
    <row r="94" spans="1:22" x14ac:dyDescent="0.3">
      <c r="A94" t="s">
        <v>569</v>
      </c>
      <c r="B94" t="s">
        <v>7040</v>
      </c>
      <c r="C94" t="s">
        <v>7041</v>
      </c>
      <c r="D94" t="s">
        <v>7042</v>
      </c>
      <c r="E94" t="s">
        <v>16</v>
      </c>
      <c r="F94" t="s">
        <v>7043</v>
      </c>
      <c r="G94" s="2">
        <v>0.36458333333333331</v>
      </c>
      <c r="H94" t="s">
        <v>551</v>
      </c>
      <c r="I94">
        <v>3383</v>
      </c>
      <c r="J94">
        <v>1</v>
      </c>
      <c r="K94">
        <v>4</v>
      </c>
      <c r="L94">
        <v>1</v>
      </c>
      <c r="S94">
        <v>1</v>
      </c>
      <c r="V94">
        <v>1</v>
      </c>
    </row>
    <row r="95" spans="1:22" x14ac:dyDescent="0.3">
      <c r="A95" t="s">
        <v>573</v>
      </c>
      <c r="B95" t="s">
        <v>7044</v>
      </c>
      <c r="C95" t="s">
        <v>7045</v>
      </c>
      <c r="D95" t="s">
        <v>7046</v>
      </c>
      <c r="E95" t="s">
        <v>16</v>
      </c>
      <c r="F95" t="s">
        <v>7047</v>
      </c>
      <c r="G95" s="2">
        <v>0.34375</v>
      </c>
      <c r="H95" t="s">
        <v>551</v>
      </c>
      <c r="I95">
        <v>3381</v>
      </c>
      <c r="J95">
        <v>4</v>
      </c>
      <c r="K95">
        <v>7</v>
      </c>
      <c r="L95">
        <v>3</v>
      </c>
      <c r="S95">
        <v>2</v>
      </c>
      <c r="V95">
        <v>3</v>
      </c>
    </row>
    <row r="96" spans="1:22" x14ac:dyDescent="0.3">
      <c r="A96" t="s">
        <v>573</v>
      </c>
      <c r="B96" t="s">
        <v>7048</v>
      </c>
      <c r="C96" t="s">
        <v>7049</v>
      </c>
      <c r="D96" t="s">
        <v>7050</v>
      </c>
      <c r="E96" t="s">
        <v>16</v>
      </c>
      <c r="F96" t="s">
        <v>7051</v>
      </c>
      <c r="G96" s="2">
        <v>0.33333333333333331</v>
      </c>
      <c r="H96" t="s">
        <v>551</v>
      </c>
      <c r="I96">
        <v>3380</v>
      </c>
      <c r="J96">
        <v>4</v>
      </c>
      <c r="K96">
        <v>7</v>
      </c>
      <c r="L96">
        <v>3</v>
      </c>
      <c r="S96">
        <v>2</v>
      </c>
      <c r="V96">
        <v>3</v>
      </c>
    </row>
    <row r="97" spans="1:22" x14ac:dyDescent="0.3">
      <c r="A97" t="s">
        <v>577</v>
      </c>
      <c r="B97" t="s">
        <v>7052</v>
      </c>
      <c r="C97" t="s">
        <v>7053</v>
      </c>
      <c r="D97" t="s">
        <v>7054</v>
      </c>
      <c r="E97" t="s">
        <v>16</v>
      </c>
      <c r="F97" t="s">
        <v>7055</v>
      </c>
      <c r="G97" s="2">
        <v>0.6875</v>
      </c>
      <c r="H97" t="s">
        <v>556</v>
      </c>
      <c r="I97">
        <v>3378</v>
      </c>
      <c r="J97">
        <v>4</v>
      </c>
      <c r="K97">
        <v>7</v>
      </c>
      <c r="L97">
        <v>3</v>
      </c>
      <c r="S97">
        <v>3</v>
      </c>
      <c r="V97">
        <v>3</v>
      </c>
    </row>
    <row r="98" spans="1:22" x14ac:dyDescent="0.3">
      <c r="A98" t="s">
        <v>577</v>
      </c>
      <c r="B98" t="s">
        <v>7056</v>
      </c>
      <c r="C98" t="s">
        <v>7057</v>
      </c>
      <c r="D98" t="s">
        <v>7058</v>
      </c>
      <c r="E98" t="s">
        <v>16</v>
      </c>
      <c r="F98" t="s">
        <v>7059</v>
      </c>
      <c r="G98" s="2">
        <v>0.64583333333333337</v>
      </c>
      <c r="H98" t="s">
        <v>556</v>
      </c>
      <c r="I98">
        <v>3376</v>
      </c>
      <c r="J98">
        <v>4</v>
      </c>
      <c r="K98">
        <v>7</v>
      </c>
      <c r="L98">
        <v>3</v>
      </c>
      <c r="S98">
        <v>3</v>
      </c>
      <c r="V98">
        <v>3</v>
      </c>
    </row>
    <row r="99" spans="1:22" x14ac:dyDescent="0.3">
      <c r="A99" t="s">
        <v>577</v>
      </c>
      <c r="B99" t="s">
        <v>7060</v>
      </c>
      <c r="C99" t="s">
        <v>7061</v>
      </c>
      <c r="D99" t="s">
        <v>7062</v>
      </c>
      <c r="E99" t="s">
        <v>16</v>
      </c>
      <c r="F99" t="s">
        <v>7063</v>
      </c>
      <c r="G99" s="2">
        <v>0.625</v>
      </c>
      <c r="H99" t="s">
        <v>556</v>
      </c>
      <c r="I99">
        <v>3374</v>
      </c>
      <c r="J99">
        <v>4</v>
      </c>
      <c r="K99">
        <v>7</v>
      </c>
      <c r="S99">
        <v>3</v>
      </c>
      <c r="V99">
        <v>3</v>
      </c>
    </row>
    <row r="100" spans="1:22" x14ac:dyDescent="0.3">
      <c r="A100" t="s">
        <v>577</v>
      </c>
      <c r="B100" t="s">
        <v>7064</v>
      </c>
      <c r="C100" t="s">
        <v>7065</v>
      </c>
      <c r="D100" t="s">
        <v>7066</v>
      </c>
      <c r="E100" t="s">
        <v>16</v>
      </c>
      <c r="F100" t="s">
        <v>7067</v>
      </c>
      <c r="G100" s="2">
        <v>0.59375</v>
      </c>
      <c r="H100" t="s">
        <v>556</v>
      </c>
      <c r="I100">
        <v>3373</v>
      </c>
      <c r="J100">
        <v>4</v>
      </c>
      <c r="K100">
        <v>7</v>
      </c>
      <c r="L100">
        <v>3</v>
      </c>
      <c r="S100">
        <v>3</v>
      </c>
      <c r="V100">
        <v>3</v>
      </c>
    </row>
    <row r="101" spans="1:22" x14ac:dyDescent="0.3">
      <c r="A101" t="s">
        <v>577</v>
      </c>
      <c r="B101" t="s">
        <v>7068</v>
      </c>
      <c r="C101" t="s">
        <v>7069</v>
      </c>
      <c r="D101" t="s">
        <v>7070</v>
      </c>
      <c r="E101" t="s">
        <v>16</v>
      </c>
      <c r="F101" t="s">
        <v>7071</v>
      </c>
      <c r="G101" s="2">
        <v>0.58333333333333337</v>
      </c>
      <c r="H101" t="s">
        <v>556</v>
      </c>
      <c r="I101">
        <v>3372</v>
      </c>
      <c r="J101">
        <v>4</v>
      </c>
      <c r="K101">
        <v>7</v>
      </c>
      <c r="L101">
        <v>3</v>
      </c>
      <c r="S101">
        <v>3</v>
      </c>
      <c r="V101">
        <v>3</v>
      </c>
    </row>
    <row r="102" spans="1:22" x14ac:dyDescent="0.3">
      <c r="A102" t="s">
        <v>577</v>
      </c>
      <c r="B102" t="s">
        <v>7072</v>
      </c>
      <c r="C102" t="s">
        <v>7073</v>
      </c>
      <c r="D102" t="s">
        <v>7074</v>
      </c>
      <c r="E102" t="s">
        <v>16</v>
      </c>
      <c r="F102" t="s">
        <v>7075</v>
      </c>
      <c r="G102" s="2">
        <v>0.57291666666666663</v>
      </c>
      <c r="H102" t="s">
        <v>556</v>
      </c>
      <c r="I102">
        <v>3371</v>
      </c>
      <c r="J102">
        <v>4</v>
      </c>
      <c r="K102">
        <v>7</v>
      </c>
      <c r="L102">
        <v>3</v>
      </c>
      <c r="S102">
        <v>3</v>
      </c>
      <c r="V102">
        <v>3</v>
      </c>
    </row>
    <row r="103" spans="1:22" x14ac:dyDescent="0.3">
      <c r="A103" t="s">
        <v>577</v>
      </c>
      <c r="B103" t="s">
        <v>7076</v>
      </c>
      <c r="C103" t="s">
        <v>7077</v>
      </c>
      <c r="D103" t="s">
        <v>7078</v>
      </c>
      <c r="E103" t="s">
        <v>16</v>
      </c>
      <c r="F103" t="s">
        <v>7079</v>
      </c>
      <c r="G103" s="2">
        <v>0.53125</v>
      </c>
      <c r="H103" t="s">
        <v>6673</v>
      </c>
      <c r="I103">
        <v>3367</v>
      </c>
      <c r="J103">
        <v>4</v>
      </c>
      <c r="K103">
        <v>7</v>
      </c>
      <c r="L103">
        <v>3</v>
      </c>
      <c r="S103">
        <v>3</v>
      </c>
      <c r="V103">
        <v>3</v>
      </c>
    </row>
    <row r="104" spans="1:22" x14ac:dyDescent="0.3">
      <c r="A104" t="s">
        <v>577</v>
      </c>
      <c r="B104" t="s">
        <v>7080</v>
      </c>
      <c r="C104" t="s">
        <v>7081</v>
      </c>
      <c r="D104" t="s">
        <v>7082</v>
      </c>
      <c r="E104" t="s">
        <v>16</v>
      </c>
      <c r="F104" t="s">
        <v>7083</v>
      </c>
      <c r="G104" s="2">
        <v>0.5</v>
      </c>
      <c r="H104" t="s">
        <v>6678</v>
      </c>
      <c r="I104">
        <v>3366</v>
      </c>
      <c r="J104">
        <v>6</v>
      </c>
      <c r="K104">
        <v>7</v>
      </c>
      <c r="L104">
        <v>3</v>
      </c>
      <c r="S104">
        <v>3</v>
      </c>
      <c r="V104">
        <v>3</v>
      </c>
    </row>
    <row r="105" spans="1:22" x14ac:dyDescent="0.3">
      <c r="A105" t="s">
        <v>577</v>
      </c>
      <c r="B105" t="s">
        <v>7084</v>
      </c>
      <c r="C105" t="s">
        <v>7085</v>
      </c>
      <c r="D105" t="s">
        <v>7086</v>
      </c>
      <c r="E105" t="s">
        <v>16</v>
      </c>
      <c r="F105" t="s">
        <v>7087</v>
      </c>
      <c r="G105" s="2">
        <v>0.48958333333333331</v>
      </c>
      <c r="H105" t="s">
        <v>6678</v>
      </c>
      <c r="I105">
        <v>3365</v>
      </c>
      <c r="J105">
        <v>6</v>
      </c>
      <c r="K105">
        <v>7</v>
      </c>
      <c r="L105">
        <v>3</v>
      </c>
      <c r="S105">
        <v>3</v>
      </c>
      <c r="V105">
        <v>3</v>
      </c>
    </row>
    <row r="106" spans="1:22" x14ac:dyDescent="0.3">
      <c r="A106" t="s">
        <v>577</v>
      </c>
      <c r="B106" t="s">
        <v>7088</v>
      </c>
      <c r="C106" t="s">
        <v>7089</v>
      </c>
      <c r="D106" t="s">
        <v>7090</v>
      </c>
      <c r="E106" t="s">
        <v>16</v>
      </c>
      <c r="F106" t="s">
        <v>7091</v>
      </c>
      <c r="G106" s="2">
        <v>0.47916666666666669</v>
      </c>
      <c r="H106" t="s">
        <v>6678</v>
      </c>
      <c r="I106">
        <v>3364</v>
      </c>
      <c r="J106">
        <v>6</v>
      </c>
      <c r="K106">
        <v>7</v>
      </c>
      <c r="L106">
        <v>3</v>
      </c>
      <c r="S106">
        <v>3</v>
      </c>
      <c r="V106">
        <v>3</v>
      </c>
    </row>
    <row r="107" spans="1:22" x14ac:dyDescent="0.3">
      <c r="A107" t="s">
        <v>577</v>
      </c>
      <c r="B107" t="s">
        <v>7092</v>
      </c>
      <c r="C107" t="s">
        <v>7093</v>
      </c>
      <c r="D107" t="s">
        <v>7094</v>
      </c>
      <c r="E107" t="s">
        <v>16</v>
      </c>
      <c r="F107" t="s">
        <v>7095</v>
      </c>
      <c r="G107" s="2">
        <v>0.46875</v>
      </c>
      <c r="H107" t="s">
        <v>6678</v>
      </c>
      <c r="I107">
        <v>3363</v>
      </c>
      <c r="J107">
        <v>6</v>
      </c>
      <c r="K107">
        <v>7</v>
      </c>
      <c r="L107">
        <v>3</v>
      </c>
      <c r="S107">
        <v>3</v>
      </c>
      <c r="V107">
        <v>3</v>
      </c>
    </row>
    <row r="108" spans="1:22" x14ac:dyDescent="0.3">
      <c r="A108" t="s">
        <v>577</v>
      </c>
      <c r="B108" t="s">
        <v>7096</v>
      </c>
      <c r="C108" t="s">
        <v>7097</v>
      </c>
      <c r="D108" t="s">
        <v>7098</v>
      </c>
      <c r="E108" t="s">
        <v>16</v>
      </c>
      <c r="F108" t="s">
        <v>7099</v>
      </c>
      <c r="G108" s="2">
        <v>0.45833333333333331</v>
      </c>
      <c r="H108" t="s">
        <v>6678</v>
      </c>
      <c r="I108">
        <v>3362</v>
      </c>
      <c r="J108">
        <v>6</v>
      </c>
      <c r="K108">
        <v>7</v>
      </c>
      <c r="L108">
        <v>2</v>
      </c>
      <c r="S108">
        <v>3</v>
      </c>
      <c r="V108">
        <v>3</v>
      </c>
    </row>
    <row r="109" spans="1:22" x14ac:dyDescent="0.3">
      <c r="A109" t="s">
        <v>577</v>
      </c>
      <c r="B109" t="s">
        <v>7100</v>
      </c>
      <c r="C109" t="s">
        <v>7101</v>
      </c>
      <c r="D109" t="s">
        <v>7102</v>
      </c>
      <c r="E109" t="s">
        <v>16</v>
      </c>
      <c r="F109" t="s">
        <v>7103</v>
      </c>
      <c r="G109" s="2">
        <v>0.44791666666666669</v>
      </c>
      <c r="H109" t="s">
        <v>6678</v>
      </c>
      <c r="I109">
        <v>3358</v>
      </c>
      <c r="J109">
        <v>4</v>
      </c>
      <c r="K109">
        <v>7</v>
      </c>
      <c r="L109">
        <v>3</v>
      </c>
      <c r="S109">
        <v>3</v>
      </c>
      <c r="V109">
        <v>3</v>
      </c>
    </row>
    <row r="110" spans="1:22" x14ac:dyDescent="0.3">
      <c r="A110" t="s">
        <v>577</v>
      </c>
      <c r="B110" t="s">
        <v>7104</v>
      </c>
      <c r="C110" t="s">
        <v>7105</v>
      </c>
      <c r="D110" t="s">
        <v>7106</v>
      </c>
      <c r="E110" t="s">
        <v>16</v>
      </c>
      <c r="F110" t="s">
        <v>7107</v>
      </c>
      <c r="G110" s="2">
        <v>0.4375</v>
      </c>
      <c r="H110" t="s">
        <v>6678</v>
      </c>
      <c r="I110">
        <v>3357</v>
      </c>
      <c r="J110">
        <v>4</v>
      </c>
      <c r="K110">
        <v>7</v>
      </c>
      <c r="L110">
        <v>3</v>
      </c>
      <c r="S110">
        <v>3</v>
      </c>
      <c r="V110">
        <v>3</v>
      </c>
    </row>
    <row r="111" spans="1:22" x14ac:dyDescent="0.3">
      <c r="A111" t="s">
        <v>581</v>
      </c>
      <c r="B111" t="s">
        <v>7108</v>
      </c>
      <c r="C111" t="s">
        <v>7109</v>
      </c>
      <c r="D111" t="s">
        <v>7110</v>
      </c>
      <c r="E111" t="s">
        <v>16</v>
      </c>
      <c r="F111" t="s">
        <v>7111</v>
      </c>
      <c r="G111" s="2">
        <v>0.66666666666666663</v>
      </c>
      <c r="H111" t="s">
        <v>556</v>
      </c>
      <c r="I111">
        <v>3354</v>
      </c>
    </row>
    <row r="112" spans="1:22" x14ac:dyDescent="0.3">
      <c r="A112" t="s">
        <v>581</v>
      </c>
      <c r="B112" t="s">
        <v>7112</v>
      </c>
      <c r="C112" t="s">
        <v>7113</v>
      </c>
      <c r="D112" t="s">
        <v>7114</v>
      </c>
      <c r="E112" t="s">
        <v>16</v>
      </c>
      <c r="F112" t="s">
        <v>7115</v>
      </c>
      <c r="G112" s="2">
        <v>0.625</v>
      </c>
      <c r="H112" t="s">
        <v>556</v>
      </c>
      <c r="I112">
        <v>3351</v>
      </c>
      <c r="J112">
        <v>4</v>
      </c>
      <c r="K112">
        <v>7</v>
      </c>
      <c r="L112">
        <v>3</v>
      </c>
      <c r="S112">
        <v>3</v>
      </c>
      <c r="V112">
        <v>3</v>
      </c>
    </row>
    <row r="113" spans="1:23" x14ac:dyDescent="0.3">
      <c r="A113" t="s">
        <v>581</v>
      </c>
      <c r="B113" t="s">
        <v>7116</v>
      </c>
      <c r="C113" t="s">
        <v>7117</v>
      </c>
      <c r="D113" t="s">
        <v>7118</v>
      </c>
      <c r="E113" t="s">
        <v>16</v>
      </c>
      <c r="F113" t="s">
        <v>7119</v>
      </c>
      <c r="G113" s="2">
        <v>0.61458333333333337</v>
      </c>
      <c r="H113" t="s">
        <v>556</v>
      </c>
      <c r="I113">
        <v>3350</v>
      </c>
      <c r="J113">
        <v>4</v>
      </c>
      <c r="K113">
        <v>7</v>
      </c>
      <c r="L113">
        <v>3</v>
      </c>
      <c r="S113">
        <v>3</v>
      </c>
      <c r="V113">
        <v>3</v>
      </c>
    </row>
    <row r="114" spans="1:23" x14ac:dyDescent="0.3">
      <c r="A114" t="s">
        <v>581</v>
      </c>
      <c r="B114" t="s">
        <v>7120</v>
      </c>
      <c r="C114" t="s">
        <v>7121</v>
      </c>
      <c r="D114" t="s">
        <v>7122</v>
      </c>
      <c r="E114" t="s">
        <v>16</v>
      </c>
      <c r="F114" t="s">
        <v>7123</v>
      </c>
      <c r="G114" s="2">
        <v>0.60416666666666663</v>
      </c>
      <c r="H114" t="s">
        <v>556</v>
      </c>
      <c r="I114">
        <v>3349</v>
      </c>
      <c r="J114">
        <v>4</v>
      </c>
      <c r="K114">
        <v>7</v>
      </c>
      <c r="L114">
        <v>3</v>
      </c>
      <c r="S114">
        <v>3</v>
      </c>
      <c r="V114">
        <v>3</v>
      </c>
    </row>
    <row r="115" spans="1:23" x14ac:dyDescent="0.3">
      <c r="A115" t="s">
        <v>581</v>
      </c>
      <c r="B115" t="s">
        <v>7124</v>
      </c>
      <c r="C115" t="s">
        <v>7125</v>
      </c>
      <c r="D115" t="s">
        <v>7126</v>
      </c>
      <c r="E115" t="s">
        <v>16</v>
      </c>
      <c r="F115" t="s">
        <v>7127</v>
      </c>
      <c r="G115" s="2">
        <v>0.59375</v>
      </c>
      <c r="H115" t="s">
        <v>556</v>
      </c>
      <c r="I115">
        <v>3348</v>
      </c>
      <c r="J115">
        <v>4</v>
      </c>
      <c r="K115">
        <v>7</v>
      </c>
      <c r="L115">
        <v>3</v>
      </c>
      <c r="S115">
        <v>3</v>
      </c>
      <c r="V115">
        <v>3</v>
      </c>
    </row>
    <row r="116" spans="1:23" x14ac:dyDescent="0.3">
      <c r="A116" t="s">
        <v>581</v>
      </c>
      <c r="B116" t="s">
        <v>7128</v>
      </c>
      <c r="C116" t="s">
        <v>7129</v>
      </c>
      <c r="D116" t="s">
        <v>7130</v>
      </c>
      <c r="E116" t="s">
        <v>16</v>
      </c>
      <c r="F116" t="s">
        <v>7131</v>
      </c>
      <c r="G116" s="2">
        <v>0.58333333333333337</v>
      </c>
      <c r="H116" t="s">
        <v>556</v>
      </c>
      <c r="I116">
        <v>3346</v>
      </c>
      <c r="J116">
        <v>4</v>
      </c>
      <c r="K116">
        <v>7</v>
      </c>
      <c r="L116">
        <v>3</v>
      </c>
      <c r="S116">
        <v>3</v>
      </c>
      <c r="V116">
        <v>3</v>
      </c>
    </row>
    <row r="117" spans="1:23" x14ac:dyDescent="0.3">
      <c r="A117" t="s">
        <v>581</v>
      </c>
      <c r="B117" t="s">
        <v>7132</v>
      </c>
      <c r="C117" t="s">
        <v>7133</v>
      </c>
      <c r="D117" t="s">
        <v>7134</v>
      </c>
      <c r="E117" t="s">
        <v>16</v>
      </c>
      <c r="F117" t="s">
        <v>7135</v>
      </c>
      <c r="G117" s="2">
        <v>0.57291666666666663</v>
      </c>
      <c r="H117" t="s">
        <v>556</v>
      </c>
      <c r="I117">
        <v>3345</v>
      </c>
      <c r="J117">
        <v>4</v>
      </c>
      <c r="K117">
        <v>7</v>
      </c>
      <c r="L117">
        <v>3</v>
      </c>
      <c r="S117">
        <v>3</v>
      </c>
      <c r="V117">
        <v>3</v>
      </c>
    </row>
    <row r="118" spans="1:23" x14ac:dyDescent="0.3">
      <c r="A118" t="s">
        <v>585</v>
      </c>
      <c r="B118" t="s">
        <v>7136</v>
      </c>
      <c r="C118" t="s">
        <v>7137</v>
      </c>
      <c r="D118" t="s">
        <v>7138</v>
      </c>
      <c r="E118" t="s">
        <v>16</v>
      </c>
      <c r="F118" t="s">
        <v>7139</v>
      </c>
      <c r="G118" s="2">
        <v>0.5</v>
      </c>
      <c r="H118" t="s">
        <v>6678</v>
      </c>
      <c r="I118">
        <v>3343</v>
      </c>
      <c r="J118">
        <v>4</v>
      </c>
      <c r="K118">
        <v>7</v>
      </c>
      <c r="L118">
        <v>3</v>
      </c>
      <c r="S118">
        <v>3</v>
      </c>
      <c r="V118">
        <v>3</v>
      </c>
    </row>
    <row r="119" spans="1:23" x14ac:dyDescent="0.3">
      <c r="A119" t="s">
        <v>585</v>
      </c>
      <c r="B119" t="s">
        <v>7140</v>
      </c>
      <c r="C119" t="s">
        <v>7141</v>
      </c>
      <c r="D119" t="s">
        <v>7142</v>
      </c>
      <c r="E119" t="s">
        <v>16</v>
      </c>
      <c r="F119" t="s">
        <v>7143</v>
      </c>
      <c r="G119" s="2">
        <v>0.46875</v>
      </c>
      <c r="H119" t="s">
        <v>6678</v>
      </c>
      <c r="I119">
        <v>3342</v>
      </c>
      <c r="J119">
        <v>4</v>
      </c>
      <c r="K119">
        <v>7</v>
      </c>
      <c r="L119">
        <v>2</v>
      </c>
      <c r="S119">
        <v>3</v>
      </c>
      <c r="U119">
        <v>0</v>
      </c>
      <c r="V119">
        <v>3</v>
      </c>
      <c r="W119">
        <v>0</v>
      </c>
    </row>
    <row r="120" spans="1:23" x14ac:dyDescent="0.3">
      <c r="A120" t="s">
        <v>585</v>
      </c>
      <c r="B120" t="s">
        <v>7144</v>
      </c>
      <c r="C120" t="s">
        <v>7145</v>
      </c>
      <c r="D120" t="s">
        <v>7146</v>
      </c>
      <c r="E120" t="s">
        <v>16</v>
      </c>
      <c r="F120" t="s">
        <v>7147</v>
      </c>
      <c r="G120" s="2">
        <v>0.45833333333333331</v>
      </c>
      <c r="H120" t="s">
        <v>6678</v>
      </c>
      <c r="I120">
        <v>3341</v>
      </c>
      <c r="J120">
        <v>4</v>
      </c>
      <c r="K120">
        <v>7</v>
      </c>
      <c r="L120">
        <v>3</v>
      </c>
      <c r="S120">
        <v>3</v>
      </c>
      <c r="V120">
        <v>3</v>
      </c>
    </row>
    <row r="121" spans="1:23" x14ac:dyDescent="0.3">
      <c r="A121" t="s">
        <v>585</v>
      </c>
      <c r="B121" t="s">
        <v>7148</v>
      </c>
      <c r="C121" t="s">
        <v>7149</v>
      </c>
      <c r="D121" t="s">
        <v>7150</v>
      </c>
      <c r="E121" t="s">
        <v>16</v>
      </c>
      <c r="F121" t="s">
        <v>7151</v>
      </c>
      <c r="G121" s="2">
        <v>0.44791666666666669</v>
      </c>
      <c r="H121" t="s">
        <v>6678</v>
      </c>
      <c r="I121">
        <v>3340</v>
      </c>
      <c r="J121">
        <v>4</v>
      </c>
      <c r="K121">
        <v>7</v>
      </c>
      <c r="S121">
        <v>3</v>
      </c>
      <c r="V121">
        <v>3</v>
      </c>
    </row>
    <row r="122" spans="1:23" x14ac:dyDescent="0.3">
      <c r="A122" t="s">
        <v>585</v>
      </c>
      <c r="B122" t="s">
        <v>7152</v>
      </c>
      <c r="C122" t="s">
        <v>7153</v>
      </c>
      <c r="D122" t="s">
        <v>7154</v>
      </c>
      <c r="E122" t="s">
        <v>16</v>
      </c>
      <c r="F122" t="s">
        <v>7155</v>
      </c>
      <c r="G122" s="2">
        <v>0.4375</v>
      </c>
      <c r="H122" t="s">
        <v>6678</v>
      </c>
      <c r="I122">
        <v>3339</v>
      </c>
      <c r="J122">
        <v>4</v>
      </c>
      <c r="K122">
        <v>7</v>
      </c>
      <c r="L122">
        <v>2</v>
      </c>
      <c r="S122">
        <v>3</v>
      </c>
      <c r="V122">
        <v>3</v>
      </c>
    </row>
    <row r="123" spans="1:23" x14ac:dyDescent="0.3">
      <c r="A123" t="s">
        <v>585</v>
      </c>
      <c r="B123" t="s">
        <v>7156</v>
      </c>
      <c r="C123" t="s">
        <v>7157</v>
      </c>
      <c r="D123" t="s">
        <v>7158</v>
      </c>
      <c r="E123" t="s">
        <v>16</v>
      </c>
      <c r="F123" t="s">
        <v>7159</v>
      </c>
      <c r="G123" s="2">
        <v>0.42708333333333331</v>
      </c>
      <c r="H123" t="s">
        <v>556</v>
      </c>
      <c r="I123">
        <v>3338</v>
      </c>
      <c r="J123">
        <v>4</v>
      </c>
      <c r="K123">
        <v>7</v>
      </c>
      <c r="L123">
        <v>2</v>
      </c>
      <c r="S123">
        <v>3</v>
      </c>
      <c r="V123">
        <v>3</v>
      </c>
    </row>
    <row r="124" spans="1:23" x14ac:dyDescent="0.3">
      <c r="A124" t="s">
        <v>585</v>
      </c>
      <c r="B124" t="s">
        <v>7160</v>
      </c>
      <c r="C124" t="s">
        <v>7161</v>
      </c>
      <c r="D124" t="s">
        <v>7162</v>
      </c>
      <c r="E124" t="s">
        <v>16</v>
      </c>
      <c r="F124" t="s">
        <v>7163</v>
      </c>
      <c r="G124" s="2">
        <v>0.38541666666666669</v>
      </c>
      <c r="H124" t="s">
        <v>6678</v>
      </c>
      <c r="I124">
        <v>3337</v>
      </c>
      <c r="J124">
        <v>4</v>
      </c>
      <c r="K124">
        <v>7</v>
      </c>
      <c r="L124">
        <v>3</v>
      </c>
      <c r="S124">
        <v>3</v>
      </c>
      <c r="V124">
        <v>3</v>
      </c>
    </row>
    <row r="125" spans="1:23" x14ac:dyDescent="0.3">
      <c r="A125" t="s">
        <v>585</v>
      </c>
      <c r="B125" t="s">
        <v>7164</v>
      </c>
      <c r="C125" t="s">
        <v>7165</v>
      </c>
      <c r="D125" t="s">
        <v>7166</v>
      </c>
      <c r="E125" t="s">
        <v>16</v>
      </c>
      <c r="F125" t="s">
        <v>7167</v>
      </c>
      <c r="G125" s="2">
        <v>0.375</v>
      </c>
      <c r="H125" t="s">
        <v>6678</v>
      </c>
      <c r="I125">
        <v>3336</v>
      </c>
      <c r="J125">
        <v>4</v>
      </c>
      <c r="K125">
        <v>7</v>
      </c>
      <c r="L125">
        <v>3</v>
      </c>
      <c r="S125">
        <v>3</v>
      </c>
      <c r="V125">
        <v>3</v>
      </c>
    </row>
    <row r="126" spans="1:23" x14ac:dyDescent="0.3">
      <c r="A126" t="s">
        <v>585</v>
      </c>
      <c r="B126" t="s">
        <v>7168</v>
      </c>
      <c r="C126" t="s">
        <v>7169</v>
      </c>
      <c r="D126" t="s">
        <v>7170</v>
      </c>
      <c r="E126" t="s">
        <v>16</v>
      </c>
      <c r="F126" t="s">
        <v>7171</v>
      </c>
      <c r="G126" s="2">
        <v>0.36458333333333331</v>
      </c>
      <c r="H126" t="s">
        <v>6678</v>
      </c>
      <c r="I126">
        <v>3334</v>
      </c>
      <c r="J126">
        <v>4</v>
      </c>
      <c r="K126">
        <v>7</v>
      </c>
      <c r="L126">
        <v>3</v>
      </c>
      <c r="S126">
        <v>3</v>
      </c>
      <c r="V126">
        <v>3</v>
      </c>
    </row>
    <row r="127" spans="1:23" x14ac:dyDescent="0.3">
      <c r="A127" t="s">
        <v>585</v>
      </c>
      <c r="B127" t="s">
        <v>7172</v>
      </c>
      <c r="C127" t="s">
        <v>7173</v>
      </c>
      <c r="D127" t="s">
        <v>7174</v>
      </c>
      <c r="E127" t="s">
        <v>16</v>
      </c>
      <c r="F127" t="s">
        <v>7175</v>
      </c>
      <c r="G127" s="2">
        <v>0.35416666666666669</v>
      </c>
      <c r="H127" t="s">
        <v>6678</v>
      </c>
      <c r="I127">
        <v>3332</v>
      </c>
      <c r="J127">
        <v>4</v>
      </c>
      <c r="K127">
        <v>7</v>
      </c>
      <c r="L127">
        <v>3</v>
      </c>
      <c r="S127">
        <v>3</v>
      </c>
      <c r="V127">
        <v>3</v>
      </c>
    </row>
    <row r="128" spans="1:23" x14ac:dyDescent="0.3">
      <c r="A128" t="s">
        <v>589</v>
      </c>
      <c r="B128" t="s">
        <v>7176</v>
      </c>
      <c r="C128" t="s">
        <v>7177</v>
      </c>
      <c r="D128" t="s">
        <v>7178</v>
      </c>
      <c r="E128" t="s">
        <v>16</v>
      </c>
      <c r="F128" t="s">
        <v>7179</v>
      </c>
      <c r="G128" s="2">
        <v>0.6875</v>
      </c>
      <c r="H128" t="s">
        <v>556</v>
      </c>
      <c r="I128">
        <v>3327</v>
      </c>
      <c r="J128">
        <v>4</v>
      </c>
      <c r="K128">
        <v>7</v>
      </c>
      <c r="L128">
        <v>3</v>
      </c>
      <c r="S128">
        <v>3</v>
      </c>
      <c r="V128">
        <v>3</v>
      </c>
    </row>
    <row r="129" spans="1:22" x14ac:dyDescent="0.3">
      <c r="A129" t="s">
        <v>589</v>
      </c>
      <c r="B129" t="s">
        <v>7180</v>
      </c>
      <c r="C129" t="s">
        <v>7181</v>
      </c>
      <c r="D129" t="s">
        <v>7182</v>
      </c>
      <c r="E129" t="s">
        <v>16</v>
      </c>
      <c r="F129" t="s">
        <v>7183</v>
      </c>
      <c r="G129" s="2">
        <v>0.61458333333333337</v>
      </c>
      <c r="H129" t="s">
        <v>556</v>
      </c>
      <c r="I129">
        <v>3322</v>
      </c>
      <c r="J129">
        <v>4</v>
      </c>
      <c r="K129">
        <v>7</v>
      </c>
      <c r="L129">
        <v>3</v>
      </c>
      <c r="S129">
        <v>3</v>
      </c>
      <c r="V129">
        <v>3</v>
      </c>
    </row>
    <row r="130" spans="1:22" x14ac:dyDescent="0.3">
      <c r="A130" t="s">
        <v>589</v>
      </c>
      <c r="B130" t="s">
        <v>7184</v>
      </c>
      <c r="C130" t="s">
        <v>7185</v>
      </c>
      <c r="D130" t="s">
        <v>7186</v>
      </c>
      <c r="E130" t="s">
        <v>16</v>
      </c>
      <c r="F130" t="s">
        <v>7187</v>
      </c>
      <c r="G130" s="2">
        <v>0.58333333333333337</v>
      </c>
      <c r="H130" t="s">
        <v>556</v>
      </c>
      <c r="I130">
        <v>3321</v>
      </c>
      <c r="J130">
        <v>4</v>
      </c>
      <c r="K130">
        <v>7</v>
      </c>
      <c r="L130">
        <v>3</v>
      </c>
      <c r="S130">
        <v>3</v>
      </c>
      <c r="V130">
        <v>3</v>
      </c>
    </row>
    <row r="131" spans="1:22" x14ac:dyDescent="0.3">
      <c r="A131" t="s">
        <v>589</v>
      </c>
      <c r="B131" t="s">
        <v>7188</v>
      </c>
      <c r="C131" t="s">
        <v>7189</v>
      </c>
      <c r="D131" t="s">
        <v>7190</v>
      </c>
      <c r="E131" t="s">
        <v>16</v>
      </c>
      <c r="F131" t="s">
        <v>7191</v>
      </c>
      <c r="G131" s="2">
        <v>0.5625</v>
      </c>
      <c r="H131" t="s">
        <v>556</v>
      </c>
      <c r="I131">
        <v>3319</v>
      </c>
      <c r="J131">
        <v>4</v>
      </c>
      <c r="K131">
        <v>5</v>
      </c>
      <c r="L131">
        <v>2</v>
      </c>
      <c r="S131">
        <v>3</v>
      </c>
      <c r="V131">
        <v>3</v>
      </c>
    </row>
    <row r="132" spans="1:22" x14ac:dyDescent="0.3">
      <c r="A132" t="s">
        <v>589</v>
      </c>
      <c r="B132" t="s">
        <v>7192</v>
      </c>
      <c r="C132" t="s">
        <v>7193</v>
      </c>
      <c r="D132" t="s">
        <v>7194</v>
      </c>
      <c r="E132" t="s">
        <v>16</v>
      </c>
      <c r="F132" t="s">
        <v>7195</v>
      </c>
      <c r="G132" s="2">
        <v>0.54166666666666663</v>
      </c>
      <c r="H132" t="s">
        <v>556</v>
      </c>
      <c r="I132">
        <v>3317</v>
      </c>
      <c r="J132">
        <v>4</v>
      </c>
      <c r="K132">
        <v>5</v>
      </c>
      <c r="L132">
        <v>2</v>
      </c>
      <c r="S132">
        <v>3</v>
      </c>
      <c r="V132">
        <v>3</v>
      </c>
    </row>
    <row r="133" spans="1:22" x14ac:dyDescent="0.3">
      <c r="A133" t="s">
        <v>589</v>
      </c>
      <c r="B133" t="s">
        <v>7196</v>
      </c>
      <c r="C133" t="s">
        <v>7197</v>
      </c>
      <c r="D133" t="s">
        <v>7198</v>
      </c>
      <c r="E133" t="s">
        <v>16</v>
      </c>
      <c r="F133" t="s">
        <v>7199</v>
      </c>
      <c r="G133" s="2">
        <v>0.53125</v>
      </c>
      <c r="H133" t="s">
        <v>556</v>
      </c>
      <c r="I133">
        <v>3316</v>
      </c>
      <c r="J133">
        <v>4</v>
      </c>
      <c r="K133">
        <v>5</v>
      </c>
      <c r="L133">
        <v>3</v>
      </c>
      <c r="S133">
        <v>3</v>
      </c>
      <c r="V133">
        <v>3</v>
      </c>
    </row>
    <row r="134" spans="1:22" x14ac:dyDescent="0.3">
      <c r="A134" t="s">
        <v>589</v>
      </c>
      <c r="B134" t="s">
        <v>7200</v>
      </c>
      <c r="C134" t="s">
        <v>7201</v>
      </c>
      <c r="D134" t="s">
        <v>7202</v>
      </c>
      <c r="E134" t="s">
        <v>16</v>
      </c>
      <c r="F134" t="s">
        <v>7203</v>
      </c>
      <c r="G134" s="2">
        <v>0.45833333333333331</v>
      </c>
      <c r="H134" t="s">
        <v>6678</v>
      </c>
      <c r="I134">
        <v>3315</v>
      </c>
      <c r="J134">
        <v>5</v>
      </c>
      <c r="K134">
        <v>3</v>
      </c>
      <c r="S134">
        <v>1</v>
      </c>
    </row>
    <row r="135" spans="1:22" x14ac:dyDescent="0.3">
      <c r="A135" t="s">
        <v>592</v>
      </c>
      <c r="B135" t="s">
        <v>7204</v>
      </c>
      <c r="C135" t="s">
        <v>7205</v>
      </c>
      <c r="D135" t="s">
        <v>7206</v>
      </c>
      <c r="E135" t="s">
        <v>16</v>
      </c>
      <c r="F135" t="s">
        <v>7207</v>
      </c>
      <c r="G135" s="2">
        <v>0.60416666666666663</v>
      </c>
      <c r="H135" t="s">
        <v>6673</v>
      </c>
      <c r="I135">
        <v>3313</v>
      </c>
      <c r="J135">
        <v>5</v>
      </c>
      <c r="K135">
        <v>7</v>
      </c>
      <c r="L135">
        <v>2</v>
      </c>
      <c r="S135">
        <v>2</v>
      </c>
      <c r="V135">
        <v>3</v>
      </c>
    </row>
    <row r="136" spans="1:22" x14ac:dyDescent="0.3">
      <c r="A136" t="s">
        <v>592</v>
      </c>
      <c r="B136" t="s">
        <v>7208</v>
      </c>
      <c r="C136" t="s">
        <v>7209</v>
      </c>
      <c r="D136" t="s">
        <v>7210</v>
      </c>
      <c r="E136" t="s">
        <v>16</v>
      </c>
      <c r="F136" t="s">
        <v>7211</v>
      </c>
      <c r="G136" s="2">
        <v>0.57291666666666663</v>
      </c>
      <c r="H136" t="s">
        <v>6673</v>
      </c>
      <c r="I136">
        <v>3312</v>
      </c>
    </row>
    <row r="137" spans="1:22" x14ac:dyDescent="0.3">
      <c r="A137" t="s">
        <v>592</v>
      </c>
      <c r="B137" t="s">
        <v>7212</v>
      </c>
      <c r="C137" t="s">
        <v>7213</v>
      </c>
      <c r="D137" t="s">
        <v>7214</v>
      </c>
      <c r="E137" t="s">
        <v>16</v>
      </c>
      <c r="F137" t="s">
        <v>7215</v>
      </c>
      <c r="G137" s="2">
        <v>0.4375</v>
      </c>
      <c r="H137" t="s">
        <v>6673</v>
      </c>
      <c r="I137">
        <v>3309</v>
      </c>
      <c r="J137">
        <v>4</v>
      </c>
      <c r="K137">
        <v>6</v>
      </c>
      <c r="L137">
        <v>2</v>
      </c>
      <c r="M137">
        <v>2</v>
      </c>
      <c r="S137">
        <v>3</v>
      </c>
      <c r="V137">
        <v>2</v>
      </c>
    </row>
    <row r="138" spans="1:22" x14ac:dyDescent="0.3">
      <c r="A138" t="s">
        <v>592</v>
      </c>
      <c r="B138" t="s">
        <v>7216</v>
      </c>
      <c r="C138" t="s">
        <v>7217</v>
      </c>
      <c r="D138" t="s">
        <v>7218</v>
      </c>
      <c r="E138" t="s">
        <v>16</v>
      </c>
      <c r="F138" t="s">
        <v>7219</v>
      </c>
      <c r="G138" s="2">
        <v>0.39583333333333331</v>
      </c>
      <c r="H138" t="s">
        <v>6678</v>
      </c>
      <c r="I138">
        <v>3308</v>
      </c>
      <c r="J138">
        <v>4</v>
      </c>
      <c r="K138">
        <v>6</v>
      </c>
      <c r="L138">
        <v>2</v>
      </c>
      <c r="M138">
        <v>2</v>
      </c>
      <c r="S138">
        <v>4</v>
      </c>
      <c r="V138">
        <v>2</v>
      </c>
    </row>
    <row r="139" spans="1:22" x14ac:dyDescent="0.3">
      <c r="A139" t="s">
        <v>592</v>
      </c>
      <c r="B139" t="s">
        <v>7220</v>
      </c>
      <c r="C139" t="s">
        <v>7221</v>
      </c>
      <c r="D139" t="s">
        <v>7222</v>
      </c>
      <c r="E139" t="s">
        <v>16</v>
      </c>
      <c r="F139" t="s">
        <v>7223</v>
      </c>
      <c r="G139" s="2">
        <v>0.38541666666666669</v>
      </c>
      <c r="H139" t="s">
        <v>6678</v>
      </c>
      <c r="I139">
        <v>3307</v>
      </c>
      <c r="J139">
        <v>4</v>
      </c>
      <c r="K139">
        <v>6</v>
      </c>
      <c r="L139">
        <v>2</v>
      </c>
      <c r="S139">
        <v>3</v>
      </c>
      <c r="V139">
        <v>2</v>
      </c>
    </row>
    <row r="140" spans="1:22" x14ac:dyDescent="0.3">
      <c r="A140" t="s">
        <v>592</v>
      </c>
      <c r="B140" t="s">
        <v>7224</v>
      </c>
      <c r="C140" t="s">
        <v>7225</v>
      </c>
      <c r="D140" t="s">
        <v>7226</v>
      </c>
      <c r="E140" t="s">
        <v>16</v>
      </c>
      <c r="F140" t="s">
        <v>7227</v>
      </c>
      <c r="G140" s="2">
        <v>0.375</v>
      </c>
      <c r="H140" t="s">
        <v>6678</v>
      </c>
      <c r="I140">
        <v>3306</v>
      </c>
      <c r="J140">
        <v>4</v>
      </c>
      <c r="K140">
        <v>6</v>
      </c>
      <c r="L140">
        <v>2</v>
      </c>
      <c r="S140">
        <v>3</v>
      </c>
      <c r="V140">
        <v>2</v>
      </c>
    </row>
    <row r="141" spans="1:22" x14ac:dyDescent="0.3">
      <c r="A141" t="s">
        <v>592</v>
      </c>
      <c r="B141" t="s">
        <v>7228</v>
      </c>
      <c r="C141" t="s">
        <v>7229</v>
      </c>
      <c r="D141" t="s">
        <v>7230</v>
      </c>
      <c r="E141" t="s">
        <v>16</v>
      </c>
      <c r="F141" t="s">
        <v>7231</v>
      </c>
      <c r="G141" s="2">
        <v>0.36458333333333331</v>
      </c>
      <c r="H141" t="s">
        <v>551</v>
      </c>
      <c r="I141">
        <v>3305</v>
      </c>
      <c r="J141">
        <v>4</v>
      </c>
      <c r="K141">
        <v>6</v>
      </c>
      <c r="L141">
        <v>2</v>
      </c>
      <c r="S141">
        <v>3</v>
      </c>
      <c r="V141">
        <v>2</v>
      </c>
    </row>
    <row r="142" spans="1:22" x14ac:dyDescent="0.3">
      <c r="A142" t="s">
        <v>592</v>
      </c>
      <c r="B142" t="s">
        <v>7232</v>
      </c>
      <c r="C142" t="s">
        <v>7233</v>
      </c>
      <c r="D142" t="s">
        <v>7234</v>
      </c>
      <c r="E142" t="s">
        <v>16</v>
      </c>
      <c r="F142" t="s">
        <v>7235</v>
      </c>
      <c r="G142" s="2">
        <v>0.35416666666666669</v>
      </c>
      <c r="H142" t="s">
        <v>551</v>
      </c>
      <c r="I142">
        <v>3304</v>
      </c>
      <c r="J142">
        <v>4</v>
      </c>
      <c r="K142">
        <v>6</v>
      </c>
      <c r="L142">
        <v>2</v>
      </c>
      <c r="S142">
        <v>3</v>
      </c>
      <c r="V142">
        <v>2</v>
      </c>
    </row>
    <row r="143" spans="1:22" x14ac:dyDescent="0.3">
      <c r="A143" t="s">
        <v>592</v>
      </c>
      <c r="B143" t="s">
        <v>7236</v>
      </c>
      <c r="C143" t="s">
        <v>7237</v>
      </c>
      <c r="D143" t="s">
        <v>7238</v>
      </c>
      <c r="E143" t="s">
        <v>16</v>
      </c>
      <c r="F143" t="s">
        <v>7239</v>
      </c>
      <c r="G143" s="2">
        <v>0.34375</v>
      </c>
      <c r="H143" t="s">
        <v>6678</v>
      </c>
      <c r="I143">
        <v>3303</v>
      </c>
      <c r="J143">
        <v>4</v>
      </c>
      <c r="K143">
        <v>6</v>
      </c>
      <c r="L143">
        <v>2</v>
      </c>
      <c r="S143">
        <v>3</v>
      </c>
      <c r="V143">
        <v>2</v>
      </c>
    </row>
    <row r="144" spans="1:22" x14ac:dyDescent="0.3">
      <c r="A144" t="s">
        <v>592</v>
      </c>
      <c r="B144" t="s">
        <v>7240</v>
      </c>
      <c r="C144" t="s">
        <v>7241</v>
      </c>
      <c r="D144" t="s">
        <v>7242</v>
      </c>
      <c r="E144" t="s">
        <v>16</v>
      </c>
      <c r="F144" t="s">
        <v>7243</v>
      </c>
      <c r="G144" s="2">
        <v>0.33333333333333331</v>
      </c>
      <c r="H144" t="s">
        <v>6678</v>
      </c>
      <c r="I144">
        <v>3302</v>
      </c>
      <c r="J144">
        <v>4</v>
      </c>
      <c r="K144">
        <v>6</v>
      </c>
      <c r="L144">
        <v>2</v>
      </c>
      <c r="S144">
        <v>3</v>
      </c>
      <c r="V144">
        <v>2</v>
      </c>
    </row>
    <row r="145" spans="1:22" x14ac:dyDescent="0.3">
      <c r="A145" t="s">
        <v>592</v>
      </c>
      <c r="B145" t="s">
        <v>7244</v>
      </c>
      <c r="C145" t="s">
        <v>7245</v>
      </c>
      <c r="D145" t="s">
        <v>7246</v>
      </c>
      <c r="E145" t="s">
        <v>16</v>
      </c>
      <c r="F145" t="s">
        <v>7247</v>
      </c>
      <c r="G145" s="2">
        <v>0.32291666666666669</v>
      </c>
      <c r="H145" t="s">
        <v>6678</v>
      </c>
      <c r="I145">
        <v>3301</v>
      </c>
      <c r="J145">
        <v>4</v>
      </c>
      <c r="K145">
        <v>6</v>
      </c>
      <c r="L145">
        <v>2</v>
      </c>
      <c r="S145">
        <v>3</v>
      </c>
      <c r="V145">
        <v>2</v>
      </c>
    </row>
    <row r="146" spans="1:22" x14ac:dyDescent="0.3">
      <c r="A146" t="s">
        <v>592</v>
      </c>
      <c r="B146" t="s">
        <v>7248</v>
      </c>
      <c r="C146" t="s">
        <v>7249</v>
      </c>
      <c r="D146" t="s">
        <v>7250</v>
      </c>
      <c r="E146" t="s">
        <v>16</v>
      </c>
      <c r="F146" t="s">
        <v>7251</v>
      </c>
      <c r="G146" s="2">
        <v>0.3125</v>
      </c>
      <c r="H146" t="s">
        <v>6678</v>
      </c>
      <c r="I146">
        <v>3300</v>
      </c>
      <c r="J146">
        <v>4</v>
      </c>
      <c r="K146">
        <v>6</v>
      </c>
      <c r="L146">
        <v>2</v>
      </c>
      <c r="S146">
        <v>3</v>
      </c>
      <c r="V146">
        <v>2</v>
      </c>
    </row>
    <row r="147" spans="1:22" x14ac:dyDescent="0.3">
      <c r="A147" t="s">
        <v>596</v>
      </c>
      <c r="B147" t="s">
        <v>7252</v>
      </c>
      <c r="C147" t="s">
        <v>7253</v>
      </c>
      <c r="D147" t="s">
        <v>7254</v>
      </c>
      <c r="E147" t="s">
        <v>16</v>
      </c>
      <c r="F147" t="s">
        <v>7255</v>
      </c>
      <c r="G147" s="2">
        <v>0.625</v>
      </c>
      <c r="H147" t="s">
        <v>6673</v>
      </c>
      <c r="I147">
        <v>3285</v>
      </c>
      <c r="J147">
        <v>2</v>
      </c>
      <c r="K147">
        <v>4</v>
      </c>
      <c r="S147">
        <v>4</v>
      </c>
    </row>
    <row r="148" spans="1:22" x14ac:dyDescent="0.3">
      <c r="A148" t="s">
        <v>596</v>
      </c>
      <c r="B148" t="s">
        <v>7256</v>
      </c>
      <c r="C148" t="s">
        <v>7257</v>
      </c>
      <c r="D148" t="s">
        <v>7258</v>
      </c>
      <c r="E148" t="s">
        <v>16</v>
      </c>
      <c r="F148" t="s">
        <v>7259</v>
      </c>
      <c r="G148" s="2">
        <v>0.53125</v>
      </c>
      <c r="H148" t="s">
        <v>6678</v>
      </c>
      <c r="I148">
        <v>3284</v>
      </c>
      <c r="J148">
        <v>2</v>
      </c>
      <c r="K148">
        <v>4</v>
      </c>
      <c r="S148">
        <v>4</v>
      </c>
    </row>
    <row r="149" spans="1:22" x14ac:dyDescent="0.3">
      <c r="A149" t="s">
        <v>596</v>
      </c>
      <c r="B149" t="s">
        <v>7260</v>
      </c>
      <c r="C149" t="s">
        <v>7261</v>
      </c>
      <c r="D149" t="s">
        <v>7262</v>
      </c>
      <c r="E149" t="s">
        <v>16</v>
      </c>
      <c r="F149" t="s">
        <v>7263</v>
      </c>
      <c r="G149" s="2">
        <v>0.52083333333333337</v>
      </c>
      <c r="H149" t="s">
        <v>6673</v>
      </c>
      <c r="I149">
        <v>3283</v>
      </c>
      <c r="J149">
        <v>2</v>
      </c>
      <c r="K149">
        <v>4</v>
      </c>
      <c r="S149">
        <v>4</v>
      </c>
    </row>
    <row r="150" spans="1:22" x14ac:dyDescent="0.3">
      <c r="A150" t="s">
        <v>596</v>
      </c>
      <c r="B150" t="s">
        <v>7264</v>
      </c>
      <c r="C150" t="s">
        <v>7265</v>
      </c>
      <c r="D150" t="s">
        <v>7266</v>
      </c>
      <c r="E150" t="s">
        <v>16</v>
      </c>
      <c r="F150" t="s">
        <v>7267</v>
      </c>
      <c r="G150" s="2">
        <v>0.44791666666666669</v>
      </c>
      <c r="H150" t="s">
        <v>6678</v>
      </c>
      <c r="I150">
        <v>3282</v>
      </c>
      <c r="J150">
        <v>2</v>
      </c>
      <c r="K150">
        <v>4</v>
      </c>
      <c r="S150">
        <v>4</v>
      </c>
    </row>
    <row r="151" spans="1:22" x14ac:dyDescent="0.3">
      <c r="A151" t="s">
        <v>596</v>
      </c>
      <c r="B151" t="s">
        <v>7268</v>
      </c>
      <c r="C151" t="s">
        <v>7269</v>
      </c>
      <c r="D151" t="s">
        <v>7270</v>
      </c>
      <c r="E151" t="s">
        <v>16</v>
      </c>
      <c r="F151" t="s">
        <v>7271</v>
      </c>
      <c r="G151" s="2">
        <v>0.4375</v>
      </c>
      <c r="H151" t="s">
        <v>6678</v>
      </c>
      <c r="I151">
        <v>3282</v>
      </c>
      <c r="J151">
        <v>2</v>
      </c>
      <c r="K151">
        <v>4</v>
      </c>
      <c r="S151">
        <v>4</v>
      </c>
    </row>
    <row r="152" spans="1:22" x14ac:dyDescent="0.3">
      <c r="A152" t="s">
        <v>596</v>
      </c>
      <c r="B152" t="s">
        <v>7272</v>
      </c>
      <c r="C152" t="s">
        <v>7273</v>
      </c>
      <c r="D152" t="s">
        <v>7274</v>
      </c>
      <c r="E152" t="s">
        <v>16</v>
      </c>
      <c r="F152" t="s">
        <v>7275</v>
      </c>
      <c r="G152" s="2">
        <v>0.42708333333333331</v>
      </c>
      <c r="H152" t="s">
        <v>6678</v>
      </c>
      <c r="I152">
        <v>3282</v>
      </c>
      <c r="J152">
        <v>2</v>
      </c>
      <c r="K152">
        <v>4</v>
      </c>
      <c r="S152">
        <v>4</v>
      </c>
    </row>
    <row r="153" spans="1:22" x14ac:dyDescent="0.3">
      <c r="A153" t="s">
        <v>596</v>
      </c>
      <c r="B153" t="s">
        <v>7276</v>
      </c>
      <c r="C153" t="s">
        <v>7277</v>
      </c>
      <c r="D153" t="s">
        <v>7278</v>
      </c>
      <c r="E153" t="s">
        <v>16</v>
      </c>
      <c r="F153" t="s">
        <v>7279</v>
      </c>
      <c r="G153" s="2">
        <v>0.41666666666666669</v>
      </c>
      <c r="H153" t="s">
        <v>551</v>
      </c>
      <c r="I153">
        <v>3282</v>
      </c>
      <c r="J153">
        <v>2</v>
      </c>
      <c r="K153">
        <v>4</v>
      </c>
      <c r="S153">
        <v>4</v>
      </c>
    </row>
    <row r="154" spans="1:22" x14ac:dyDescent="0.3">
      <c r="A154" t="s">
        <v>596</v>
      </c>
      <c r="B154" t="s">
        <v>7280</v>
      </c>
      <c r="C154" t="s">
        <v>7281</v>
      </c>
      <c r="D154" t="s">
        <v>7282</v>
      </c>
      <c r="E154" t="s">
        <v>16</v>
      </c>
      <c r="F154" t="s">
        <v>7283</v>
      </c>
      <c r="G154" s="2">
        <v>0.40625</v>
      </c>
      <c r="H154" t="s">
        <v>7284</v>
      </c>
      <c r="I154">
        <v>3281</v>
      </c>
      <c r="J154">
        <v>2</v>
      </c>
      <c r="K154">
        <v>4</v>
      </c>
      <c r="S154">
        <v>4</v>
      </c>
    </row>
    <row r="155" spans="1:22" x14ac:dyDescent="0.3">
      <c r="A155" t="s">
        <v>596</v>
      </c>
      <c r="B155" t="s">
        <v>7285</v>
      </c>
      <c r="C155" t="s">
        <v>7286</v>
      </c>
      <c r="D155" t="s">
        <v>7287</v>
      </c>
      <c r="E155" t="s">
        <v>16</v>
      </c>
      <c r="F155" t="s">
        <v>7288</v>
      </c>
      <c r="G155" s="2">
        <v>0.36458333333333331</v>
      </c>
      <c r="H155" t="s">
        <v>6678</v>
      </c>
      <c r="I155">
        <v>3280</v>
      </c>
      <c r="J155">
        <v>2</v>
      </c>
      <c r="K155">
        <v>4</v>
      </c>
      <c r="S155">
        <v>4</v>
      </c>
    </row>
    <row r="156" spans="1:22" x14ac:dyDescent="0.3">
      <c r="A156" t="s">
        <v>596</v>
      </c>
      <c r="B156" t="s">
        <v>7289</v>
      </c>
      <c r="C156" t="s">
        <v>7290</v>
      </c>
      <c r="D156" t="s">
        <v>7291</v>
      </c>
      <c r="E156" t="s">
        <v>16</v>
      </c>
      <c r="F156" t="s">
        <v>7292</v>
      </c>
      <c r="G156" s="2">
        <v>0.35416666666666669</v>
      </c>
      <c r="H156" t="s">
        <v>6911</v>
      </c>
      <c r="I156">
        <v>3279</v>
      </c>
      <c r="J156">
        <v>2</v>
      </c>
      <c r="K156">
        <v>4</v>
      </c>
      <c r="S156">
        <v>4</v>
      </c>
    </row>
    <row r="157" spans="1:22" x14ac:dyDescent="0.3">
      <c r="A157" t="s">
        <v>596</v>
      </c>
      <c r="B157" t="s">
        <v>7293</v>
      </c>
      <c r="C157" t="s">
        <v>7294</v>
      </c>
      <c r="D157" t="s">
        <v>7295</v>
      </c>
      <c r="E157" t="s">
        <v>16</v>
      </c>
      <c r="F157" t="s">
        <v>7296</v>
      </c>
      <c r="G157" s="2">
        <v>0.34375</v>
      </c>
      <c r="H157" t="s">
        <v>6911</v>
      </c>
      <c r="I157">
        <v>3279</v>
      </c>
      <c r="J157">
        <v>2</v>
      </c>
      <c r="K157">
        <v>3</v>
      </c>
      <c r="S157">
        <v>4</v>
      </c>
    </row>
    <row r="158" spans="1:22" x14ac:dyDescent="0.3">
      <c r="A158" t="s">
        <v>600</v>
      </c>
      <c r="B158" t="s">
        <v>7297</v>
      </c>
      <c r="C158" t="s">
        <v>7298</v>
      </c>
      <c r="D158" t="s">
        <v>7299</v>
      </c>
      <c r="E158" t="s">
        <v>16</v>
      </c>
      <c r="F158" t="s">
        <v>7300</v>
      </c>
      <c r="G158" s="2">
        <v>0.625</v>
      </c>
      <c r="H158" t="s">
        <v>6673</v>
      </c>
      <c r="I158">
        <v>3275</v>
      </c>
      <c r="J158">
        <v>1</v>
      </c>
      <c r="K158">
        <v>1</v>
      </c>
      <c r="S158">
        <v>1</v>
      </c>
    </row>
    <row r="159" spans="1:22" x14ac:dyDescent="0.3">
      <c r="A159" t="s">
        <v>600</v>
      </c>
      <c r="B159" t="s">
        <v>7301</v>
      </c>
      <c r="C159" t="s">
        <v>7302</v>
      </c>
      <c r="D159" t="s">
        <v>7303</v>
      </c>
      <c r="E159" t="s">
        <v>16</v>
      </c>
      <c r="F159" t="s">
        <v>7304</v>
      </c>
      <c r="G159" s="2">
        <v>0.54166666666666663</v>
      </c>
      <c r="H159" t="s">
        <v>6673</v>
      </c>
      <c r="I159">
        <v>3274</v>
      </c>
      <c r="J159">
        <v>1</v>
      </c>
      <c r="K159">
        <v>1</v>
      </c>
      <c r="S159">
        <v>1</v>
      </c>
    </row>
    <row r="160" spans="1:22" x14ac:dyDescent="0.3">
      <c r="A160" t="s">
        <v>600</v>
      </c>
      <c r="B160" t="s">
        <v>7305</v>
      </c>
      <c r="C160" t="s">
        <v>7306</v>
      </c>
      <c r="D160" t="s">
        <v>7307</v>
      </c>
      <c r="E160" t="s">
        <v>16</v>
      </c>
      <c r="F160" t="s">
        <v>7308</v>
      </c>
      <c r="G160" s="2">
        <v>0.4375</v>
      </c>
      <c r="H160" t="s">
        <v>6678</v>
      </c>
      <c r="I160">
        <v>3273</v>
      </c>
      <c r="J160">
        <v>2</v>
      </c>
      <c r="K160">
        <v>3</v>
      </c>
      <c r="S160">
        <v>2</v>
      </c>
    </row>
    <row r="161" spans="1:19" x14ac:dyDescent="0.3">
      <c r="A161" t="s">
        <v>605</v>
      </c>
      <c r="B161" t="s">
        <v>7309</v>
      </c>
      <c r="C161" t="s">
        <v>7310</v>
      </c>
      <c r="D161" t="s">
        <v>7311</v>
      </c>
      <c r="E161" t="s">
        <v>16</v>
      </c>
      <c r="F161" t="s">
        <v>7312</v>
      </c>
      <c r="G161" s="2">
        <v>0.47916666666666669</v>
      </c>
      <c r="H161" t="s">
        <v>6673</v>
      </c>
      <c r="I161">
        <v>3270</v>
      </c>
      <c r="J161">
        <v>3</v>
      </c>
      <c r="K161">
        <v>7</v>
      </c>
      <c r="S161">
        <v>4</v>
      </c>
    </row>
    <row r="162" spans="1:19" x14ac:dyDescent="0.3">
      <c r="A162" t="s">
        <v>605</v>
      </c>
      <c r="B162" t="s">
        <v>7313</v>
      </c>
      <c r="C162" t="s">
        <v>7314</v>
      </c>
      <c r="D162" t="s">
        <v>7315</v>
      </c>
      <c r="E162" t="s">
        <v>16</v>
      </c>
      <c r="F162" t="s">
        <v>7316</v>
      </c>
      <c r="G162" s="2">
        <v>0.42708333333333331</v>
      </c>
      <c r="H162" t="s">
        <v>6678</v>
      </c>
      <c r="I162">
        <v>3269</v>
      </c>
      <c r="J162">
        <v>3</v>
      </c>
      <c r="K162">
        <v>7</v>
      </c>
      <c r="S162">
        <v>4</v>
      </c>
    </row>
    <row r="163" spans="1:19" x14ac:dyDescent="0.3">
      <c r="A163" t="s">
        <v>605</v>
      </c>
      <c r="B163" t="s">
        <v>7317</v>
      </c>
      <c r="C163" t="s">
        <v>7318</v>
      </c>
      <c r="D163" t="s">
        <v>7319</v>
      </c>
      <c r="E163" t="s">
        <v>16</v>
      </c>
      <c r="F163" t="s">
        <v>7320</v>
      </c>
      <c r="G163" s="2">
        <v>0.39583333333333331</v>
      </c>
      <c r="H163" t="s">
        <v>6678</v>
      </c>
      <c r="I163">
        <v>3268</v>
      </c>
      <c r="J163">
        <v>3</v>
      </c>
      <c r="K163">
        <v>6</v>
      </c>
      <c r="S163">
        <v>4</v>
      </c>
    </row>
    <row r="164" spans="1:19" x14ac:dyDescent="0.3">
      <c r="A164" t="s">
        <v>605</v>
      </c>
      <c r="B164" t="s">
        <v>7321</v>
      </c>
      <c r="C164" t="s">
        <v>7322</v>
      </c>
      <c r="D164" t="s">
        <v>7323</v>
      </c>
      <c r="E164" t="s">
        <v>16</v>
      </c>
      <c r="F164" t="s">
        <v>7324</v>
      </c>
      <c r="G164" s="2">
        <v>0.35416666666666669</v>
      </c>
      <c r="H164" t="s">
        <v>6673</v>
      </c>
      <c r="I164">
        <v>3266</v>
      </c>
      <c r="J164">
        <v>3</v>
      </c>
      <c r="K164">
        <v>7</v>
      </c>
      <c r="S164">
        <v>3</v>
      </c>
    </row>
    <row r="165" spans="1:19" x14ac:dyDescent="0.3">
      <c r="A165" t="s">
        <v>605</v>
      </c>
      <c r="B165" t="s">
        <v>7325</v>
      </c>
      <c r="C165" t="s">
        <v>7326</v>
      </c>
      <c r="D165" t="s">
        <v>7327</v>
      </c>
      <c r="E165" t="s">
        <v>16</v>
      </c>
      <c r="F165" t="s">
        <v>7328</v>
      </c>
      <c r="G165" s="2">
        <v>0.33333333333333331</v>
      </c>
      <c r="H165" t="s">
        <v>6673</v>
      </c>
      <c r="I165">
        <v>3264</v>
      </c>
      <c r="J165">
        <v>3</v>
      </c>
      <c r="K165">
        <v>7</v>
      </c>
      <c r="S165">
        <v>4</v>
      </c>
    </row>
    <row r="166" spans="1:19" x14ac:dyDescent="0.3">
      <c r="A166" t="s">
        <v>605</v>
      </c>
      <c r="B166" t="s">
        <v>7329</v>
      </c>
      <c r="C166" t="s">
        <v>7330</v>
      </c>
      <c r="D166" t="s">
        <v>7331</v>
      </c>
      <c r="E166" t="s">
        <v>16</v>
      </c>
      <c r="F166" t="s">
        <v>7332</v>
      </c>
      <c r="G166" s="2">
        <v>0.32291666666666669</v>
      </c>
      <c r="H166" t="s">
        <v>6678</v>
      </c>
      <c r="I166">
        <v>3263</v>
      </c>
      <c r="J166">
        <v>3</v>
      </c>
      <c r="K166">
        <v>7</v>
      </c>
      <c r="S166">
        <v>4</v>
      </c>
    </row>
    <row r="167" spans="1:19" x14ac:dyDescent="0.3">
      <c r="A167" t="s">
        <v>605</v>
      </c>
      <c r="B167" t="s">
        <v>7333</v>
      </c>
      <c r="C167" t="s">
        <v>7334</v>
      </c>
      <c r="D167" t="s">
        <v>7335</v>
      </c>
      <c r="E167" t="s">
        <v>16</v>
      </c>
      <c r="F167" t="s">
        <v>7336</v>
      </c>
      <c r="G167" s="2">
        <v>0.3125</v>
      </c>
      <c r="H167" t="s">
        <v>6678</v>
      </c>
      <c r="I167">
        <v>3263</v>
      </c>
      <c r="J167">
        <v>3</v>
      </c>
      <c r="K167">
        <v>7</v>
      </c>
      <c r="S167">
        <v>4</v>
      </c>
    </row>
    <row r="168" spans="1:19" x14ac:dyDescent="0.3">
      <c r="A168" t="s">
        <v>605</v>
      </c>
      <c r="B168" t="s">
        <v>7337</v>
      </c>
      <c r="C168" t="s">
        <v>7338</v>
      </c>
      <c r="D168" t="s">
        <v>7339</v>
      </c>
      <c r="E168" t="s">
        <v>16</v>
      </c>
      <c r="F168" t="s">
        <v>7340</v>
      </c>
      <c r="G168" s="2">
        <v>0.30208333333333331</v>
      </c>
      <c r="H168" t="s">
        <v>6678</v>
      </c>
      <c r="I168">
        <v>3262</v>
      </c>
      <c r="J168">
        <v>3</v>
      </c>
      <c r="K168">
        <v>7</v>
      </c>
      <c r="S168">
        <v>4</v>
      </c>
    </row>
    <row r="169" spans="1:19" x14ac:dyDescent="0.3">
      <c r="A169" t="s">
        <v>610</v>
      </c>
      <c r="B169" t="s">
        <v>7341</v>
      </c>
      <c r="C169" t="s">
        <v>7342</v>
      </c>
      <c r="D169" t="s">
        <v>7343</v>
      </c>
      <c r="E169" t="s">
        <v>16</v>
      </c>
      <c r="F169" t="s">
        <v>7344</v>
      </c>
      <c r="G169" s="2">
        <v>0.69791666666666663</v>
      </c>
      <c r="H169" t="s">
        <v>6673</v>
      </c>
      <c r="I169">
        <v>3260</v>
      </c>
      <c r="J169">
        <v>3</v>
      </c>
      <c r="K169">
        <v>6</v>
      </c>
      <c r="S169">
        <v>4</v>
      </c>
    </row>
    <row r="170" spans="1:19" x14ac:dyDescent="0.3">
      <c r="A170" t="s">
        <v>610</v>
      </c>
      <c r="B170" t="s">
        <v>7345</v>
      </c>
      <c r="C170" t="s">
        <v>7346</v>
      </c>
      <c r="D170" t="s">
        <v>7347</v>
      </c>
      <c r="E170" t="s">
        <v>16</v>
      </c>
      <c r="F170" t="s">
        <v>7348</v>
      </c>
      <c r="G170" s="2">
        <v>0.64583333333333337</v>
      </c>
      <c r="H170" t="s">
        <v>6678</v>
      </c>
      <c r="I170">
        <v>3259</v>
      </c>
      <c r="J170">
        <v>3</v>
      </c>
      <c r="K170">
        <v>6</v>
      </c>
      <c r="S170">
        <v>4</v>
      </c>
    </row>
    <row r="171" spans="1:19" x14ac:dyDescent="0.3">
      <c r="A171" t="s">
        <v>610</v>
      </c>
      <c r="B171" t="s">
        <v>7349</v>
      </c>
      <c r="C171" t="s">
        <v>7350</v>
      </c>
      <c r="D171" t="s">
        <v>7351</v>
      </c>
      <c r="E171" t="s">
        <v>16</v>
      </c>
      <c r="F171" t="s">
        <v>7352</v>
      </c>
      <c r="G171" s="2">
        <v>0.60416666666666663</v>
      </c>
      <c r="H171" t="s">
        <v>6678</v>
      </c>
      <c r="I171">
        <v>3256</v>
      </c>
      <c r="J171">
        <v>3</v>
      </c>
      <c r="K171">
        <v>6</v>
      </c>
      <c r="S171">
        <v>4</v>
      </c>
    </row>
    <row r="172" spans="1:19" x14ac:dyDescent="0.3">
      <c r="A172" t="s">
        <v>615</v>
      </c>
      <c r="B172" t="s">
        <v>7353</v>
      </c>
      <c r="C172" t="s">
        <v>7354</v>
      </c>
      <c r="D172" t="s">
        <v>7355</v>
      </c>
      <c r="E172" t="s">
        <v>16</v>
      </c>
      <c r="F172" t="s">
        <v>7356</v>
      </c>
      <c r="G172" s="2">
        <v>0.58333333333333337</v>
      </c>
      <c r="H172" t="s">
        <v>6678</v>
      </c>
      <c r="I172">
        <v>3254</v>
      </c>
      <c r="J172">
        <v>3</v>
      </c>
      <c r="K172">
        <v>6</v>
      </c>
      <c r="S172">
        <v>4</v>
      </c>
    </row>
    <row r="173" spans="1:19" x14ac:dyDescent="0.3">
      <c r="A173" t="s">
        <v>615</v>
      </c>
      <c r="B173" t="s">
        <v>7357</v>
      </c>
      <c r="C173" t="s">
        <v>7358</v>
      </c>
      <c r="D173" t="s">
        <v>7359</v>
      </c>
      <c r="E173" t="s">
        <v>16</v>
      </c>
      <c r="F173" t="s">
        <v>7360</v>
      </c>
      <c r="G173" s="2">
        <v>0.53125</v>
      </c>
      <c r="H173" t="s">
        <v>6673</v>
      </c>
      <c r="I173">
        <v>3253</v>
      </c>
      <c r="J173">
        <v>3</v>
      </c>
      <c r="K173">
        <v>6</v>
      </c>
      <c r="S173">
        <v>4</v>
      </c>
    </row>
    <row r="174" spans="1:19" x14ac:dyDescent="0.3">
      <c r="A174" t="s">
        <v>615</v>
      </c>
      <c r="B174" t="s">
        <v>7361</v>
      </c>
      <c r="C174" t="s">
        <v>7362</v>
      </c>
      <c r="D174" t="s">
        <v>7363</v>
      </c>
      <c r="E174" t="s">
        <v>16</v>
      </c>
      <c r="F174" t="s">
        <v>7364</v>
      </c>
      <c r="G174" s="2">
        <v>0.52083333333333337</v>
      </c>
      <c r="H174" t="s">
        <v>6673</v>
      </c>
      <c r="I174">
        <v>3253</v>
      </c>
      <c r="J174">
        <v>3</v>
      </c>
      <c r="K174">
        <v>6</v>
      </c>
      <c r="S174">
        <v>4</v>
      </c>
    </row>
    <row r="175" spans="1:19" x14ac:dyDescent="0.3">
      <c r="A175" t="s">
        <v>615</v>
      </c>
      <c r="B175" t="s">
        <v>7365</v>
      </c>
      <c r="C175" t="s">
        <v>7366</v>
      </c>
      <c r="D175" t="s">
        <v>7367</v>
      </c>
      <c r="E175" t="s">
        <v>16</v>
      </c>
      <c r="F175" t="s">
        <v>7368</v>
      </c>
      <c r="G175" s="2">
        <v>0.51041666666666663</v>
      </c>
      <c r="H175" t="s">
        <v>6673</v>
      </c>
      <c r="I175">
        <v>3252</v>
      </c>
      <c r="J175">
        <v>3</v>
      </c>
      <c r="K175">
        <v>6</v>
      </c>
      <c r="S175">
        <v>4</v>
      </c>
    </row>
    <row r="176" spans="1:19" x14ac:dyDescent="0.3">
      <c r="A176" t="s">
        <v>615</v>
      </c>
      <c r="B176" t="s">
        <v>7369</v>
      </c>
      <c r="C176" t="s">
        <v>7370</v>
      </c>
      <c r="D176" t="s">
        <v>7371</v>
      </c>
      <c r="E176" t="s">
        <v>16</v>
      </c>
      <c r="F176" t="s">
        <v>7372</v>
      </c>
      <c r="G176" s="2">
        <v>0.5</v>
      </c>
      <c r="H176" t="s">
        <v>6673</v>
      </c>
      <c r="I176">
        <v>3252</v>
      </c>
      <c r="J176">
        <v>3</v>
      </c>
      <c r="K176">
        <v>6</v>
      </c>
      <c r="S176">
        <v>4</v>
      </c>
    </row>
    <row r="177" spans="1:19" x14ac:dyDescent="0.3">
      <c r="A177" t="s">
        <v>615</v>
      </c>
      <c r="B177" t="s">
        <v>7373</v>
      </c>
      <c r="C177" t="s">
        <v>7374</v>
      </c>
      <c r="D177" t="s">
        <v>7375</v>
      </c>
      <c r="E177" t="s">
        <v>16</v>
      </c>
      <c r="F177" t="s">
        <v>7376</v>
      </c>
      <c r="G177" s="2">
        <v>0.48958333333333331</v>
      </c>
      <c r="H177" t="s">
        <v>556</v>
      </c>
      <c r="I177">
        <v>3251</v>
      </c>
      <c r="J177">
        <v>3</v>
      </c>
      <c r="K177">
        <v>6</v>
      </c>
      <c r="S177">
        <v>4</v>
      </c>
    </row>
    <row r="178" spans="1:19" x14ac:dyDescent="0.3">
      <c r="A178" t="s">
        <v>615</v>
      </c>
      <c r="B178" t="s">
        <v>7377</v>
      </c>
      <c r="C178" t="s">
        <v>7378</v>
      </c>
      <c r="D178" t="s">
        <v>7379</v>
      </c>
      <c r="E178" t="s">
        <v>16</v>
      </c>
      <c r="F178" t="s">
        <v>7380</v>
      </c>
      <c r="G178" s="2">
        <v>0.47916666666666669</v>
      </c>
      <c r="H178" t="s">
        <v>6673</v>
      </c>
      <c r="I178">
        <v>3250</v>
      </c>
      <c r="J178">
        <v>3</v>
      </c>
      <c r="K178">
        <v>6</v>
      </c>
      <c r="S178">
        <v>4</v>
      </c>
    </row>
    <row r="179" spans="1:19" x14ac:dyDescent="0.3">
      <c r="A179" t="s">
        <v>615</v>
      </c>
      <c r="B179" t="s">
        <v>7381</v>
      </c>
      <c r="C179" t="s">
        <v>7382</v>
      </c>
      <c r="D179" t="s">
        <v>7383</v>
      </c>
      <c r="E179" t="s">
        <v>16</v>
      </c>
      <c r="F179" t="s">
        <v>7384</v>
      </c>
      <c r="G179" s="2">
        <v>0.46875</v>
      </c>
      <c r="H179" t="s">
        <v>6673</v>
      </c>
      <c r="I179">
        <v>3249</v>
      </c>
      <c r="J179">
        <v>3</v>
      </c>
      <c r="K179">
        <v>6</v>
      </c>
      <c r="S179">
        <v>3</v>
      </c>
    </row>
    <row r="180" spans="1:19" x14ac:dyDescent="0.3">
      <c r="A180" t="s">
        <v>615</v>
      </c>
      <c r="B180" t="s">
        <v>7385</v>
      </c>
      <c r="C180" t="s">
        <v>7386</v>
      </c>
      <c r="D180" t="s">
        <v>7387</v>
      </c>
      <c r="E180" t="s">
        <v>16</v>
      </c>
      <c r="F180" t="s">
        <v>7388</v>
      </c>
      <c r="G180" s="2">
        <v>0.36458333333333331</v>
      </c>
      <c r="H180" t="s">
        <v>6673</v>
      </c>
      <c r="I180">
        <v>3246</v>
      </c>
      <c r="J180">
        <v>3</v>
      </c>
      <c r="K180">
        <v>6</v>
      </c>
      <c r="S180">
        <v>4</v>
      </c>
    </row>
    <row r="181" spans="1:19" x14ac:dyDescent="0.3">
      <c r="A181" t="s">
        <v>615</v>
      </c>
      <c r="B181" t="s">
        <v>7389</v>
      </c>
      <c r="C181" t="s">
        <v>7390</v>
      </c>
      <c r="D181" t="s">
        <v>7391</v>
      </c>
      <c r="E181" t="s">
        <v>16</v>
      </c>
      <c r="F181" t="s">
        <v>7392</v>
      </c>
      <c r="G181" s="2">
        <v>0.33333333333333331</v>
      </c>
      <c r="H181" t="s">
        <v>6673</v>
      </c>
      <c r="I181">
        <v>3244</v>
      </c>
      <c r="J181">
        <v>3</v>
      </c>
      <c r="K181">
        <v>6</v>
      </c>
      <c r="S181">
        <v>4</v>
      </c>
    </row>
    <row r="182" spans="1:19" x14ac:dyDescent="0.3">
      <c r="A182" t="s">
        <v>623</v>
      </c>
      <c r="B182" t="s">
        <v>7393</v>
      </c>
      <c r="C182" t="s">
        <v>7394</v>
      </c>
      <c r="D182" t="s">
        <v>7395</v>
      </c>
      <c r="E182" t="s">
        <v>16</v>
      </c>
      <c r="F182" t="s">
        <v>7396</v>
      </c>
      <c r="G182" s="2">
        <v>0.42708333333333331</v>
      </c>
      <c r="H182" t="s">
        <v>6673</v>
      </c>
      <c r="I182">
        <v>3240</v>
      </c>
      <c r="J182">
        <v>3</v>
      </c>
      <c r="K182">
        <v>6</v>
      </c>
      <c r="S182">
        <v>4</v>
      </c>
    </row>
    <row r="183" spans="1:19" x14ac:dyDescent="0.3">
      <c r="A183" t="s">
        <v>623</v>
      </c>
      <c r="B183" t="s">
        <v>7397</v>
      </c>
      <c r="C183" t="s">
        <v>7398</v>
      </c>
      <c r="D183" t="s">
        <v>7399</v>
      </c>
      <c r="E183" t="s">
        <v>16</v>
      </c>
      <c r="F183" t="s">
        <v>7400</v>
      </c>
      <c r="G183" s="2">
        <v>0.38541666666666669</v>
      </c>
      <c r="H183" t="s">
        <v>551</v>
      </c>
      <c r="I183">
        <v>3239</v>
      </c>
      <c r="J183">
        <v>3</v>
      </c>
      <c r="K183">
        <v>6</v>
      </c>
      <c r="S183">
        <v>5</v>
      </c>
    </row>
    <row r="184" spans="1:19" x14ac:dyDescent="0.3">
      <c r="A184" t="s">
        <v>628</v>
      </c>
      <c r="B184" t="s">
        <v>7401</v>
      </c>
      <c r="C184" t="s">
        <v>7402</v>
      </c>
      <c r="D184" t="s">
        <v>7403</v>
      </c>
      <c r="E184" t="s">
        <v>16</v>
      </c>
      <c r="F184" t="s">
        <v>7404</v>
      </c>
      <c r="G184" s="2">
        <v>0.72916666666666663</v>
      </c>
      <c r="H184" t="s">
        <v>6673</v>
      </c>
      <c r="I184">
        <v>3237</v>
      </c>
      <c r="J184">
        <v>3</v>
      </c>
      <c r="K184">
        <v>6</v>
      </c>
      <c r="S184">
        <v>4</v>
      </c>
    </row>
    <row r="185" spans="1:19" x14ac:dyDescent="0.3">
      <c r="A185" t="s">
        <v>628</v>
      </c>
      <c r="B185" t="s">
        <v>7405</v>
      </c>
      <c r="C185" t="s">
        <v>7406</v>
      </c>
      <c r="D185" t="s">
        <v>7407</v>
      </c>
      <c r="E185" t="s">
        <v>16</v>
      </c>
      <c r="F185" t="s">
        <v>7408</v>
      </c>
      <c r="G185" s="2">
        <v>0.5625</v>
      </c>
      <c r="H185" t="s">
        <v>6678</v>
      </c>
      <c r="I185">
        <v>3236</v>
      </c>
      <c r="J185">
        <v>1</v>
      </c>
      <c r="K185">
        <v>3</v>
      </c>
      <c r="S185">
        <v>2</v>
      </c>
    </row>
    <row r="186" spans="1:19" x14ac:dyDescent="0.3">
      <c r="A186" t="s">
        <v>628</v>
      </c>
      <c r="B186" t="s">
        <v>7409</v>
      </c>
      <c r="C186" t="s">
        <v>7410</v>
      </c>
      <c r="D186" t="s">
        <v>7411</v>
      </c>
      <c r="E186" t="s">
        <v>16</v>
      </c>
      <c r="F186" t="s">
        <v>7412</v>
      </c>
      <c r="G186" s="2">
        <v>0.53125</v>
      </c>
      <c r="H186" t="s">
        <v>6678</v>
      </c>
      <c r="I186">
        <v>3235</v>
      </c>
    </row>
    <row r="187" spans="1:19" x14ac:dyDescent="0.3">
      <c r="A187" t="s">
        <v>628</v>
      </c>
      <c r="B187" t="s">
        <v>7413</v>
      </c>
      <c r="C187" t="s">
        <v>7414</v>
      </c>
      <c r="D187" t="s">
        <v>7415</v>
      </c>
      <c r="E187" t="s">
        <v>16</v>
      </c>
      <c r="F187" t="s">
        <v>7416</v>
      </c>
      <c r="G187" s="2">
        <v>0.48958333333333331</v>
      </c>
      <c r="H187" t="s">
        <v>6678</v>
      </c>
      <c r="I187">
        <v>3234</v>
      </c>
      <c r="J187">
        <v>3</v>
      </c>
      <c r="K187">
        <v>6</v>
      </c>
      <c r="S187">
        <v>4</v>
      </c>
    </row>
    <row r="188" spans="1:19" x14ac:dyDescent="0.3">
      <c r="A188" t="s">
        <v>628</v>
      </c>
      <c r="B188" t="s">
        <v>7417</v>
      </c>
      <c r="C188" t="s">
        <v>7418</v>
      </c>
      <c r="D188" t="s">
        <v>7419</v>
      </c>
      <c r="E188" t="s">
        <v>16</v>
      </c>
      <c r="F188" t="s">
        <v>7420</v>
      </c>
      <c r="G188" s="2">
        <v>0.47916666666666669</v>
      </c>
      <c r="H188" t="s">
        <v>6911</v>
      </c>
      <c r="I188">
        <v>3233</v>
      </c>
      <c r="J188">
        <v>3</v>
      </c>
      <c r="K188">
        <v>6</v>
      </c>
      <c r="S188">
        <v>4</v>
      </c>
    </row>
    <row r="189" spans="1:19" x14ac:dyDescent="0.3">
      <c r="A189" t="s">
        <v>628</v>
      </c>
      <c r="B189" t="s">
        <v>7421</v>
      </c>
      <c r="C189" t="s">
        <v>7422</v>
      </c>
      <c r="D189" t="s">
        <v>7423</v>
      </c>
      <c r="E189" t="s">
        <v>16</v>
      </c>
      <c r="F189" t="s">
        <v>7424</v>
      </c>
      <c r="G189" s="2">
        <v>0.4375</v>
      </c>
      <c r="H189" t="s">
        <v>6911</v>
      </c>
      <c r="I189">
        <v>3230</v>
      </c>
      <c r="J189">
        <v>3</v>
      </c>
      <c r="K189">
        <v>6</v>
      </c>
      <c r="S189">
        <v>4</v>
      </c>
    </row>
    <row r="190" spans="1:19" x14ac:dyDescent="0.3">
      <c r="A190" t="s">
        <v>628</v>
      </c>
      <c r="B190" t="s">
        <v>7425</v>
      </c>
      <c r="C190" t="s">
        <v>7426</v>
      </c>
      <c r="D190" t="s">
        <v>7427</v>
      </c>
      <c r="E190" t="s">
        <v>16</v>
      </c>
      <c r="F190" t="s">
        <v>7428</v>
      </c>
      <c r="G190" s="2">
        <v>0.39583333333333331</v>
      </c>
      <c r="H190" t="s">
        <v>551</v>
      </c>
      <c r="I190">
        <v>3228</v>
      </c>
      <c r="J190">
        <v>1</v>
      </c>
      <c r="K190">
        <v>1</v>
      </c>
      <c r="S190">
        <v>1</v>
      </c>
    </row>
    <row r="191" spans="1:19" x14ac:dyDescent="0.3">
      <c r="A191" t="s">
        <v>628</v>
      </c>
      <c r="B191" t="s">
        <v>7429</v>
      </c>
      <c r="C191" t="s">
        <v>7430</v>
      </c>
      <c r="D191" t="s">
        <v>7431</v>
      </c>
      <c r="E191" t="s">
        <v>16</v>
      </c>
      <c r="F191" t="s">
        <v>7432</v>
      </c>
      <c r="G191" s="2">
        <v>0.38541666666666669</v>
      </c>
      <c r="H191" t="s">
        <v>551</v>
      </c>
      <c r="I191">
        <v>3227</v>
      </c>
      <c r="J191">
        <v>1</v>
      </c>
      <c r="K191">
        <v>1</v>
      </c>
      <c r="S191">
        <v>1</v>
      </c>
    </row>
    <row r="192" spans="1:19" x14ac:dyDescent="0.3">
      <c r="A192" t="s">
        <v>628</v>
      </c>
      <c r="B192" t="s">
        <v>7433</v>
      </c>
      <c r="C192" t="s">
        <v>7434</v>
      </c>
      <c r="D192" t="s">
        <v>7435</v>
      </c>
      <c r="E192" t="s">
        <v>16</v>
      </c>
      <c r="F192" t="s">
        <v>7436</v>
      </c>
      <c r="G192" s="2">
        <v>0.375</v>
      </c>
      <c r="H192" t="s">
        <v>551</v>
      </c>
      <c r="I192">
        <v>3226</v>
      </c>
      <c r="J192">
        <v>1</v>
      </c>
      <c r="S192">
        <v>1</v>
      </c>
    </row>
    <row r="193" spans="1:19" x14ac:dyDescent="0.3">
      <c r="A193" t="s">
        <v>628</v>
      </c>
      <c r="B193" t="s">
        <v>7437</v>
      </c>
      <c r="C193" t="s">
        <v>7438</v>
      </c>
      <c r="D193" t="s">
        <v>7439</v>
      </c>
      <c r="E193" t="s">
        <v>16</v>
      </c>
      <c r="F193" t="s">
        <v>7440</v>
      </c>
      <c r="G193" s="2">
        <v>0.36458333333333331</v>
      </c>
      <c r="H193" t="s">
        <v>551</v>
      </c>
      <c r="I193">
        <v>3225</v>
      </c>
      <c r="J193">
        <v>1</v>
      </c>
      <c r="K193">
        <v>1</v>
      </c>
      <c r="S193">
        <v>1</v>
      </c>
    </row>
    <row r="194" spans="1:19" x14ac:dyDescent="0.3">
      <c r="A194" t="s">
        <v>628</v>
      </c>
      <c r="B194" t="s">
        <v>7441</v>
      </c>
      <c r="C194" t="s">
        <v>7442</v>
      </c>
      <c r="D194" t="s">
        <v>7443</v>
      </c>
      <c r="E194" t="s">
        <v>16</v>
      </c>
      <c r="F194" t="s">
        <v>7444</v>
      </c>
      <c r="G194" s="2">
        <v>0.35416666666666669</v>
      </c>
      <c r="H194" t="s">
        <v>551</v>
      </c>
      <c r="I194">
        <v>3224</v>
      </c>
      <c r="J194">
        <v>1</v>
      </c>
      <c r="K194">
        <v>1</v>
      </c>
      <c r="S194">
        <v>1</v>
      </c>
    </row>
    <row r="195" spans="1:19" x14ac:dyDescent="0.3">
      <c r="A195" t="s">
        <v>633</v>
      </c>
      <c r="B195" t="s">
        <v>7445</v>
      </c>
      <c r="C195" t="s">
        <v>7446</v>
      </c>
      <c r="D195" t="s">
        <v>7447</v>
      </c>
      <c r="E195" t="s">
        <v>16</v>
      </c>
      <c r="F195" t="s">
        <v>7448</v>
      </c>
      <c r="G195" s="2">
        <v>0.32291666666666669</v>
      </c>
      <c r="H195" t="s">
        <v>6678</v>
      </c>
      <c r="I195">
        <v>3223</v>
      </c>
      <c r="J195">
        <v>1</v>
      </c>
      <c r="K195">
        <v>6</v>
      </c>
      <c r="S195">
        <v>4</v>
      </c>
    </row>
    <row r="196" spans="1:19" x14ac:dyDescent="0.3">
      <c r="A196" t="s">
        <v>638</v>
      </c>
      <c r="B196" t="s">
        <v>7449</v>
      </c>
      <c r="C196" t="s">
        <v>7450</v>
      </c>
      <c r="D196" t="s">
        <v>7451</v>
      </c>
      <c r="E196" t="s">
        <v>16</v>
      </c>
      <c r="F196" t="s">
        <v>7452</v>
      </c>
      <c r="G196" s="2">
        <v>0.67708333333333337</v>
      </c>
      <c r="H196" t="s">
        <v>6673</v>
      </c>
      <c r="I196">
        <v>3220</v>
      </c>
      <c r="J196">
        <v>3</v>
      </c>
      <c r="K196">
        <v>6</v>
      </c>
      <c r="S196">
        <v>4</v>
      </c>
    </row>
    <row r="197" spans="1:19" x14ac:dyDescent="0.3">
      <c r="A197" t="s">
        <v>638</v>
      </c>
      <c r="B197" t="s">
        <v>7453</v>
      </c>
      <c r="C197" t="s">
        <v>7454</v>
      </c>
      <c r="D197" t="s">
        <v>7455</v>
      </c>
      <c r="E197" t="s">
        <v>16</v>
      </c>
      <c r="F197" t="s">
        <v>7456</v>
      </c>
      <c r="G197" s="2">
        <v>0.625</v>
      </c>
      <c r="H197" t="s">
        <v>6673</v>
      </c>
      <c r="I197">
        <v>3219</v>
      </c>
      <c r="J197">
        <v>3</v>
      </c>
      <c r="K197">
        <v>6</v>
      </c>
      <c r="S197">
        <v>4</v>
      </c>
    </row>
    <row r="198" spans="1:19" x14ac:dyDescent="0.3">
      <c r="A198" t="s">
        <v>638</v>
      </c>
      <c r="B198" t="s">
        <v>7457</v>
      </c>
      <c r="C198" t="s">
        <v>7458</v>
      </c>
      <c r="D198" t="s">
        <v>7459</v>
      </c>
      <c r="E198" t="s">
        <v>16</v>
      </c>
      <c r="F198" t="s">
        <v>7460</v>
      </c>
      <c r="G198" s="2">
        <v>0.59375</v>
      </c>
      <c r="H198" t="s">
        <v>6673</v>
      </c>
      <c r="I198">
        <v>3216</v>
      </c>
      <c r="J198">
        <v>3</v>
      </c>
      <c r="K198">
        <v>6</v>
      </c>
      <c r="S198">
        <v>4</v>
      </c>
    </row>
    <row r="199" spans="1:19" x14ac:dyDescent="0.3">
      <c r="A199" t="s">
        <v>638</v>
      </c>
      <c r="B199" t="s">
        <v>7461</v>
      </c>
      <c r="C199" t="s">
        <v>7462</v>
      </c>
      <c r="D199" t="s">
        <v>7463</v>
      </c>
      <c r="E199" t="s">
        <v>16</v>
      </c>
      <c r="F199" t="s">
        <v>7464</v>
      </c>
      <c r="G199" s="2">
        <v>0.58333333333333337</v>
      </c>
      <c r="H199" t="s">
        <v>6673</v>
      </c>
      <c r="I199">
        <v>3215</v>
      </c>
      <c r="J199">
        <v>3</v>
      </c>
      <c r="K199">
        <v>6</v>
      </c>
      <c r="S199">
        <v>4</v>
      </c>
    </row>
    <row r="200" spans="1:19" x14ac:dyDescent="0.3">
      <c r="A200" t="s">
        <v>638</v>
      </c>
      <c r="B200" t="s">
        <v>7465</v>
      </c>
      <c r="C200" t="s">
        <v>7466</v>
      </c>
      <c r="D200" t="s">
        <v>7467</v>
      </c>
      <c r="E200" t="s">
        <v>16</v>
      </c>
      <c r="F200" t="s">
        <v>7468</v>
      </c>
      <c r="G200" s="2">
        <v>0.57291666666666663</v>
      </c>
      <c r="H200" t="s">
        <v>6673</v>
      </c>
      <c r="I200">
        <v>3214</v>
      </c>
      <c r="J200">
        <v>3</v>
      </c>
      <c r="K200">
        <v>6</v>
      </c>
      <c r="S200">
        <v>4</v>
      </c>
    </row>
    <row r="201" spans="1:19" x14ac:dyDescent="0.3">
      <c r="A201" t="s">
        <v>638</v>
      </c>
      <c r="B201" t="s">
        <v>7469</v>
      </c>
      <c r="C201" t="s">
        <v>7470</v>
      </c>
      <c r="D201" t="s">
        <v>7471</v>
      </c>
      <c r="E201" t="s">
        <v>16</v>
      </c>
      <c r="F201" t="s">
        <v>7472</v>
      </c>
      <c r="G201" s="2">
        <v>0.55208333333333337</v>
      </c>
      <c r="H201" t="s">
        <v>6673</v>
      </c>
      <c r="I201">
        <v>3212</v>
      </c>
      <c r="J201">
        <v>3</v>
      </c>
      <c r="K201">
        <v>6</v>
      </c>
      <c r="S201">
        <v>4</v>
      </c>
    </row>
    <row r="202" spans="1:19" x14ac:dyDescent="0.3">
      <c r="A202" t="s">
        <v>647</v>
      </c>
      <c r="B202" t="s">
        <v>7473</v>
      </c>
      <c r="C202" t="s">
        <v>7474</v>
      </c>
      <c r="D202" t="s">
        <v>7475</v>
      </c>
      <c r="E202" t="s">
        <v>16</v>
      </c>
      <c r="F202" s="2">
        <v>0.65625</v>
      </c>
      <c r="G202" s="2">
        <v>0.65625</v>
      </c>
      <c r="H202" t="s">
        <v>6673</v>
      </c>
      <c r="J202">
        <v>2</v>
      </c>
      <c r="K202">
        <v>4</v>
      </c>
      <c r="S202">
        <v>4</v>
      </c>
    </row>
    <row r="203" spans="1:19" x14ac:dyDescent="0.3">
      <c r="A203" t="s">
        <v>647</v>
      </c>
      <c r="B203" t="s">
        <v>7476</v>
      </c>
      <c r="C203" t="s">
        <v>7477</v>
      </c>
      <c r="D203" t="s">
        <v>7478</v>
      </c>
      <c r="E203" t="s">
        <v>16</v>
      </c>
      <c r="F203" t="s">
        <v>7479</v>
      </c>
      <c r="G203" s="2">
        <v>0.58333333333333337</v>
      </c>
      <c r="H203" t="s">
        <v>6673</v>
      </c>
      <c r="I203">
        <v>3207</v>
      </c>
      <c r="J203">
        <v>2</v>
      </c>
      <c r="K203">
        <v>6</v>
      </c>
      <c r="S203">
        <v>4</v>
      </c>
    </row>
    <row r="204" spans="1:19" x14ac:dyDescent="0.3">
      <c r="A204" t="s">
        <v>647</v>
      </c>
      <c r="B204" t="s">
        <v>7480</v>
      </c>
      <c r="C204" t="s">
        <v>7481</v>
      </c>
      <c r="D204" t="s">
        <v>7482</v>
      </c>
      <c r="E204" t="s">
        <v>16</v>
      </c>
      <c r="F204" t="s">
        <v>7483</v>
      </c>
      <c r="G204" s="2">
        <v>0.57291666666666663</v>
      </c>
      <c r="H204" t="s">
        <v>6673</v>
      </c>
      <c r="I204">
        <v>3206</v>
      </c>
      <c r="J204">
        <v>2</v>
      </c>
      <c r="K204">
        <v>4</v>
      </c>
      <c r="S204">
        <v>3</v>
      </c>
    </row>
    <row r="205" spans="1:19" x14ac:dyDescent="0.3">
      <c r="A205" t="s">
        <v>647</v>
      </c>
      <c r="B205" t="s">
        <v>7484</v>
      </c>
      <c r="C205" t="s">
        <v>7485</v>
      </c>
      <c r="D205" t="s">
        <v>7486</v>
      </c>
      <c r="E205" t="s">
        <v>16</v>
      </c>
      <c r="F205" t="s">
        <v>7487</v>
      </c>
      <c r="G205" s="2">
        <v>0.5625</v>
      </c>
      <c r="H205" t="s">
        <v>6673</v>
      </c>
      <c r="I205">
        <v>3205</v>
      </c>
      <c r="J205">
        <v>2</v>
      </c>
      <c r="K205">
        <v>3</v>
      </c>
      <c r="S205">
        <v>3</v>
      </c>
    </row>
    <row r="206" spans="1:19" x14ac:dyDescent="0.3">
      <c r="A206" t="s">
        <v>647</v>
      </c>
      <c r="B206" t="s">
        <v>7488</v>
      </c>
      <c r="C206" t="s">
        <v>7489</v>
      </c>
      <c r="D206" t="s">
        <v>7490</v>
      </c>
      <c r="E206" t="s">
        <v>16</v>
      </c>
      <c r="F206" t="s">
        <v>7491</v>
      </c>
      <c r="G206" s="2">
        <v>0.54166666666666663</v>
      </c>
      <c r="H206" t="s">
        <v>6673</v>
      </c>
      <c r="I206">
        <v>3204</v>
      </c>
      <c r="J206">
        <v>2</v>
      </c>
      <c r="K206">
        <v>4</v>
      </c>
      <c r="S206">
        <v>3</v>
      </c>
    </row>
    <row r="207" spans="1:19" x14ac:dyDescent="0.3">
      <c r="A207" t="s">
        <v>647</v>
      </c>
      <c r="B207" t="s">
        <v>7492</v>
      </c>
      <c r="C207" t="s">
        <v>7493</v>
      </c>
      <c r="D207" t="s">
        <v>7494</v>
      </c>
      <c r="E207" t="s">
        <v>16</v>
      </c>
      <c r="F207" t="s">
        <v>7495</v>
      </c>
      <c r="G207" s="2">
        <v>0.53125</v>
      </c>
      <c r="H207" t="s">
        <v>6673</v>
      </c>
      <c r="I207">
        <v>3203</v>
      </c>
      <c r="J207">
        <v>2</v>
      </c>
      <c r="K207">
        <v>3</v>
      </c>
      <c r="S207">
        <v>3</v>
      </c>
    </row>
    <row r="208" spans="1:19" x14ac:dyDescent="0.3">
      <c r="A208" t="s">
        <v>647</v>
      </c>
      <c r="B208" t="s">
        <v>7496</v>
      </c>
      <c r="C208" t="s">
        <v>7497</v>
      </c>
      <c r="D208" t="s">
        <v>7498</v>
      </c>
      <c r="E208" t="s">
        <v>16</v>
      </c>
      <c r="F208" t="s">
        <v>7499</v>
      </c>
      <c r="G208" s="2">
        <v>0.52083333333333337</v>
      </c>
      <c r="H208" t="s">
        <v>6678</v>
      </c>
      <c r="I208">
        <v>3201</v>
      </c>
      <c r="J208">
        <v>1</v>
      </c>
      <c r="K208">
        <v>6</v>
      </c>
      <c r="S208">
        <v>4</v>
      </c>
    </row>
    <row r="209" spans="1:19" x14ac:dyDescent="0.3">
      <c r="A209" t="s">
        <v>647</v>
      </c>
      <c r="B209" t="s">
        <v>7500</v>
      </c>
      <c r="C209" t="s">
        <v>7501</v>
      </c>
      <c r="D209" t="s">
        <v>7502</v>
      </c>
      <c r="E209" t="s">
        <v>16</v>
      </c>
      <c r="F209" t="s">
        <v>7503</v>
      </c>
      <c r="G209" s="2">
        <v>0.5</v>
      </c>
      <c r="H209" t="s">
        <v>6678</v>
      </c>
      <c r="I209">
        <v>3200</v>
      </c>
      <c r="J209">
        <v>3</v>
      </c>
      <c r="K209">
        <v>7</v>
      </c>
      <c r="S209">
        <v>4</v>
      </c>
    </row>
    <row r="210" spans="1:19" x14ac:dyDescent="0.3">
      <c r="A210" t="s">
        <v>651</v>
      </c>
      <c r="B210" t="s">
        <v>7504</v>
      </c>
      <c r="C210" t="s">
        <v>7505</v>
      </c>
      <c r="D210" t="s">
        <v>7506</v>
      </c>
      <c r="E210" t="s">
        <v>16</v>
      </c>
      <c r="F210" t="s">
        <v>7507</v>
      </c>
      <c r="G210" s="2">
        <v>0.70833333333333337</v>
      </c>
      <c r="H210" t="s">
        <v>6673</v>
      </c>
      <c r="I210">
        <v>3200</v>
      </c>
      <c r="J210">
        <v>3</v>
      </c>
      <c r="K210">
        <v>6</v>
      </c>
      <c r="S210">
        <v>4</v>
      </c>
    </row>
    <row r="211" spans="1:19" x14ac:dyDescent="0.3">
      <c r="A211" t="s">
        <v>651</v>
      </c>
      <c r="B211" t="s">
        <v>7508</v>
      </c>
      <c r="C211" t="s">
        <v>7509</v>
      </c>
      <c r="D211" t="s">
        <v>7510</v>
      </c>
      <c r="E211" t="s">
        <v>16</v>
      </c>
      <c r="F211" t="s">
        <v>7511</v>
      </c>
      <c r="G211" s="2">
        <v>0.54166666666666663</v>
      </c>
      <c r="H211" t="s">
        <v>6673</v>
      </c>
      <c r="I211">
        <v>3198</v>
      </c>
    </row>
    <row r="212" spans="1:19" x14ac:dyDescent="0.3">
      <c r="A212" t="s">
        <v>651</v>
      </c>
      <c r="B212" t="s">
        <v>7512</v>
      </c>
      <c r="C212" t="s">
        <v>7513</v>
      </c>
      <c r="D212" t="s">
        <v>7514</v>
      </c>
      <c r="E212" t="s">
        <v>16</v>
      </c>
      <c r="F212" t="s">
        <v>7515</v>
      </c>
      <c r="G212" s="2">
        <v>0.53125</v>
      </c>
      <c r="H212" t="s">
        <v>6678</v>
      </c>
      <c r="I212">
        <v>3197</v>
      </c>
    </row>
    <row r="213" spans="1:19" x14ac:dyDescent="0.3">
      <c r="A213" t="s">
        <v>651</v>
      </c>
      <c r="B213" t="s">
        <v>7516</v>
      </c>
      <c r="C213" t="s">
        <v>7517</v>
      </c>
      <c r="D213" t="s">
        <v>7518</v>
      </c>
      <c r="E213" t="s">
        <v>16</v>
      </c>
      <c r="F213" t="s">
        <v>7519</v>
      </c>
      <c r="G213" s="2">
        <v>0.46875</v>
      </c>
      <c r="H213" t="s">
        <v>6678</v>
      </c>
      <c r="I213">
        <v>3196</v>
      </c>
      <c r="J213">
        <v>2</v>
      </c>
      <c r="K213">
        <v>3</v>
      </c>
      <c r="S213">
        <v>3</v>
      </c>
    </row>
    <row r="214" spans="1:19" x14ac:dyDescent="0.3">
      <c r="A214" t="s">
        <v>651</v>
      </c>
      <c r="B214" t="s">
        <v>7520</v>
      </c>
      <c r="C214" t="s">
        <v>7521</v>
      </c>
      <c r="D214" t="s">
        <v>7522</v>
      </c>
      <c r="E214" t="s">
        <v>16</v>
      </c>
      <c r="F214" t="s">
        <v>7523</v>
      </c>
      <c r="G214" s="2">
        <v>0.45833333333333331</v>
      </c>
      <c r="H214" t="s">
        <v>6678</v>
      </c>
      <c r="I214">
        <v>3196</v>
      </c>
      <c r="J214">
        <v>2</v>
      </c>
      <c r="K214">
        <v>3</v>
      </c>
      <c r="S214">
        <v>3</v>
      </c>
    </row>
    <row r="215" spans="1:19" x14ac:dyDescent="0.3">
      <c r="A215" t="s">
        <v>651</v>
      </c>
      <c r="B215" t="s">
        <v>7524</v>
      </c>
      <c r="C215" t="s">
        <v>7525</v>
      </c>
      <c r="D215" t="s">
        <v>7526</v>
      </c>
      <c r="E215" t="s">
        <v>16</v>
      </c>
      <c r="F215" t="s">
        <v>7527</v>
      </c>
      <c r="G215" s="2">
        <v>0.44791666666666669</v>
      </c>
      <c r="H215" t="s">
        <v>6673</v>
      </c>
      <c r="I215">
        <v>3196</v>
      </c>
      <c r="J215">
        <v>2</v>
      </c>
      <c r="K215">
        <v>3</v>
      </c>
      <c r="S215">
        <v>3</v>
      </c>
    </row>
    <row r="216" spans="1:19" x14ac:dyDescent="0.3">
      <c r="A216" t="s">
        <v>651</v>
      </c>
      <c r="B216" t="s">
        <v>7528</v>
      </c>
      <c r="C216" t="s">
        <v>7529</v>
      </c>
      <c r="D216" t="s">
        <v>7530</v>
      </c>
      <c r="E216" t="s">
        <v>16</v>
      </c>
      <c r="F216" t="s">
        <v>7531</v>
      </c>
      <c r="G216" s="2">
        <v>0.4375</v>
      </c>
      <c r="H216" t="s">
        <v>6678</v>
      </c>
      <c r="I216">
        <v>3195</v>
      </c>
      <c r="J216">
        <v>2</v>
      </c>
      <c r="K216">
        <v>3</v>
      </c>
      <c r="S216">
        <v>3</v>
      </c>
    </row>
    <row r="217" spans="1:19" x14ac:dyDescent="0.3">
      <c r="A217" t="s">
        <v>651</v>
      </c>
      <c r="B217" t="s">
        <v>7532</v>
      </c>
      <c r="C217" t="s">
        <v>7533</v>
      </c>
      <c r="D217" t="s">
        <v>7534</v>
      </c>
      <c r="E217" t="s">
        <v>16</v>
      </c>
      <c r="F217" t="s">
        <v>7535</v>
      </c>
      <c r="G217" s="2">
        <v>0.42708333333333331</v>
      </c>
      <c r="H217" t="s">
        <v>6673</v>
      </c>
      <c r="I217">
        <v>3194</v>
      </c>
      <c r="J217">
        <v>2</v>
      </c>
      <c r="K217">
        <v>3</v>
      </c>
      <c r="S217">
        <v>3</v>
      </c>
    </row>
    <row r="218" spans="1:19" x14ac:dyDescent="0.3">
      <c r="A218" t="s">
        <v>656</v>
      </c>
      <c r="B218" t="s">
        <v>7536</v>
      </c>
      <c r="C218" t="s">
        <v>7537</v>
      </c>
      <c r="D218" t="s">
        <v>7538</v>
      </c>
      <c r="E218" t="s">
        <v>16</v>
      </c>
      <c r="F218" t="s">
        <v>7539</v>
      </c>
      <c r="G218" s="2">
        <v>0.41666666666666669</v>
      </c>
      <c r="H218" t="s">
        <v>6673</v>
      </c>
      <c r="I218">
        <v>3192</v>
      </c>
      <c r="J218">
        <v>2</v>
      </c>
      <c r="K218">
        <v>3</v>
      </c>
      <c r="S218">
        <v>2</v>
      </c>
    </row>
    <row r="219" spans="1:19" x14ac:dyDescent="0.3">
      <c r="A219" t="s">
        <v>656</v>
      </c>
      <c r="B219" t="s">
        <v>7540</v>
      </c>
      <c r="C219" t="s">
        <v>7541</v>
      </c>
      <c r="D219" t="s">
        <v>7542</v>
      </c>
      <c r="E219" t="s">
        <v>16</v>
      </c>
      <c r="F219" t="s">
        <v>7543</v>
      </c>
      <c r="G219" s="2">
        <v>0.40625</v>
      </c>
      <c r="H219" t="s">
        <v>6678</v>
      </c>
      <c r="I219">
        <v>3191</v>
      </c>
      <c r="J219">
        <v>2</v>
      </c>
      <c r="K219">
        <v>2</v>
      </c>
      <c r="S219">
        <v>2</v>
      </c>
    </row>
    <row r="220" spans="1:19" x14ac:dyDescent="0.3">
      <c r="A220" t="s">
        <v>656</v>
      </c>
      <c r="B220" t="s">
        <v>7544</v>
      </c>
      <c r="C220" t="s">
        <v>7545</v>
      </c>
      <c r="D220" t="s">
        <v>7546</v>
      </c>
      <c r="E220" t="s">
        <v>16</v>
      </c>
      <c r="F220" t="s">
        <v>7547</v>
      </c>
      <c r="G220" s="2">
        <v>0.36458333333333331</v>
      </c>
      <c r="H220" t="s">
        <v>6678</v>
      </c>
      <c r="I220">
        <v>3188</v>
      </c>
      <c r="J220">
        <v>3</v>
      </c>
      <c r="K220">
        <v>7</v>
      </c>
      <c r="S220">
        <v>4</v>
      </c>
    </row>
    <row r="221" spans="1:19" x14ac:dyDescent="0.3">
      <c r="A221" t="s">
        <v>673</v>
      </c>
      <c r="B221" t="s">
        <v>7548</v>
      </c>
      <c r="C221" t="s">
        <v>7549</v>
      </c>
      <c r="D221" t="s">
        <v>7550</v>
      </c>
      <c r="E221" t="s">
        <v>16</v>
      </c>
      <c r="F221" t="s">
        <v>7551</v>
      </c>
      <c r="G221" s="2">
        <v>0.52083333333333337</v>
      </c>
      <c r="H221" t="s">
        <v>6678</v>
      </c>
      <c r="I221">
        <v>3179</v>
      </c>
      <c r="J221">
        <v>3</v>
      </c>
      <c r="K221">
        <v>3</v>
      </c>
      <c r="S221">
        <v>3</v>
      </c>
    </row>
    <row r="222" spans="1:19" x14ac:dyDescent="0.3">
      <c r="A222" t="s">
        <v>699</v>
      </c>
      <c r="B222" t="s">
        <v>7552</v>
      </c>
      <c r="C222" t="s">
        <v>7553</v>
      </c>
      <c r="D222" t="s">
        <v>7554</v>
      </c>
      <c r="E222" t="s">
        <v>16</v>
      </c>
      <c r="F222" t="s">
        <v>7555</v>
      </c>
      <c r="G222" s="2">
        <v>0.72916666666666663</v>
      </c>
      <c r="H222" t="s">
        <v>6673</v>
      </c>
      <c r="I222">
        <v>3162</v>
      </c>
      <c r="J222">
        <v>3</v>
      </c>
      <c r="K222">
        <v>6</v>
      </c>
      <c r="S222">
        <v>3</v>
      </c>
    </row>
    <row r="223" spans="1:19" x14ac:dyDescent="0.3">
      <c r="A223" t="s">
        <v>699</v>
      </c>
      <c r="B223" t="s">
        <v>7556</v>
      </c>
      <c r="C223" t="s">
        <v>7557</v>
      </c>
      <c r="D223" t="s">
        <v>7558</v>
      </c>
      <c r="E223" t="s">
        <v>16</v>
      </c>
      <c r="F223" t="s">
        <v>7559</v>
      </c>
      <c r="G223" s="2">
        <v>0.6875</v>
      </c>
      <c r="H223" t="s">
        <v>6678</v>
      </c>
      <c r="I223">
        <v>3161</v>
      </c>
      <c r="J223">
        <v>3</v>
      </c>
      <c r="K223">
        <v>7</v>
      </c>
      <c r="S223">
        <v>4</v>
      </c>
    </row>
    <row r="224" spans="1:19" x14ac:dyDescent="0.3">
      <c r="A224" t="s">
        <v>699</v>
      </c>
      <c r="B224" t="s">
        <v>7560</v>
      </c>
      <c r="C224" t="s">
        <v>7561</v>
      </c>
      <c r="D224" t="s">
        <v>7562</v>
      </c>
      <c r="E224" t="s">
        <v>16</v>
      </c>
      <c r="F224" t="s">
        <v>7563</v>
      </c>
      <c r="G224" s="2">
        <v>0.60416666666666663</v>
      </c>
      <c r="H224" t="s">
        <v>6678</v>
      </c>
      <c r="I224">
        <v>3158</v>
      </c>
      <c r="J224">
        <v>2</v>
      </c>
      <c r="K224">
        <v>7</v>
      </c>
      <c r="S224">
        <v>4</v>
      </c>
    </row>
    <row r="225" spans="1:19" x14ac:dyDescent="0.3">
      <c r="A225" t="s">
        <v>699</v>
      </c>
      <c r="B225" t="s">
        <v>7564</v>
      </c>
      <c r="C225" t="s">
        <v>7565</v>
      </c>
      <c r="D225" t="s">
        <v>7566</v>
      </c>
      <c r="E225" t="s">
        <v>16</v>
      </c>
      <c r="F225" t="s">
        <v>7567</v>
      </c>
      <c r="G225" s="2">
        <v>0.5625</v>
      </c>
      <c r="H225" t="s">
        <v>6911</v>
      </c>
      <c r="I225">
        <v>3157</v>
      </c>
      <c r="J225">
        <v>2</v>
      </c>
      <c r="K225">
        <v>7</v>
      </c>
      <c r="S225">
        <v>4</v>
      </c>
    </row>
    <row r="226" spans="1:19" x14ac:dyDescent="0.3">
      <c r="A226" t="s">
        <v>716</v>
      </c>
      <c r="B226" t="s">
        <v>7568</v>
      </c>
      <c r="C226" t="s">
        <v>7569</v>
      </c>
      <c r="D226" t="s">
        <v>7570</v>
      </c>
      <c r="E226" t="s">
        <v>16</v>
      </c>
      <c r="F226" t="s">
        <v>7571</v>
      </c>
      <c r="G226" s="2">
        <v>0.4375</v>
      </c>
      <c r="H226" t="s">
        <v>6678</v>
      </c>
      <c r="I226">
        <v>3149</v>
      </c>
      <c r="J226">
        <v>2</v>
      </c>
      <c r="K226">
        <v>8</v>
      </c>
      <c r="S226">
        <v>4</v>
      </c>
    </row>
    <row r="227" spans="1:19" x14ac:dyDescent="0.3">
      <c r="A227" t="s">
        <v>716</v>
      </c>
      <c r="B227" t="s">
        <v>7572</v>
      </c>
      <c r="C227" t="s">
        <v>7573</v>
      </c>
      <c r="D227" t="s">
        <v>7574</v>
      </c>
      <c r="E227" t="s">
        <v>16</v>
      </c>
      <c r="F227" t="s">
        <v>7575</v>
      </c>
      <c r="G227" s="2">
        <v>0.36458333333333331</v>
      </c>
      <c r="H227" t="s">
        <v>6678</v>
      </c>
      <c r="I227">
        <v>3145</v>
      </c>
      <c r="J227">
        <v>2</v>
      </c>
      <c r="K227">
        <v>8</v>
      </c>
      <c r="S227">
        <v>4</v>
      </c>
    </row>
    <row r="228" spans="1:19" x14ac:dyDescent="0.3">
      <c r="A228" t="s">
        <v>716</v>
      </c>
      <c r="B228" t="s">
        <v>7576</v>
      </c>
      <c r="C228" t="s">
        <v>7577</v>
      </c>
      <c r="D228" t="s">
        <v>7578</v>
      </c>
      <c r="E228" t="s">
        <v>16</v>
      </c>
      <c r="F228" t="s">
        <v>7579</v>
      </c>
      <c r="G228" s="2">
        <v>0.34375</v>
      </c>
      <c r="H228" t="s">
        <v>6678</v>
      </c>
      <c r="I228">
        <v>3143</v>
      </c>
      <c r="J228">
        <v>2</v>
      </c>
      <c r="K228">
        <v>8</v>
      </c>
      <c r="S228">
        <v>4</v>
      </c>
    </row>
    <row r="229" spans="1:19" x14ac:dyDescent="0.3">
      <c r="A229" t="s">
        <v>720</v>
      </c>
      <c r="B229" t="s">
        <v>7580</v>
      </c>
      <c r="C229" t="s">
        <v>7581</v>
      </c>
      <c r="D229" t="s">
        <v>7582</v>
      </c>
      <c r="E229" t="s">
        <v>16</v>
      </c>
      <c r="F229" t="s">
        <v>7583</v>
      </c>
      <c r="G229" s="2">
        <v>0.73958333333333337</v>
      </c>
      <c r="H229" t="s">
        <v>6673</v>
      </c>
      <c r="I229">
        <v>3141</v>
      </c>
      <c r="J229">
        <v>2</v>
      </c>
      <c r="K229">
        <v>8</v>
      </c>
      <c r="S229">
        <v>4</v>
      </c>
    </row>
    <row r="230" spans="1:19" x14ac:dyDescent="0.3">
      <c r="A230" t="s">
        <v>720</v>
      </c>
      <c r="B230" t="s">
        <v>7584</v>
      </c>
      <c r="C230" t="s">
        <v>7585</v>
      </c>
      <c r="D230" t="s">
        <v>7586</v>
      </c>
      <c r="E230" t="s">
        <v>16</v>
      </c>
      <c r="F230" t="s">
        <v>7587</v>
      </c>
      <c r="G230" s="2">
        <v>0.70833333333333337</v>
      </c>
      <c r="H230" t="s">
        <v>6673</v>
      </c>
      <c r="I230">
        <v>3140</v>
      </c>
      <c r="J230">
        <v>2</v>
      </c>
      <c r="K230">
        <v>8</v>
      </c>
      <c r="S230">
        <v>4</v>
      </c>
    </row>
    <row r="231" spans="1:19" x14ac:dyDescent="0.3">
      <c r="A231" t="s">
        <v>720</v>
      </c>
      <c r="B231" t="s">
        <v>7588</v>
      </c>
      <c r="C231" t="s">
        <v>7589</v>
      </c>
      <c r="D231" t="s">
        <v>7590</v>
      </c>
      <c r="E231" t="s">
        <v>16</v>
      </c>
      <c r="F231" t="s">
        <v>7591</v>
      </c>
      <c r="G231" s="2">
        <v>0.45833333333333331</v>
      </c>
      <c r="H231" t="s">
        <v>6678</v>
      </c>
      <c r="I231">
        <v>3137</v>
      </c>
      <c r="J231">
        <v>2</v>
      </c>
      <c r="K231">
        <v>8</v>
      </c>
      <c r="S231">
        <v>4</v>
      </c>
    </row>
    <row r="232" spans="1:19" x14ac:dyDescent="0.3">
      <c r="A232" t="s">
        <v>720</v>
      </c>
      <c r="B232" t="s">
        <v>7592</v>
      </c>
      <c r="C232" t="s">
        <v>7593</v>
      </c>
      <c r="D232" t="s">
        <v>7594</v>
      </c>
      <c r="E232" t="s">
        <v>16</v>
      </c>
      <c r="F232" t="s">
        <v>7595</v>
      </c>
      <c r="G232" s="2">
        <v>0.4375</v>
      </c>
      <c r="H232" t="s">
        <v>6673</v>
      </c>
      <c r="I232">
        <v>3136</v>
      </c>
      <c r="J232">
        <v>2</v>
      </c>
      <c r="K232">
        <v>8</v>
      </c>
      <c r="S232">
        <v>4</v>
      </c>
    </row>
    <row r="233" spans="1:19" x14ac:dyDescent="0.3">
      <c r="A233" t="s">
        <v>720</v>
      </c>
      <c r="B233" t="s">
        <v>7596</v>
      </c>
      <c r="C233" t="s">
        <v>7597</v>
      </c>
      <c r="D233" t="s">
        <v>7598</v>
      </c>
      <c r="E233" t="s">
        <v>16</v>
      </c>
      <c r="F233" t="s">
        <v>7599</v>
      </c>
      <c r="G233" s="2">
        <v>0.41666666666666669</v>
      </c>
      <c r="H233" t="s">
        <v>6678</v>
      </c>
      <c r="I233">
        <v>3135</v>
      </c>
      <c r="J233">
        <v>2</v>
      </c>
      <c r="K233">
        <v>8</v>
      </c>
      <c r="S233">
        <v>4</v>
      </c>
    </row>
    <row r="234" spans="1:19" x14ac:dyDescent="0.3">
      <c r="A234" t="s">
        <v>720</v>
      </c>
      <c r="B234" t="s">
        <v>7600</v>
      </c>
      <c r="C234" t="s">
        <v>7601</v>
      </c>
      <c r="D234" t="s">
        <v>7602</v>
      </c>
      <c r="E234" t="s">
        <v>16</v>
      </c>
      <c r="F234" t="s">
        <v>7603</v>
      </c>
      <c r="G234" s="2">
        <v>0.40625</v>
      </c>
      <c r="H234" t="s">
        <v>6678</v>
      </c>
      <c r="I234">
        <v>3134</v>
      </c>
      <c r="J234">
        <v>2</v>
      </c>
      <c r="K234">
        <v>8</v>
      </c>
      <c r="S234">
        <v>4</v>
      </c>
    </row>
    <row r="235" spans="1:19" x14ac:dyDescent="0.3">
      <c r="A235" t="s">
        <v>724</v>
      </c>
      <c r="B235" t="s">
        <v>7604</v>
      </c>
      <c r="C235" t="s">
        <v>7605</v>
      </c>
      <c r="D235" t="s">
        <v>7606</v>
      </c>
      <c r="E235" t="s">
        <v>16</v>
      </c>
      <c r="F235" t="s">
        <v>7607</v>
      </c>
      <c r="G235" s="2">
        <v>0.35416666666666669</v>
      </c>
      <c r="H235" t="s">
        <v>6678</v>
      </c>
      <c r="I235">
        <v>3132</v>
      </c>
      <c r="J235">
        <v>2</v>
      </c>
      <c r="K235">
        <v>8</v>
      </c>
      <c r="S235">
        <v>4</v>
      </c>
    </row>
    <row r="236" spans="1:19" x14ac:dyDescent="0.3">
      <c r="A236" t="s">
        <v>732</v>
      </c>
      <c r="B236" t="s">
        <v>7608</v>
      </c>
      <c r="C236" t="s">
        <v>7609</v>
      </c>
      <c r="D236" t="s">
        <v>7610</v>
      </c>
      <c r="E236" t="s">
        <v>16</v>
      </c>
      <c r="F236" t="s">
        <v>7611</v>
      </c>
      <c r="G236" s="2">
        <v>0.70833333333333337</v>
      </c>
      <c r="H236" t="s">
        <v>556</v>
      </c>
      <c r="I236">
        <v>3130</v>
      </c>
      <c r="J236">
        <v>2</v>
      </c>
      <c r="K236">
        <v>8</v>
      </c>
      <c r="S236">
        <v>4</v>
      </c>
    </row>
    <row r="237" spans="1:19" x14ac:dyDescent="0.3">
      <c r="A237" t="s">
        <v>732</v>
      </c>
      <c r="B237" t="s">
        <v>7612</v>
      </c>
      <c r="C237" t="s">
        <v>7613</v>
      </c>
      <c r="D237" t="s">
        <v>7614</v>
      </c>
      <c r="E237" t="s">
        <v>16</v>
      </c>
      <c r="F237" t="s">
        <v>7615</v>
      </c>
      <c r="G237" s="2">
        <v>0.69791666666666663</v>
      </c>
      <c r="H237" t="s">
        <v>556</v>
      </c>
      <c r="I237">
        <v>3129</v>
      </c>
      <c r="J237">
        <v>2</v>
      </c>
      <c r="K237">
        <v>8</v>
      </c>
      <c r="S237">
        <v>4</v>
      </c>
    </row>
    <row r="238" spans="1:19" x14ac:dyDescent="0.3">
      <c r="A238" t="s">
        <v>732</v>
      </c>
      <c r="B238" t="s">
        <v>7616</v>
      </c>
      <c r="C238" t="s">
        <v>7617</v>
      </c>
      <c r="D238" t="s">
        <v>7618</v>
      </c>
      <c r="E238" t="s">
        <v>16</v>
      </c>
      <c r="F238" t="s">
        <v>7619</v>
      </c>
      <c r="G238" s="2">
        <v>0.6875</v>
      </c>
      <c r="H238" t="s">
        <v>556</v>
      </c>
      <c r="I238">
        <v>3128</v>
      </c>
      <c r="J238">
        <v>2</v>
      </c>
      <c r="K238">
        <v>8</v>
      </c>
      <c r="S238">
        <v>4</v>
      </c>
    </row>
    <row r="239" spans="1:19" x14ac:dyDescent="0.3">
      <c r="A239" t="s">
        <v>732</v>
      </c>
      <c r="B239" t="s">
        <v>7620</v>
      </c>
      <c r="C239" t="s">
        <v>7621</v>
      </c>
      <c r="D239" t="s">
        <v>7622</v>
      </c>
      <c r="E239" t="s">
        <v>16</v>
      </c>
      <c r="F239" t="s">
        <v>7623</v>
      </c>
      <c r="G239" s="2">
        <v>0.54166666666666663</v>
      </c>
      <c r="H239" t="s">
        <v>556</v>
      </c>
      <c r="I239">
        <v>3126</v>
      </c>
      <c r="J239">
        <v>2</v>
      </c>
      <c r="K239">
        <v>8</v>
      </c>
      <c r="S239">
        <v>4</v>
      </c>
    </row>
    <row r="240" spans="1:19" x14ac:dyDescent="0.3">
      <c r="A240" t="s">
        <v>732</v>
      </c>
      <c r="B240" t="s">
        <v>7624</v>
      </c>
      <c r="C240" t="s">
        <v>7625</v>
      </c>
      <c r="D240" t="s">
        <v>7626</v>
      </c>
      <c r="E240" t="s">
        <v>16</v>
      </c>
      <c r="F240" t="s">
        <v>7627</v>
      </c>
      <c r="G240" s="2">
        <v>0.42708333333333331</v>
      </c>
      <c r="H240" t="s">
        <v>6678</v>
      </c>
      <c r="I240">
        <v>3120</v>
      </c>
      <c r="J240">
        <v>1</v>
      </c>
      <c r="K240">
        <v>8</v>
      </c>
      <c r="S240">
        <v>4</v>
      </c>
    </row>
    <row r="241" spans="1:22" x14ac:dyDescent="0.3">
      <c r="A241" t="s">
        <v>732</v>
      </c>
      <c r="B241" s="3" t="s">
        <v>7628</v>
      </c>
      <c r="C241" t="s">
        <v>7629</v>
      </c>
      <c r="D241" t="s">
        <v>7630</v>
      </c>
      <c r="E241" t="s">
        <v>16</v>
      </c>
      <c r="F241" t="s">
        <v>7631</v>
      </c>
      <c r="G241" s="2">
        <v>0.35416666666666669</v>
      </c>
      <c r="H241" t="s">
        <v>6673</v>
      </c>
      <c r="I241">
        <v>3118</v>
      </c>
      <c r="J241">
        <v>2</v>
      </c>
      <c r="K241">
        <v>8</v>
      </c>
      <c r="S241">
        <v>4</v>
      </c>
    </row>
    <row r="242" spans="1:22" x14ac:dyDescent="0.3">
      <c r="A242" t="s">
        <v>732</v>
      </c>
      <c r="B242" t="s">
        <v>7632</v>
      </c>
      <c r="C242" t="s">
        <v>7633</v>
      </c>
      <c r="D242" t="s">
        <v>7634</v>
      </c>
      <c r="E242" t="s">
        <v>16</v>
      </c>
      <c r="F242" t="s">
        <v>7635</v>
      </c>
      <c r="G242" s="2">
        <v>0.3125</v>
      </c>
      <c r="H242" t="s">
        <v>6673</v>
      </c>
      <c r="I242">
        <v>3115</v>
      </c>
      <c r="J242">
        <v>2</v>
      </c>
      <c r="K242">
        <v>8</v>
      </c>
      <c r="S242">
        <v>4</v>
      </c>
    </row>
    <row r="243" spans="1:22" x14ac:dyDescent="0.3">
      <c r="A243" t="s">
        <v>732</v>
      </c>
      <c r="B243" t="s">
        <v>7636</v>
      </c>
      <c r="C243" t="s">
        <v>7637</v>
      </c>
      <c r="D243" t="s">
        <v>7638</v>
      </c>
      <c r="E243" t="s">
        <v>16</v>
      </c>
      <c r="F243" t="s">
        <v>7639</v>
      </c>
      <c r="G243" s="2">
        <v>0.30208333333333331</v>
      </c>
      <c r="H243" t="s">
        <v>6673</v>
      </c>
      <c r="I243">
        <v>3114</v>
      </c>
      <c r="J243">
        <v>2</v>
      </c>
      <c r="K243">
        <v>8</v>
      </c>
      <c r="S243">
        <v>4</v>
      </c>
    </row>
    <row r="244" spans="1:22" x14ac:dyDescent="0.3">
      <c r="A244" t="s">
        <v>736</v>
      </c>
      <c r="B244" t="s">
        <v>7640</v>
      </c>
      <c r="C244" t="s">
        <v>7641</v>
      </c>
      <c r="D244" t="s">
        <v>7642</v>
      </c>
      <c r="E244" t="s">
        <v>16</v>
      </c>
      <c r="F244" t="s">
        <v>7643</v>
      </c>
      <c r="G244" s="2">
        <v>0.67708333333333337</v>
      </c>
      <c r="H244" t="s">
        <v>556</v>
      </c>
      <c r="I244">
        <v>3111</v>
      </c>
      <c r="J244">
        <v>2</v>
      </c>
      <c r="K244">
        <v>8</v>
      </c>
      <c r="S244">
        <v>4</v>
      </c>
    </row>
    <row r="245" spans="1:22" x14ac:dyDescent="0.3">
      <c r="A245" t="s">
        <v>736</v>
      </c>
      <c r="B245" t="s">
        <v>7644</v>
      </c>
      <c r="C245" t="s">
        <v>7645</v>
      </c>
      <c r="D245" t="s">
        <v>7646</v>
      </c>
      <c r="E245" t="s">
        <v>16</v>
      </c>
      <c r="F245" t="s">
        <v>7647</v>
      </c>
      <c r="G245" s="2">
        <v>0.63541666666666663</v>
      </c>
      <c r="H245" t="s">
        <v>556</v>
      </c>
      <c r="I245">
        <v>3108</v>
      </c>
      <c r="J245">
        <v>2</v>
      </c>
      <c r="K245">
        <v>8</v>
      </c>
      <c r="S245">
        <v>4</v>
      </c>
    </row>
    <row r="246" spans="1:22" x14ac:dyDescent="0.3">
      <c r="A246" t="s">
        <v>736</v>
      </c>
      <c r="B246" t="s">
        <v>7648</v>
      </c>
      <c r="C246" t="s">
        <v>7649</v>
      </c>
      <c r="D246" t="s">
        <v>7650</v>
      </c>
      <c r="E246" t="s">
        <v>16</v>
      </c>
      <c r="F246" t="s">
        <v>7651</v>
      </c>
      <c r="G246" s="2">
        <v>0.61805555555555558</v>
      </c>
      <c r="H246" t="s">
        <v>556</v>
      </c>
      <c r="I246">
        <v>3107</v>
      </c>
      <c r="J246">
        <v>2</v>
      </c>
      <c r="K246">
        <v>8</v>
      </c>
      <c r="S246">
        <v>4</v>
      </c>
    </row>
    <row r="247" spans="1:22" x14ac:dyDescent="0.3">
      <c r="A247" t="s">
        <v>745</v>
      </c>
      <c r="B247" t="s">
        <v>7652</v>
      </c>
      <c r="C247" t="s">
        <v>7653</v>
      </c>
      <c r="D247" t="s">
        <v>7654</v>
      </c>
      <c r="E247" t="s">
        <v>16</v>
      </c>
      <c r="F247" t="s">
        <v>7655</v>
      </c>
      <c r="G247" s="2">
        <v>0.51041666666666663</v>
      </c>
      <c r="H247" t="s">
        <v>556</v>
      </c>
      <c r="I247">
        <v>3105</v>
      </c>
      <c r="J247">
        <v>2</v>
      </c>
      <c r="K247">
        <v>6</v>
      </c>
    </row>
    <row r="248" spans="1:22" x14ac:dyDescent="0.3">
      <c r="A248" t="s">
        <v>745</v>
      </c>
      <c r="B248" t="s">
        <v>7656</v>
      </c>
      <c r="C248" t="s">
        <v>7657</v>
      </c>
      <c r="D248" t="s">
        <v>7658</v>
      </c>
      <c r="E248" t="s">
        <v>16</v>
      </c>
      <c r="F248" t="s">
        <v>7659</v>
      </c>
      <c r="G248" s="2">
        <v>0.5</v>
      </c>
      <c r="H248" t="s">
        <v>556</v>
      </c>
      <c r="I248">
        <v>3104</v>
      </c>
      <c r="J248">
        <v>2</v>
      </c>
      <c r="K248">
        <v>4</v>
      </c>
      <c r="S248">
        <v>1</v>
      </c>
    </row>
    <row r="249" spans="1:22" x14ac:dyDescent="0.3">
      <c r="A249" t="s">
        <v>761</v>
      </c>
      <c r="B249" t="s">
        <v>7660</v>
      </c>
      <c r="C249" t="s">
        <v>7661</v>
      </c>
      <c r="D249" t="s">
        <v>7662</v>
      </c>
      <c r="E249" t="s">
        <v>16</v>
      </c>
      <c r="F249" t="s">
        <v>7663</v>
      </c>
      <c r="G249" s="2">
        <v>0.72222222222222221</v>
      </c>
      <c r="H249" t="s">
        <v>556</v>
      </c>
      <c r="I249">
        <v>3091</v>
      </c>
      <c r="J249">
        <v>2</v>
      </c>
      <c r="K249">
        <v>7</v>
      </c>
      <c r="S249">
        <v>2</v>
      </c>
    </row>
    <row r="250" spans="1:22" x14ac:dyDescent="0.3">
      <c r="A250" t="s">
        <v>765</v>
      </c>
      <c r="B250" t="s">
        <v>7664</v>
      </c>
      <c r="C250" t="s">
        <v>7665</v>
      </c>
      <c r="D250" t="s">
        <v>7666</v>
      </c>
      <c r="E250" t="s">
        <v>16</v>
      </c>
      <c r="F250" t="s">
        <v>7667</v>
      </c>
      <c r="G250" s="2">
        <v>0.65833333333333333</v>
      </c>
      <c r="H250" t="s">
        <v>556</v>
      </c>
      <c r="I250">
        <v>3088</v>
      </c>
      <c r="J250">
        <v>2</v>
      </c>
      <c r="K250">
        <v>7</v>
      </c>
      <c r="L250">
        <v>0</v>
      </c>
      <c r="S250">
        <v>2</v>
      </c>
    </row>
    <row r="251" spans="1:22" x14ac:dyDescent="0.3">
      <c r="A251" t="s">
        <v>765</v>
      </c>
      <c r="B251" t="s">
        <v>7668</v>
      </c>
      <c r="C251" t="s">
        <v>7669</v>
      </c>
      <c r="D251" t="s">
        <v>7670</v>
      </c>
      <c r="E251" t="s">
        <v>16</v>
      </c>
      <c r="F251" t="s">
        <v>7671</v>
      </c>
      <c r="G251" s="2">
        <v>0.61805555555555558</v>
      </c>
      <c r="H251" t="s">
        <v>556</v>
      </c>
      <c r="I251">
        <v>3085</v>
      </c>
      <c r="J251">
        <v>2</v>
      </c>
      <c r="K251">
        <v>7</v>
      </c>
      <c r="S251">
        <v>2</v>
      </c>
    </row>
    <row r="252" spans="1:22" x14ac:dyDescent="0.3">
      <c r="A252" t="s">
        <v>769</v>
      </c>
      <c r="B252" s="3" t="s">
        <v>7672</v>
      </c>
      <c r="C252" t="s">
        <v>7673</v>
      </c>
      <c r="D252" t="s">
        <v>7674</v>
      </c>
      <c r="E252" t="s">
        <v>16</v>
      </c>
      <c r="F252" t="s">
        <v>7675</v>
      </c>
      <c r="G252" s="2">
        <v>0.59791666666666665</v>
      </c>
      <c r="I252">
        <v>3084</v>
      </c>
      <c r="J252">
        <v>2</v>
      </c>
      <c r="K252">
        <v>4</v>
      </c>
      <c r="S252">
        <v>1</v>
      </c>
    </row>
    <row r="253" spans="1:22" x14ac:dyDescent="0.3">
      <c r="A253" t="s">
        <v>769</v>
      </c>
      <c r="B253" t="s">
        <v>7676</v>
      </c>
      <c r="C253" t="s">
        <v>7677</v>
      </c>
      <c r="D253" t="s">
        <v>7678</v>
      </c>
      <c r="E253" t="s">
        <v>16</v>
      </c>
      <c r="F253" t="s">
        <v>7679</v>
      </c>
      <c r="G253" s="2">
        <v>0.57638888888888895</v>
      </c>
      <c r="H253" t="s">
        <v>6673</v>
      </c>
      <c r="I253">
        <v>3083</v>
      </c>
      <c r="J253">
        <v>2</v>
      </c>
      <c r="K253">
        <v>2</v>
      </c>
      <c r="S253">
        <v>1</v>
      </c>
    </row>
    <row r="254" spans="1:22" x14ac:dyDescent="0.3">
      <c r="A254" t="s">
        <v>769</v>
      </c>
      <c r="B254" t="s">
        <v>7680</v>
      </c>
      <c r="C254" t="s">
        <v>7681</v>
      </c>
      <c r="D254" t="s">
        <v>7682</v>
      </c>
      <c r="E254" t="s">
        <v>16</v>
      </c>
      <c r="F254" t="s">
        <v>7683</v>
      </c>
      <c r="G254" s="2">
        <v>0.40416666666666662</v>
      </c>
      <c r="H254" t="s">
        <v>6673</v>
      </c>
      <c r="I254">
        <v>3080</v>
      </c>
      <c r="J254">
        <v>2</v>
      </c>
      <c r="K254">
        <v>2</v>
      </c>
      <c r="S254">
        <v>1</v>
      </c>
    </row>
    <row r="255" spans="1:22" x14ac:dyDescent="0.3">
      <c r="A255" t="s">
        <v>769</v>
      </c>
      <c r="B255" t="s">
        <v>7684</v>
      </c>
      <c r="C255" t="s">
        <v>7685</v>
      </c>
      <c r="D255" t="s">
        <v>7686</v>
      </c>
      <c r="E255" t="s">
        <v>16</v>
      </c>
      <c r="F255" t="s">
        <v>7687</v>
      </c>
      <c r="G255" s="2">
        <v>0.36805555555555558</v>
      </c>
      <c r="H255" t="s">
        <v>6678</v>
      </c>
      <c r="I255">
        <v>3077</v>
      </c>
      <c r="J255">
        <v>2</v>
      </c>
      <c r="K255">
        <v>2</v>
      </c>
      <c r="S255">
        <v>1</v>
      </c>
    </row>
    <row r="256" spans="1:22" x14ac:dyDescent="0.3">
      <c r="A256" t="s">
        <v>773</v>
      </c>
      <c r="B256" t="s">
        <v>7688</v>
      </c>
      <c r="C256" t="s">
        <v>7689</v>
      </c>
      <c r="D256" t="s">
        <v>7690</v>
      </c>
      <c r="E256" t="s">
        <v>16</v>
      </c>
      <c r="F256" t="s">
        <v>7691</v>
      </c>
      <c r="G256" s="2">
        <v>0.53125</v>
      </c>
      <c r="H256" t="s">
        <v>6673</v>
      </c>
      <c r="I256">
        <v>3073</v>
      </c>
      <c r="J256">
        <v>2</v>
      </c>
      <c r="K256">
        <v>4</v>
      </c>
      <c r="L256">
        <v>1</v>
      </c>
      <c r="S256">
        <v>1</v>
      </c>
      <c r="V256">
        <v>1</v>
      </c>
    </row>
    <row r="257" spans="1:22" x14ac:dyDescent="0.3">
      <c r="A257" t="s">
        <v>773</v>
      </c>
      <c r="B257" t="s">
        <v>7692</v>
      </c>
      <c r="C257" t="s">
        <v>7693</v>
      </c>
      <c r="D257" t="s">
        <v>7694</v>
      </c>
      <c r="E257" t="s">
        <v>16</v>
      </c>
      <c r="F257" t="s">
        <v>7695</v>
      </c>
      <c r="G257" s="2">
        <v>0.46875</v>
      </c>
      <c r="H257" t="s">
        <v>6673</v>
      </c>
      <c r="I257">
        <v>3071</v>
      </c>
      <c r="J257">
        <v>2</v>
      </c>
      <c r="K257">
        <v>4</v>
      </c>
      <c r="L257">
        <v>1</v>
      </c>
      <c r="S257">
        <v>1</v>
      </c>
      <c r="V257">
        <v>1</v>
      </c>
    </row>
    <row r="258" spans="1:22" x14ac:dyDescent="0.3">
      <c r="A258" t="s">
        <v>777</v>
      </c>
      <c r="B258" s="3" t="s">
        <v>7696</v>
      </c>
      <c r="C258" t="s">
        <v>7697</v>
      </c>
      <c r="D258" t="s">
        <v>7698</v>
      </c>
      <c r="E258" t="s">
        <v>16</v>
      </c>
      <c r="F258" t="s">
        <v>7699</v>
      </c>
      <c r="G258" s="2">
        <v>0.43055555555555558</v>
      </c>
      <c r="H258" t="s">
        <v>6673</v>
      </c>
      <c r="I258">
        <v>3069</v>
      </c>
      <c r="J258">
        <v>2</v>
      </c>
      <c r="K258">
        <v>4</v>
      </c>
      <c r="L258">
        <v>1</v>
      </c>
      <c r="S258">
        <v>1</v>
      </c>
      <c r="V258">
        <v>1</v>
      </c>
    </row>
    <row r="259" spans="1:22" x14ac:dyDescent="0.3">
      <c r="A259" t="s">
        <v>780</v>
      </c>
      <c r="B259" t="s">
        <v>7700</v>
      </c>
      <c r="C259" t="s">
        <v>7701</v>
      </c>
      <c r="D259" t="s">
        <v>7702</v>
      </c>
      <c r="E259" t="s">
        <v>16</v>
      </c>
      <c r="F259" t="s">
        <v>7703</v>
      </c>
      <c r="G259" s="2">
        <v>0.40625</v>
      </c>
      <c r="H259" t="s">
        <v>6673</v>
      </c>
      <c r="I259">
        <v>3059</v>
      </c>
      <c r="J259">
        <v>2</v>
      </c>
      <c r="K259">
        <v>4</v>
      </c>
      <c r="L259">
        <v>1</v>
      </c>
      <c r="S259">
        <v>1</v>
      </c>
      <c r="V259">
        <v>1</v>
      </c>
    </row>
    <row r="260" spans="1:22" x14ac:dyDescent="0.3">
      <c r="A260" t="s">
        <v>780</v>
      </c>
      <c r="B260" t="s">
        <v>7704</v>
      </c>
      <c r="C260" t="s">
        <v>7705</v>
      </c>
      <c r="D260" t="s">
        <v>7706</v>
      </c>
      <c r="E260" t="s">
        <v>16</v>
      </c>
      <c r="F260" t="s">
        <v>7707</v>
      </c>
      <c r="G260" s="2">
        <v>0.39583333333333331</v>
      </c>
      <c r="H260" t="s">
        <v>6673</v>
      </c>
      <c r="I260">
        <v>3067</v>
      </c>
      <c r="J260">
        <v>2</v>
      </c>
      <c r="K260">
        <v>4</v>
      </c>
      <c r="L260">
        <v>1</v>
      </c>
      <c r="S260">
        <v>1</v>
      </c>
      <c r="V260">
        <v>1</v>
      </c>
    </row>
    <row r="261" spans="1:22" x14ac:dyDescent="0.3">
      <c r="A261" t="s">
        <v>780</v>
      </c>
      <c r="B261" t="s">
        <v>7708</v>
      </c>
      <c r="C261" t="s">
        <v>7709</v>
      </c>
      <c r="D261" t="s">
        <v>7710</v>
      </c>
      <c r="E261" t="s">
        <v>16</v>
      </c>
      <c r="F261" t="s">
        <v>7711</v>
      </c>
      <c r="G261" s="2">
        <v>0.38541666666666669</v>
      </c>
      <c r="H261" t="s">
        <v>6673</v>
      </c>
      <c r="I261">
        <v>3066</v>
      </c>
      <c r="J261">
        <v>2</v>
      </c>
      <c r="K261">
        <v>4</v>
      </c>
      <c r="L261">
        <v>1</v>
      </c>
      <c r="S261">
        <v>1</v>
      </c>
      <c r="V261">
        <v>1</v>
      </c>
    </row>
    <row r="262" spans="1:22" x14ac:dyDescent="0.3">
      <c r="A262" t="s">
        <v>783</v>
      </c>
      <c r="B262" t="s">
        <v>7712</v>
      </c>
      <c r="C262" t="s">
        <v>7713</v>
      </c>
      <c r="D262" t="s">
        <v>7714</v>
      </c>
      <c r="E262" t="s">
        <v>16</v>
      </c>
      <c r="F262" t="s">
        <v>7715</v>
      </c>
      <c r="G262" s="2">
        <v>0.69444444444444453</v>
      </c>
      <c r="H262" t="s">
        <v>6673</v>
      </c>
      <c r="I262">
        <v>3064</v>
      </c>
      <c r="J262">
        <v>2</v>
      </c>
      <c r="K262">
        <v>4</v>
      </c>
      <c r="L262">
        <v>1</v>
      </c>
      <c r="V262">
        <v>1</v>
      </c>
    </row>
    <row r="263" spans="1:22" x14ac:dyDescent="0.3">
      <c r="A263" t="s">
        <v>783</v>
      </c>
      <c r="B263" t="s">
        <v>7716</v>
      </c>
      <c r="C263" t="s">
        <v>7717</v>
      </c>
      <c r="D263" t="s">
        <v>7718</v>
      </c>
      <c r="E263" t="s">
        <v>16</v>
      </c>
      <c r="F263" t="s">
        <v>7719</v>
      </c>
      <c r="G263" s="2">
        <v>0.67361111111111116</v>
      </c>
      <c r="H263" t="s">
        <v>6673</v>
      </c>
      <c r="I263">
        <v>3063</v>
      </c>
      <c r="J263">
        <v>2</v>
      </c>
      <c r="K263">
        <v>3</v>
      </c>
      <c r="L263">
        <v>1</v>
      </c>
      <c r="V263">
        <v>1</v>
      </c>
    </row>
    <row r="264" spans="1:22" x14ac:dyDescent="0.3">
      <c r="A264" t="s">
        <v>783</v>
      </c>
      <c r="B264" t="s">
        <v>7720</v>
      </c>
      <c r="C264" t="s">
        <v>7721</v>
      </c>
      <c r="D264" t="s">
        <v>7722</v>
      </c>
      <c r="E264" t="s">
        <v>16</v>
      </c>
      <c r="F264" t="s">
        <v>7723</v>
      </c>
      <c r="G264" s="2">
        <v>0.61111111111111105</v>
      </c>
      <c r="H264" t="s">
        <v>6673</v>
      </c>
      <c r="I264">
        <v>3061</v>
      </c>
      <c r="J264">
        <v>2</v>
      </c>
      <c r="K264">
        <v>5</v>
      </c>
      <c r="L264">
        <v>1</v>
      </c>
      <c r="S264">
        <v>1</v>
      </c>
      <c r="V264">
        <v>1</v>
      </c>
    </row>
    <row r="265" spans="1:22" x14ac:dyDescent="0.3">
      <c r="A265" t="s">
        <v>787</v>
      </c>
      <c r="B265" t="s">
        <v>7724</v>
      </c>
      <c r="C265" t="s">
        <v>7725</v>
      </c>
      <c r="D265" t="s">
        <v>7726</v>
      </c>
      <c r="E265" t="s">
        <v>16</v>
      </c>
      <c r="F265" t="s">
        <v>7727</v>
      </c>
      <c r="G265" s="2">
        <v>0.59722222222222221</v>
      </c>
      <c r="H265" t="s">
        <v>6673</v>
      </c>
      <c r="I265">
        <v>3060</v>
      </c>
      <c r="J265">
        <v>1</v>
      </c>
      <c r="K265">
        <v>5</v>
      </c>
      <c r="L265">
        <v>1</v>
      </c>
      <c r="S265">
        <v>1</v>
      </c>
      <c r="V265">
        <v>1</v>
      </c>
    </row>
    <row r="266" spans="1:22" x14ac:dyDescent="0.3">
      <c r="A266" t="s">
        <v>787</v>
      </c>
      <c r="B266" t="s">
        <v>7728</v>
      </c>
      <c r="C266" t="s">
        <v>7729</v>
      </c>
      <c r="D266" t="s">
        <v>7730</v>
      </c>
      <c r="E266" t="s">
        <v>16</v>
      </c>
      <c r="F266" t="s">
        <v>7731</v>
      </c>
      <c r="G266" s="2">
        <v>0.59375</v>
      </c>
      <c r="H266" t="s">
        <v>6673</v>
      </c>
      <c r="I266">
        <v>3059</v>
      </c>
      <c r="J266">
        <v>1</v>
      </c>
      <c r="K266">
        <v>4</v>
      </c>
      <c r="L266">
        <v>1</v>
      </c>
      <c r="S266">
        <v>2</v>
      </c>
      <c r="V266">
        <v>1</v>
      </c>
    </row>
    <row r="267" spans="1:22" x14ac:dyDescent="0.3">
      <c r="A267" t="s">
        <v>787</v>
      </c>
      <c r="B267" s="3" t="s">
        <v>7732</v>
      </c>
      <c r="C267" t="s">
        <v>7733</v>
      </c>
      <c r="D267" t="s">
        <v>7734</v>
      </c>
      <c r="E267" t="s">
        <v>16</v>
      </c>
      <c r="F267" t="s">
        <v>7735</v>
      </c>
      <c r="G267" s="2">
        <v>0.58333333333333337</v>
      </c>
      <c r="H267" t="s">
        <v>6678</v>
      </c>
      <c r="I267">
        <v>3059</v>
      </c>
      <c r="J267">
        <v>1</v>
      </c>
      <c r="K267">
        <v>4</v>
      </c>
      <c r="L267">
        <v>1</v>
      </c>
      <c r="S267">
        <v>2</v>
      </c>
      <c r="V267">
        <v>1</v>
      </c>
    </row>
    <row r="268" spans="1:22" x14ac:dyDescent="0.3">
      <c r="A268" t="s">
        <v>787</v>
      </c>
      <c r="B268" t="s">
        <v>7736</v>
      </c>
      <c r="C268" t="s">
        <v>7737</v>
      </c>
      <c r="D268" t="s">
        <v>7738</v>
      </c>
      <c r="E268" t="s">
        <v>16</v>
      </c>
      <c r="F268" t="s">
        <v>7739</v>
      </c>
      <c r="G268" s="2">
        <v>0.57291666666666663</v>
      </c>
      <c r="H268" t="s">
        <v>6673</v>
      </c>
      <c r="I268">
        <v>3059</v>
      </c>
      <c r="J268">
        <v>1</v>
      </c>
      <c r="K268">
        <v>4</v>
      </c>
      <c r="L268">
        <v>1</v>
      </c>
      <c r="S268">
        <v>2</v>
      </c>
      <c r="V268">
        <v>1</v>
      </c>
    </row>
    <row r="269" spans="1:22" x14ac:dyDescent="0.3">
      <c r="A269" t="s">
        <v>787</v>
      </c>
      <c r="B269" s="3" t="s">
        <v>7740</v>
      </c>
      <c r="C269" t="s">
        <v>7741</v>
      </c>
      <c r="D269" t="s">
        <v>7742</v>
      </c>
      <c r="E269" t="s">
        <v>16</v>
      </c>
      <c r="F269" t="s">
        <v>7743</v>
      </c>
      <c r="G269" s="2">
        <v>0.5625</v>
      </c>
      <c r="H269" t="s">
        <v>6678</v>
      </c>
      <c r="I269">
        <v>3059</v>
      </c>
      <c r="J269">
        <v>1</v>
      </c>
      <c r="K269">
        <v>4</v>
      </c>
      <c r="L269">
        <v>1</v>
      </c>
      <c r="S269">
        <v>2</v>
      </c>
      <c r="V269">
        <v>1</v>
      </c>
    </row>
    <row r="270" spans="1:22" x14ac:dyDescent="0.3">
      <c r="A270" t="s">
        <v>787</v>
      </c>
      <c r="B270" t="s">
        <v>7744</v>
      </c>
      <c r="C270" t="s">
        <v>7745</v>
      </c>
      <c r="D270" t="s">
        <v>7746</v>
      </c>
      <c r="E270" t="s">
        <v>16</v>
      </c>
      <c r="F270" t="s">
        <v>7747</v>
      </c>
      <c r="G270" s="2">
        <v>0.55208333333333337</v>
      </c>
      <c r="H270" t="s">
        <v>6678</v>
      </c>
      <c r="I270">
        <v>3058</v>
      </c>
      <c r="J270">
        <v>1</v>
      </c>
      <c r="K270">
        <v>4</v>
      </c>
      <c r="L270">
        <v>1</v>
      </c>
      <c r="S270">
        <v>2</v>
      </c>
      <c r="V270">
        <v>1</v>
      </c>
    </row>
    <row r="271" spans="1:22" x14ac:dyDescent="0.3">
      <c r="A271" t="s">
        <v>787</v>
      </c>
      <c r="B271" t="s">
        <v>7748</v>
      </c>
      <c r="C271" t="s">
        <v>7749</v>
      </c>
      <c r="D271" t="s">
        <v>7750</v>
      </c>
      <c r="E271" t="s">
        <v>16</v>
      </c>
      <c r="F271" t="s">
        <v>7751</v>
      </c>
      <c r="G271" s="2">
        <v>0.54166666666666663</v>
      </c>
      <c r="H271" t="s">
        <v>6678</v>
      </c>
      <c r="I271">
        <v>3057</v>
      </c>
      <c r="J271">
        <v>1</v>
      </c>
      <c r="K271">
        <v>4</v>
      </c>
      <c r="L271">
        <v>1</v>
      </c>
      <c r="S271">
        <v>2</v>
      </c>
      <c r="V271">
        <v>1</v>
      </c>
    </row>
    <row r="272" spans="1:22" x14ac:dyDescent="0.3">
      <c r="A272" t="s">
        <v>787</v>
      </c>
      <c r="B272" t="s">
        <v>7752</v>
      </c>
      <c r="C272" t="s">
        <v>7753</v>
      </c>
      <c r="D272" t="s">
        <v>7754</v>
      </c>
      <c r="E272" t="s">
        <v>16</v>
      </c>
      <c r="F272" t="s">
        <v>7755</v>
      </c>
      <c r="G272" s="2">
        <v>0.53125</v>
      </c>
      <c r="H272" t="s">
        <v>6678</v>
      </c>
      <c r="I272">
        <v>3056</v>
      </c>
      <c r="J272">
        <v>2</v>
      </c>
      <c r="K272">
        <v>4</v>
      </c>
      <c r="L272">
        <v>1</v>
      </c>
      <c r="S272">
        <v>3</v>
      </c>
      <c r="V27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4783E-0631-4C6F-A389-B70EF9BAF82E}">
  <dimension ref="A1:M14"/>
  <sheetViews>
    <sheetView workbookViewId="0">
      <selection activeCell="I18" sqref="I18"/>
    </sheetView>
  </sheetViews>
  <sheetFormatPr baseColWidth="10" defaultRowHeight="14.4" x14ac:dyDescent="0.3"/>
  <cols>
    <col min="4" max="4" width="23.88671875" customWidth="1"/>
    <col min="6" max="6" width="18.6640625" customWidth="1"/>
  </cols>
  <sheetData>
    <row r="1" spans="1:13" x14ac:dyDescent="0.3">
      <c r="A1" t="s">
        <v>791</v>
      </c>
      <c r="B1" t="s">
        <v>792</v>
      </c>
      <c r="C1" t="s">
        <v>1</v>
      </c>
      <c r="D1" t="s">
        <v>2</v>
      </c>
      <c r="E1" t="s">
        <v>3</v>
      </c>
      <c r="F1" t="s">
        <v>4</v>
      </c>
      <c r="G1" t="s">
        <v>7756</v>
      </c>
      <c r="H1" t="s">
        <v>7757</v>
      </c>
      <c r="I1" t="s">
        <v>7758</v>
      </c>
      <c r="J1" t="s">
        <v>7759</v>
      </c>
      <c r="K1" t="s">
        <v>7760</v>
      </c>
      <c r="L1" t="s">
        <v>7761</v>
      </c>
      <c r="M1" t="s">
        <v>7762</v>
      </c>
    </row>
    <row r="2" spans="1:13" x14ac:dyDescent="0.3">
      <c r="A2" t="s">
        <v>502</v>
      </c>
      <c r="B2" t="s">
        <v>7763</v>
      </c>
      <c r="C2" t="s">
        <v>7764</v>
      </c>
      <c r="D2" t="s">
        <v>7765</v>
      </c>
      <c r="E2" t="s">
        <v>16</v>
      </c>
      <c r="F2" t="s">
        <v>7766</v>
      </c>
      <c r="G2" s="2">
        <v>0.50763888888888886</v>
      </c>
      <c r="H2" t="s">
        <v>1675</v>
      </c>
      <c r="I2" t="s">
        <v>3970</v>
      </c>
      <c r="J2" t="s">
        <v>1200</v>
      </c>
      <c r="K2" t="s">
        <v>366</v>
      </c>
      <c r="L2" s="2">
        <v>0.50902777777777775</v>
      </c>
      <c r="M2" t="s">
        <v>7767</v>
      </c>
    </row>
    <row r="3" spans="1:13" x14ac:dyDescent="0.3">
      <c r="A3" t="s">
        <v>557</v>
      </c>
      <c r="B3" t="s">
        <v>7768</v>
      </c>
      <c r="C3" t="s">
        <v>7769</v>
      </c>
      <c r="D3" t="s">
        <v>7770</v>
      </c>
      <c r="E3" t="s">
        <v>16</v>
      </c>
      <c r="F3" t="s">
        <v>7771</v>
      </c>
      <c r="G3" s="2">
        <v>0.41319444444444442</v>
      </c>
      <c r="H3" t="s">
        <v>1681</v>
      </c>
      <c r="I3" t="s">
        <v>3970</v>
      </c>
      <c r="J3" t="s">
        <v>1200</v>
      </c>
      <c r="K3" t="s">
        <v>366</v>
      </c>
      <c r="L3" s="2">
        <v>0.4152777777777778</v>
      </c>
    </row>
    <row r="4" spans="1:13" x14ac:dyDescent="0.3">
      <c r="A4" t="s">
        <v>596</v>
      </c>
      <c r="B4" t="s">
        <v>7772</v>
      </c>
      <c r="C4" t="s">
        <v>7773</v>
      </c>
      <c r="D4" t="s">
        <v>7774</v>
      </c>
      <c r="E4" t="s">
        <v>16</v>
      </c>
      <c r="F4" t="s">
        <v>7775</v>
      </c>
      <c r="G4" s="2">
        <v>0.55208333333333337</v>
      </c>
      <c r="H4" t="s">
        <v>1536</v>
      </c>
      <c r="I4" t="s">
        <v>3970</v>
      </c>
      <c r="J4" t="s">
        <v>1668</v>
      </c>
      <c r="K4" t="s">
        <v>366</v>
      </c>
      <c r="L4" s="2">
        <v>0.55277777777777781</v>
      </c>
    </row>
    <row r="5" spans="1:13" x14ac:dyDescent="0.3">
      <c r="A5" t="s">
        <v>615</v>
      </c>
      <c r="B5" t="s">
        <v>7776</v>
      </c>
      <c r="C5" t="s">
        <v>7777</v>
      </c>
      <c r="D5" t="s">
        <v>7778</v>
      </c>
      <c r="E5" t="s">
        <v>16</v>
      </c>
      <c r="F5" t="s">
        <v>7779</v>
      </c>
      <c r="G5" s="2">
        <v>0.4513888888888889</v>
      </c>
      <c r="H5" t="s">
        <v>1681</v>
      </c>
      <c r="I5" t="s">
        <v>6538</v>
      </c>
      <c r="J5" t="s">
        <v>1668</v>
      </c>
      <c r="K5" t="s">
        <v>366</v>
      </c>
      <c r="L5" s="2">
        <v>0.4513888888888889</v>
      </c>
    </row>
    <row r="6" spans="1:13" x14ac:dyDescent="0.3">
      <c r="A6" t="s">
        <v>615</v>
      </c>
      <c r="B6" t="s">
        <v>7780</v>
      </c>
      <c r="C6" t="s">
        <v>7781</v>
      </c>
      <c r="D6" t="s">
        <v>7782</v>
      </c>
      <c r="E6" t="s">
        <v>16</v>
      </c>
      <c r="F6" t="s">
        <v>7783</v>
      </c>
      <c r="G6" s="2">
        <v>0.34652777777777777</v>
      </c>
      <c r="H6" t="s">
        <v>1681</v>
      </c>
      <c r="I6" t="s">
        <v>4728</v>
      </c>
      <c r="J6" t="s">
        <v>1668</v>
      </c>
      <c r="K6" t="s">
        <v>366</v>
      </c>
      <c r="L6" s="2">
        <v>0.34930555555555554</v>
      </c>
    </row>
    <row r="7" spans="1:13" x14ac:dyDescent="0.3">
      <c r="A7" t="s">
        <v>673</v>
      </c>
      <c r="B7" t="s">
        <v>7784</v>
      </c>
      <c r="C7" t="s">
        <v>7785</v>
      </c>
      <c r="D7" t="s">
        <v>7786</v>
      </c>
      <c r="E7" t="s">
        <v>16</v>
      </c>
      <c r="F7" t="s">
        <v>7787</v>
      </c>
      <c r="G7" s="2">
        <v>0.34583333333333338</v>
      </c>
      <c r="H7" t="s">
        <v>1681</v>
      </c>
      <c r="I7" t="s">
        <v>3970</v>
      </c>
      <c r="J7" t="s">
        <v>1668</v>
      </c>
      <c r="K7" t="s">
        <v>366</v>
      </c>
      <c r="L7" s="2">
        <v>0.34583333333333338</v>
      </c>
    </row>
    <row r="8" spans="1:13" x14ac:dyDescent="0.3">
      <c r="A8" t="s">
        <v>683</v>
      </c>
      <c r="B8" t="s">
        <v>7788</v>
      </c>
      <c r="C8" t="s">
        <v>7789</v>
      </c>
      <c r="D8" t="s">
        <v>7790</v>
      </c>
      <c r="E8" t="s">
        <v>16</v>
      </c>
      <c r="F8" t="s">
        <v>7791</v>
      </c>
      <c r="G8" s="2">
        <v>0.48541666666666666</v>
      </c>
      <c r="H8" t="s">
        <v>3669</v>
      </c>
      <c r="I8" t="s">
        <v>4728</v>
      </c>
      <c r="J8" t="s">
        <v>1668</v>
      </c>
      <c r="K8" t="s">
        <v>366</v>
      </c>
      <c r="L8" s="2">
        <v>0.49305555555555558</v>
      </c>
    </row>
    <row r="9" spans="1:13" x14ac:dyDescent="0.3">
      <c r="A9" t="s">
        <v>691</v>
      </c>
      <c r="B9" t="s">
        <v>7792</v>
      </c>
      <c r="C9" t="s">
        <v>7793</v>
      </c>
      <c r="D9" t="s">
        <v>7794</v>
      </c>
      <c r="E9" t="s">
        <v>16</v>
      </c>
      <c r="F9" t="s">
        <v>7795</v>
      </c>
      <c r="G9" s="2">
        <v>0.50069444444444444</v>
      </c>
      <c r="H9" t="s">
        <v>1681</v>
      </c>
      <c r="I9" t="s">
        <v>4728</v>
      </c>
      <c r="J9" t="s">
        <v>1668</v>
      </c>
      <c r="K9" t="s">
        <v>366</v>
      </c>
      <c r="L9" s="2">
        <v>0.51944444444444449</v>
      </c>
    </row>
    <row r="10" spans="1:13" x14ac:dyDescent="0.3">
      <c r="A10" t="s">
        <v>699</v>
      </c>
      <c r="B10" t="s">
        <v>7796</v>
      </c>
      <c r="C10" t="s">
        <v>7797</v>
      </c>
      <c r="D10" t="s">
        <v>7798</v>
      </c>
      <c r="E10" t="s">
        <v>16</v>
      </c>
      <c r="F10" t="s">
        <v>7799</v>
      </c>
      <c r="G10" s="2">
        <v>0.63680555555555551</v>
      </c>
      <c r="H10" t="s">
        <v>1536</v>
      </c>
      <c r="I10" t="s">
        <v>3970</v>
      </c>
      <c r="J10" t="s">
        <v>1200</v>
      </c>
      <c r="K10" t="s">
        <v>366</v>
      </c>
      <c r="L10" s="2">
        <v>0.63680555555555551</v>
      </c>
      <c r="M10" t="s">
        <v>7800</v>
      </c>
    </row>
    <row r="11" spans="1:13" x14ac:dyDescent="0.3">
      <c r="A11" t="s">
        <v>720</v>
      </c>
      <c r="B11" t="s">
        <v>7801</v>
      </c>
      <c r="C11" t="s">
        <v>7802</v>
      </c>
      <c r="D11" t="s">
        <v>7803</v>
      </c>
      <c r="E11" t="s">
        <v>16</v>
      </c>
      <c r="F11" t="s">
        <v>7804</v>
      </c>
      <c r="G11" s="2">
        <v>0.72986111111111107</v>
      </c>
      <c r="H11" t="s">
        <v>1675</v>
      </c>
      <c r="I11" t="s">
        <v>3970</v>
      </c>
      <c r="J11" t="s">
        <v>1668</v>
      </c>
      <c r="K11" t="s">
        <v>366</v>
      </c>
      <c r="L11" s="2">
        <v>0.73541666666666661</v>
      </c>
    </row>
    <row r="12" spans="1:13" x14ac:dyDescent="0.3">
      <c r="A12" t="s">
        <v>732</v>
      </c>
      <c r="B12" t="s">
        <v>7805</v>
      </c>
      <c r="C12" t="s">
        <v>7806</v>
      </c>
      <c r="D12" t="s">
        <v>7807</v>
      </c>
      <c r="E12" t="s">
        <v>16</v>
      </c>
      <c r="F12" t="s">
        <v>7808</v>
      </c>
      <c r="G12" s="2">
        <v>0.73125000000000007</v>
      </c>
      <c r="H12" t="s">
        <v>1681</v>
      </c>
      <c r="I12" t="s">
        <v>3970</v>
      </c>
      <c r="J12" t="s">
        <v>1200</v>
      </c>
      <c r="K12" t="s">
        <v>366</v>
      </c>
      <c r="L12" s="2">
        <v>0.7319444444444444</v>
      </c>
    </row>
    <row r="13" spans="1:13" x14ac:dyDescent="0.3">
      <c r="A13" t="s">
        <v>732</v>
      </c>
      <c r="B13" t="s">
        <v>7809</v>
      </c>
      <c r="C13" t="s">
        <v>7810</v>
      </c>
      <c r="D13" t="s">
        <v>7811</v>
      </c>
      <c r="E13" t="s">
        <v>16</v>
      </c>
      <c r="F13" t="s">
        <v>7812</v>
      </c>
      <c r="G13" s="2">
        <v>0.70972222222222225</v>
      </c>
      <c r="H13" t="s">
        <v>1223</v>
      </c>
      <c r="I13" t="s">
        <v>4728</v>
      </c>
      <c r="J13" t="s">
        <v>1668</v>
      </c>
      <c r="K13" t="s">
        <v>366</v>
      </c>
      <c r="L13" s="2">
        <v>0.72916666666666663</v>
      </c>
      <c r="M13" t="s">
        <v>7813</v>
      </c>
    </row>
    <row r="14" spans="1:13" x14ac:dyDescent="0.3">
      <c r="A14" t="s">
        <v>757</v>
      </c>
      <c r="B14" t="s">
        <v>7814</v>
      </c>
      <c r="C14" t="s">
        <v>7815</v>
      </c>
      <c r="D14" t="s">
        <v>7816</v>
      </c>
      <c r="E14" t="s">
        <v>16</v>
      </c>
      <c r="F14" t="s">
        <v>7817</v>
      </c>
      <c r="G14" s="2">
        <v>0.53333333333333333</v>
      </c>
      <c r="H14" t="s">
        <v>1681</v>
      </c>
      <c r="I14" t="s">
        <v>6538</v>
      </c>
      <c r="J14" t="s">
        <v>1668</v>
      </c>
      <c r="K14" t="s">
        <v>366</v>
      </c>
      <c r="L14" s="2">
        <v>0.5395833333333333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EA02A-7ABB-407C-908C-EC3C290874EB}">
  <dimension ref="A1:T16"/>
  <sheetViews>
    <sheetView zoomScale="78" workbookViewId="0">
      <selection activeCell="J33" sqref="J33"/>
    </sheetView>
  </sheetViews>
  <sheetFormatPr baseColWidth="10" defaultRowHeight="14.4" x14ac:dyDescent="0.3"/>
  <cols>
    <col min="3" max="3" width="29.5546875" customWidth="1"/>
    <col min="10" max="10" width="21.5546875" customWidth="1"/>
    <col min="13" max="13" width="22.33203125" customWidth="1"/>
    <col min="14" max="14" width="24.21875" customWidth="1"/>
    <col min="15" max="15" width="22.44140625" customWidth="1"/>
    <col min="16" max="16" width="25.5546875" customWidth="1"/>
    <col min="17" max="17" width="24" customWidth="1"/>
    <col min="18" max="18" width="21.44140625" customWidth="1"/>
  </cols>
  <sheetData>
    <row r="1" spans="1:20" x14ac:dyDescent="0.3">
      <c r="A1" t="s">
        <v>791</v>
      </c>
      <c r="B1" t="s">
        <v>792</v>
      </c>
      <c r="C1" t="s">
        <v>1</v>
      </c>
      <c r="D1" t="s">
        <v>2</v>
      </c>
      <c r="E1" t="s">
        <v>3</v>
      </c>
      <c r="F1" t="s">
        <v>4</v>
      </c>
      <c r="G1" t="s">
        <v>7818</v>
      </c>
      <c r="H1" t="s">
        <v>7819</v>
      </c>
      <c r="I1" t="s">
        <v>7820</v>
      </c>
      <c r="J1" t="s">
        <v>7821</v>
      </c>
      <c r="K1" t="s">
        <v>7822</v>
      </c>
      <c r="L1" t="s">
        <v>7823</v>
      </c>
      <c r="M1" t="s">
        <v>7824</v>
      </c>
      <c r="N1" t="s">
        <v>7825</v>
      </c>
      <c r="O1" t="s">
        <v>7826</v>
      </c>
      <c r="P1" t="s">
        <v>7827</v>
      </c>
      <c r="Q1" t="s">
        <v>7828</v>
      </c>
      <c r="R1" t="s">
        <v>7829</v>
      </c>
      <c r="S1" t="s">
        <v>7830</v>
      </c>
      <c r="T1" t="s">
        <v>7831</v>
      </c>
    </row>
    <row r="2" spans="1:20" x14ac:dyDescent="0.3">
      <c r="A2" t="s">
        <v>517</v>
      </c>
      <c r="B2" t="s">
        <v>7832</v>
      </c>
      <c r="C2" t="s">
        <v>7833</v>
      </c>
      <c r="D2" t="s">
        <v>7834</v>
      </c>
      <c r="E2" t="s">
        <v>16</v>
      </c>
      <c r="F2" t="s">
        <v>7835</v>
      </c>
      <c r="G2" s="2">
        <v>0.63888888888888895</v>
      </c>
      <c r="H2">
        <v>3479</v>
      </c>
      <c r="I2">
        <v>4</v>
      </c>
      <c r="J2" t="s">
        <v>1677</v>
      </c>
      <c r="K2" t="s">
        <v>7836</v>
      </c>
      <c r="L2" t="s">
        <v>1536</v>
      </c>
      <c r="M2" t="s">
        <v>7837</v>
      </c>
      <c r="N2" t="s">
        <v>7838</v>
      </c>
      <c r="O2" t="s">
        <v>7839</v>
      </c>
      <c r="P2" t="s">
        <v>1536</v>
      </c>
      <c r="Q2" t="s">
        <v>7840</v>
      </c>
      <c r="S2" s="2">
        <v>0.6430555555555556</v>
      </c>
    </row>
    <row r="3" spans="1:20" x14ac:dyDescent="0.3">
      <c r="A3" t="s">
        <v>517</v>
      </c>
      <c r="B3" t="s">
        <v>7841</v>
      </c>
      <c r="C3" t="s">
        <v>7842</v>
      </c>
      <c r="D3" t="s">
        <v>7843</v>
      </c>
      <c r="E3" t="s">
        <v>16</v>
      </c>
      <c r="F3" t="s">
        <v>7844</v>
      </c>
      <c r="G3" s="2">
        <v>0.63194444444444442</v>
      </c>
      <c r="H3">
        <v>3178</v>
      </c>
      <c r="I3">
        <v>4</v>
      </c>
      <c r="J3" t="s">
        <v>1677</v>
      </c>
      <c r="K3" t="s">
        <v>7836</v>
      </c>
      <c r="L3" t="s">
        <v>1681</v>
      </c>
      <c r="O3" t="s">
        <v>7839</v>
      </c>
      <c r="P3" t="s">
        <v>1681</v>
      </c>
      <c r="Q3" t="s">
        <v>7840</v>
      </c>
      <c r="S3" s="2">
        <v>0.63750000000000007</v>
      </c>
    </row>
    <row r="4" spans="1:20" x14ac:dyDescent="0.3">
      <c r="A4" t="s">
        <v>521</v>
      </c>
      <c r="B4" t="s">
        <v>7845</v>
      </c>
      <c r="C4" t="s">
        <v>7846</v>
      </c>
      <c r="D4" t="s">
        <v>7847</v>
      </c>
      <c r="E4" t="s">
        <v>16</v>
      </c>
      <c r="F4" t="s">
        <v>7848</v>
      </c>
      <c r="G4" s="2">
        <v>0.57152777777777775</v>
      </c>
      <c r="H4">
        <v>3473</v>
      </c>
      <c r="I4">
        <v>5</v>
      </c>
      <c r="J4" t="s">
        <v>1677</v>
      </c>
      <c r="K4" t="s">
        <v>7836</v>
      </c>
      <c r="L4" t="s">
        <v>1681</v>
      </c>
      <c r="O4" t="s">
        <v>7839</v>
      </c>
      <c r="P4" t="s">
        <v>1681</v>
      </c>
      <c r="S4" s="2">
        <v>0.57222222222222219</v>
      </c>
    </row>
    <row r="5" spans="1:20" x14ac:dyDescent="0.3">
      <c r="A5" t="s">
        <v>521</v>
      </c>
      <c r="B5" t="s">
        <v>7849</v>
      </c>
      <c r="C5" t="s">
        <v>7850</v>
      </c>
      <c r="D5" t="s">
        <v>7851</v>
      </c>
      <c r="E5" t="s">
        <v>16</v>
      </c>
      <c r="F5" t="s">
        <v>7852</v>
      </c>
      <c r="G5" s="2">
        <v>0.5493055555555556</v>
      </c>
      <c r="H5">
        <v>3470</v>
      </c>
      <c r="I5">
        <v>3</v>
      </c>
      <c r="J5" t="s">
        <v>7839</v>
      </c>
      <c r="K5" t="s">
        <v>7836</v>
      </c>
      <c r="L5" t="s">
        <v>1536</v>
      </c>
      <c r="M5" t="s">
        <v>7837</v>
      </c>
      <c r="N5" t="s">
        <v>7853</v>
      </c>
      <c r="O5" t="s">
        <v>1677</v>
      </c>
      <c r="P5" t="s">
        <v>1536</v>
      </c>
      <c r="Q5" t="s">
        <v>7854</v>
      </c>
      <c r="R5" t="s">
        <v>7853</v>
      </c>
      <c r="S5" s="2">
        <v>0.55625000000000002</v>
      </c>
    </row>
    <row r="6" spans="1:20" x14ac:dyDescent="0.3">
      <c r="A6" t="s">
        <v>521</v>
      </c>
      <c r="B6" t="s">
        <v>7855</v>
      </c>
      <c r="C6" t="s">
        <v>7856</v>
      </c>
      <c r="D6" t="s">
        <v>7857</v>
      </c>
      <c r="E6" t="s">
        <v>16</v>
      </c>
      <c r="F6" t="s">
        <v>7858</v>
      </c>
      <c r="G6" s="2">
        <v>0.54652777777777783</v>
      </c>
      <c r="H6">
        <v>3469</v>
      </c>
      <c r="I6">
        <v>6</v>
      </c>
      <c r="J6" t="s">
        <v>1677</v>
      </c>
      <c r="K6" t="s">
        <v>7836</v>
      </c>
      <c r="L6" t="s">
        <v>1681</v>
      </c>
      <c r="M6" t="s">
        <v>7837</v>
      </c>
      <c r="N6" t="s">
        <v>7853</v>
      </c>
      <c r="O6" t="s">
        <v>7839</v>
      </c>
      <c r="P6" t="s">
        <v>1681</v>
      </c>
      <c r="S6" s="2">
        <v>0.54791666666666672</v>
      </c>
    </row>
    <row r="7" spans="1:20" x14ac:dyDescent="0.3">
      <c r="A7" t="s">
        <v>565</v>
      </c>
      <c r="B7" t="s">
        <v>7859</v>
      </c>
      <c r="C7" t="s">
        <v>7860</v>
      </c>
      <c r="D7" t="s">
        <v>7861</v>
      </c>
      <c r="E7" t="s">
        <v>16</v>
      </c>
      <c r="F7" t="s">
        <v>7862</v>
      </c>
      <c r="G7" s="2">
        <v>0.56180555555555556</v>
      </c>
      <c r="H7">
        <v>3395</v>
      </c>
      <c r="J7" t="s">
        <v>1677</v>
      </c>
      <c r="K7" t="s">
        <v>7863</v>
      </c>
      <c r="M7" t="s">
        <v>7837</v>
      </c>
      <c r="N7" t="s">
        <v>7864</v>
      </c>
      <c r="O7" t="s">
        <v>7839</v>
      </c>
      <c r="P7" t="s">
        <v>1223</v>
      </c>
      <c r="S7" s="2">
        <v>0.56736111111111109</v>
      </c>
    </row>
    <row r="8" spans="1:20" x14ac:dyDescent="0.3">
      <c r="A8" t="s">
        <v>573</v>
      </c>
      <c r="B8" t="s">
        <v>7865</v>
      </c>
      <c r="C8" t="s">
        <v>7866</v>
      </c>
      <c r="D8" t="s">
        <v>7867</v>
      </c>
      <c r="E8" t="s">
        <v>16</v>
      </c>
      <c r="F8" t="s">
        <v>7868</v>
      </c>
      <c r="G8" s="2">
        <v>0.33333333333333331</v>
      </c>
      <c r="I8">
        <v>20</v>
      </c>
      <c r="J8" t="s">
        <v>1677</v>
      </c>
      <c r="K8" t="s">
        <v>7836</v>
      </c>
      <c r="L8" t="s">
        <v>1681</v>
      </c>
      <c r="O8" t="s">
        <v>7839</v>
      </c>
      <c r="P8" t="s">
        <v>1681</v>
      </c>
      <c r="S8" s="2">
        <v>0.3347222222222222</v>
      </c>
    </row>
    <row r="9" spans="1:20" x14ac:dyDescent="0.3">
      <c r="A9" t="s">
        <v>577</v>
      </c>
      <c r="B9" t="s">
        <v>7869</v>
      </c>
      <c r="C9" t="s">
        <v>7870</v>
      </c>
      <c r="D9" t="s">
        <v>7871</v>
      </c>
      <c r="E9" t="s">
        <v>16</v>
      </c>
      <c r="F9" t="s">
        <v>7872</v>
      </c>
      <c r="G9" s="2">
        <v>0.44375000000000003</v>
      </c>
      <c r="H9">
        <v>3361</v>
      </c>
      <c r="I9">
        <v>4</v>
      </c>
      <c r="J9" t="s">
        <v>1677</v>
      </c>
      <c r="K9" t="s">
        <v>7836</v>
      </c>
      <c r="L9" t="s">
        <v>1681</v>
      </c>
      <c r="M9" t="s">
        <v>7837</v>
      </c>
      <c r="N9" t="s">
        <v>7853</v>
      </c>
      <c r="O9" t="s">
        <v>7839</v>
      </c>
      <c r="P9" t="s">
        <v>1681</v>
      </c>
      <c r="Q9" t="s">
        <v>7873</v>
      </c>
      <c r="S9" s="2">
        <v>0.51388888888888895</v>
      </c>
    </row>
    <row r="10" spans="1:20" x14ac:dyDescent="0.3">
      <c r="A10" t="s">
        <v>585</v>
      </c>
      <c r="B10" t="s">
        <v>7874</v>
      </c>
      <c r="C10" t="s">
        <v>7875</v>
      </c>
      <c r="D10" t="s">
        <v>7876</v>
      </c>
      <c r="E10" t="s">
        <v>16</v>
      </c>
      <c r="F10" t="s">
        <v>7877</v>
      </c>
      <c r="G10" s="2">
        <v>0.5541666666666667</v>
      </c>
      <c r="H10">
        <v>3344</v>
      </c>
      <c r="I10">
        <v>20</v>
      </c>
      <c r="J10" t="s">
        <v>1677</v>
      </c>
      <c r="K10" t="s">
        <v>7836</v>
      </c>
      <c r="L10" t="s">
        <v>1681</v>
      </c>
      <c r="N10" t="s">
        <v>7878</v>
      </c>
      <c r="O10" t="s">
        <v>7839</v>
      </c>
      <c r="P10" t="s">
        <v>1681</v>
      </c>
      <c r="Q10" t="s">
        <v>7840</v>
      </c>
      <c r="R10" t="s">
        <v>7879</v>
      </c>
      <c r="S10" s="2">
        <v>0.55625000000000002</v>
      </c>
    </row>
    <row r="11" spans="1:20" x14ac:dyDescent="0.3">
      <c r="A11" t="s">
        <v>615</v>
      </c>
      <c r="B11" t="s">
        <v>7880</v>
      </c>
      <c r="C11" t="s">
        <v>7881</v>
      </c>
      <c r="D11" t="s">
        <v>7882</v>
      </c>
      <c r="E11" t="s">
        <v>16</v>
      </c>
      <c r="F11" t="s">
        <v>7883</v>
      </c>
      <c r="G11" s="2">
        <v>0.4513888888888889</v>
      </c>
      <c r="H11">
        <v>3248</v>
      </c>
      <c r="I11">
        <v>10</v>
      </c>
      <c r="J11" t="s">
        <v>1677</v>
      </c>
      <c r="K11" t="s">
        <v>7836</v>
      </c>
      <c r="L11" t="s">
        <v>1681</v>
      </c>
      <c r="O11" t="s">
        <v>7884</v>
      </c>
      <c r="P11" t="s">
        <v>1681</v>
      </c>
      <c r="Q11" t="s">
        <v>7840</v>
      </c>
      <c r="S11" s="2">
        <v>0.45277777777777778</v>
      </c>
    </row>
    <row r="12" spans="1:20" x14ac:dyDescent="0.3">
      <c r="A12" t="s">
        <v>656</v>
      </c>
      <c r="B12" t="s">
        <v>7885</v>
      </c>
      <c r="C12" t="s">
        <v>7886</v>
      </c>
      <c r="D12" t="s">
        <v>7887</v>
      </c>
      <c r="E12" t="s">
        <v>16</v>
      </c>
      <c r="F12" t="s">
        <v>7888</v>
      </c>
      <c r="G12" s="2">
        <v>0.37361111111111112</v>
      </c>
      <c r="H12">
        <v>3189</v>
      </c>
      <c r="I12">
        <v>2</v>
      </c>
      <c r="J12" t="s">
        <v>7884</v>
      </c>
      <c r="K12" t="s">
        <v>7863</v>
      </c>
      <c r="L12" t="s">
        <v>1536</v>
      </c>
      <c r="M12" t="s">
        <v>7889</v>
      </c>
      <c r="N12" t="s">
        <v>7890</v>
      </c>
      <c r="O12" t="s">
        <v>1677</v>
      </c>
      <c r="P12" t="s">
        <v>3669</v>
      </c>
      <c r="Q12" t="s">
        <v>7838</v>
      </c>
      <c r="S12" s="2">
        <v>0.3833333333333333</v>
      </c>
    </row>
    <row r="13" spans="1:20" x14ac:dyDescent="0.3">
      <c r="A13" t="s">
        <v>757</v>
      </c>
      <c r="B13" t="s">
        <v>7891</v>
      </c>
      <c r="C13" t="s">
        <v>7892</v>
      </c>
      <c r="D13" t="s">
        <v>7893</v>
      </c>
      <c r="E13" t="s">
        <v>16</v>
      </c>
      <c r="F13" t="s">
        <v>7894</v>
      </c>
      <c r="G13" s="2">
        <v>0.43194444444444446</v>
      </c>
      <c r="H13">
        <v>3094</v>
      </c>
      <c r="I13">
        <v>10</v>
      </c>
      <c r="J13" t="s">
        <v>1677</v>
      </c>
      <c r="K13" t="s">
        <v>7836</v>
      </c>
      <c r="M13" t="s">
        <v>7895</v>
      </c>
      <c r="O13" t="s">
        <v>7884</v>
      </c>
      <c r="P13" t="s">
        <v>1681</v>
      </c>
      <c r="Q13" t="s">
        <v>7840</v>
      </c>
      <c r="S13" s="2">
        <v>0.4465277777777778</v>
      </c>
    </row>
    <row r="14" spans="1:20" x14ac:dyDescent="0.3">
      <c r="A14" t="s">
        <v>757</v>
      </c>
      <c r="B14" t="s">
        <v>7896</v>
      </c>
      <c r="C14" t="s">
        <v>7897</v>
      </c>
      <c r="D14" t="s">
        <v>7898</v>
      </c>
      <c r="E14" t="s">
        <v>16</v>
      </c>
      <c r="F14" t="s">
        <v>7899</v>
      </c>
      <c r="G14" s="2">
        <v>0.40347222222222223</v>
      </c>
      <c r="H14">
        <v>3092</v>
      </c>
      <c r="I14">
        <v>8</v>
      </c>
      <c r="J14" t="s">
        <v>1677</v>
      </c>
      <c r="K14" t="s">
        <v>7836</v>
      </c>
      <c r="L14" t="s">
        <v>1681</v>
      </c>
      <c r="M14" t="s">
        <v>7895</v>
      </c>
      <c r="O14" t="s">
        <v>7884</v>
      </c>
      <c r="P14" t="s">
        <v>1681</v>
      </c>
      <c r="Q14" t="s">
        <v>7873</v>
      </c>
      <c r="S14" s="2">
        <v>0.41041666666666665</v>
      </c>
    </row>
    <row r="15" spans="1:20" x14ac:dyDescent="0.3">
      <c r="A15" t="s">
        <v>783</v>
      </c>
      <c r="B15" t="s">
        <v>7900</v>
      </c>
      <c r="C15" t="s">
        <v>7901</v>
      </c>
      <c r="D15" t="s">
        <v>7902</v>
      </c>
      <c r="E15" t="s">
        <v>16</v>
      </c>
      <c r="F15" t="s">
        <v>7903</v>
      </c>
      <c r="G15" s="2">
        <v>0.61736111111111114</v>
      </c>
      <c r="H15">
        <v>3062</v>
      </c>
      <c r="I15">
        <v>5</v>
      </c>
      <c r="J15" t="s">
        <v>1677</v>
      </c>
      <c r="K15" t="s">
        <v>7863</v>
      </c>
      <c r="M15" t="s">
        <v>7895</v>
      </c>
      <c r="O15" t="s">
        <v>7884</v>
      </c>
      <c r="P15" t="s">
        <v>3669</v>
      </c>
      <c r="Q15" t="s">
        <v>7889</v>
      </c>
      <c r="S15" s="2">
        <v>0.63263888888888886</v>
      </c>
    </row>
    <row r="16" spans="1:20" x14ac:dyDescent="0.3">
      <c r="A16" t="s">
        <v>787</v>
      </c>
      <c r="B16" t="s">
        <v>7904</v>
      </c>
      <c r="C16" t="s">
        <v>7905</v>
      </c>
      <c r="D16" t="s">
        <v>7906</v>
      </c>
      <c r="E16" t="s">
        <v>16</v>
      </c>
      <c r="F16" t="s">
        <v>7907</v>
      </c>
      <c r="G16" s="2">
        <v>0.39513888888888887</v>
      </c>
      <c r="H16">
        <v>3055</v>
      </c>
      <c r="I16">
        <v>5</v>
      </c>
      <c r="J16" t="s">
        <v>7884</v>
      </c>
      <c r="K16" t="s">
        <v>7836</v>
      </c>
      <c r="L16" t="s">
        <v>1675</v>
      </c>
      <c r="M16" t="s">
        <v>7895</v>
      </c>
      <c r="O16" t="s">
        <v>1677</v>
      </c>
      <c r="P16" t="s">
        <v>1536</v>
      </c>
      <c r="Q16" t="s">
        <v>7854</v>
      </c>
      <c r="R16" t="s">
        <v>7908</v>
      </c>
      <c r="S16" s="2">
        <v>0.41319444444444442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MO</vt:lpstr>
      <vt:lpstr>AVISTAJE</vt:lpstr>
      <vt:lpstr>DESPLAZAMIENTO</vt:lpstr>
      <vt:lpstr>FOC</vt:lpstr>
      <vt:lpstr>SEGFOC</vt:lpstr>
      <vt:lpstr>DIETA</vt:lpstr>
      <vt:lpstr>ADLIBITUM</vt:lpstr>
      <vt:lpstr>COMPOSICIN</vt:lpstr>
      <vt:lpstr>VOCALIZ</vt:lpstr>
      <vt:lpstr>INTERGRUP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Calvo</dc:creator>
  <cp:lastModifiedBy>irene Calvo</cp:lastModifiedBy>
  <dcterms:created xsi:type="dcterms:W3CDTF">2024-12-13T16:57:51Z</dcterms:created>
  <dcterms:modified xsi:type="dcterms:W3CDTF">2025-12-09T18:52:10Z</dcterms:modified>
</cp:coreProperties>
</file>